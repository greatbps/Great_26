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YOO\재 창업\2026년\협력업체\HC&amp;C\"/>
    </mc:Choice>
  </mc:AlternateContent>
  <bookViews>
    <workbookView xWindow="480" yWindow="98" windowWidth="16538" windowHeight="7838" activeTab="1"/>
  </bookViews>
  <sheets>
    <sheet name="참여사업 현황" sheetId="4" r:id="rId1"/>
    <sheet name="참여전략" sheetId="5" r:id="rId2"/>
    <sheet name="향후 할 일" sheetId="6" r:id="rId3"/>
  </sheets>
  <definedNames>
    <definedName name="_xlnm.Print_Area" localSheetId="0">'참여사업 현황'!$A$1:$O$21</definedName>
  </definedNames>
  <calcPr calcId="162913"/>
</workbook>
</file>

<file path=xl/calcChain.xml><?xml version="1.0" encoding="utf-8"?>
<calcChain xmlns="http://schemas.openxmlformats.org/spreadsheetml/2006/main">
  <c r="C48" i="6" l="1"/>
  <c r="C48" i="5"/>
  <c r="C16" i="4" l="1"/>
</calcChain>
</file>

<file path=xl/sharedStrings.xml><?xml version="1.0" encoding="utf-8"?>
<sst xmlns="http://schemas.openxmlformats.org/spreadsheetml/2006/main" count="223" uniqueCount="125">
  <si>
    <t>번                     호</t>
    <phoneticPr fontId="1" type="noConversion"/>
  </si>
  <si>
    <t>사업명</t>
    <phoneticPr fontId="1" type="noConversion"/>
  </si>
  <si>
    <t>제안시기</t>
    <phoneticPr fontId="1" type="noConversion"/>
  </si>
  <si>
    <t>확인 사항</t>
    <phoneticPr fontId="1" type="noConversion"/>
  </si>
  <si>
    <t>결정            시기</t>
    <phoneticPr fontId="1" type="noConversion"/>
  </si>
  <si>
    <t>②</t>
    <phoneticPr fontId="1" type="noConversion"/>
  </si>
  <si>
    <r>
      <t xml:space="preserve">예산                       </t>
    </r>
    <r>
      <rPr>
        <b/>
        <sz val="16"/>
        <rFont val="굴림"/>
        <family val="3"/>
        <charset val="129"/>
      </rPr>
      <t>(억원)</t>
    </r>
    <phoneticPr fontId="1" type="noConversion"/>
  </si>
  <si>
    <t>합 계</t>
    <phoneticPr fontId="1" type="noConversion"/>
  </si>
  <si>
    <t>①</t>
    <phoneticPr fontId="1" type="noConversion"/>
  </si>
  <si>
    <t>③</t>
    <phoneticPr fontId="1" type="noConversion"/>
  </si>
  <si>
    <t>④</t>
    <phoneticPr fontId="1" type="noConversion"/>
  </si>
  <si>
    <t>⑤</t>
    <phoneticPr fontId="1" type="noConversion"/>
  </si>
  <si>
    <t>⑥</t>
    <phoneticPr fontId="1" type="noConversion"/>
  </si>
  <si>
    <t>③ 수행PM은 확보되었는가?</t>
    <phoneticPr fontId="1" type="noConversion"/>
  </si>
  <si>
    <t>⑤ 평가위원은 섭외 가능한가?</t>
    <phoneticPr fontId="1" type="noConversion"/>
  </si>
  <si>
    <t>② 원가분석은 되었는가?</t>
  </si>
  <si>
    <t>④ 제안서 작성을 위한 제안PM과 팀은 구성되었는가?</t>
  </si>
  <si>
    <t>⑥ 기존 제안서 자료, ISP자료 등 확보 가능한가?</t>
    <phoneticPr fontId="1" type="noConversion"/>
  </si>
  <si>
    <t>* 참여 사업에 대한 확인 사항</t>
    <phoneticPr fontId="1" type="noConversion"/>
  </si>
  <si>
    <r>
      <rPr>
        <b/>
        <sz val="14"/>
        <color theme="1"/>
        <rFont val="굴림체"/>
        <family val="3"/>
        <charset val="129"/>
      </rPr>
      <t>⑦</t>
    </r>
    <r>
      <rPr>
        <b/>
        <sz val="14"/>
        <color theme="1"/>
        <rFont val="굴림"/>
        <family val="3"/>
        <charset val="129"/>
      </rPr>
      <t xml:space="preserve"> 기타(제품소싱, 주사업자의 정량평가 등)</t>
    </r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</si>
  <si>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</si>
  <si>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</si>
  <si>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</si>
  <si>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</si>
  <si>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2026년</t>
    <phoneticPr fontId="1" type="noConversion"/>
  </si>
  <si>
    <t>. 코넥이 수행중</t>
    <phoneticPr fontId="1" type="noConversion"/>
  </si>
  <si>
    <t>O</t>
    <phoneticPr fontId="1" type="noConversion"/>
  </si>
  <si>
    <t>O</t>
    <phoneticPr fontId="1" type="noConversion"/>
  </si>
  <si>
    <t>2026년 참여할 사업 현황</t>
    <phoneticPr fontId="1" type="noConversion"/>
  </si>
  <si>
    <t>26-27년 국전원 전산장비                                         유지보수 사업</t>
    <phoneticPr fontId="1" type="noConversion"/>
  </si>
  <si>
    <t>11월</t>
    <phoneticPr fontId="1" type="noConversion"/>
  </si>
  <si>
    <t>. 현재 LIG시스템이 수행중</t>
    <phoneticPr fontId="1" type="noConversion"/>
  </si>
  <si>
    <t>서울시 교육청 SDN 구축</t>
    <phoneticPr fontId="1" type="noConversion"/>
  </si>
  <si>
    <t>특이 사항</t>
    <phoneticPr fontId="1" type="noConversion"/>
  </si>
  <si>
    <t>육군 교육용 상업드론 구매</t>
    <phoneticPr fontId="1" type="noConversion"/>
  </si>
  <si>
    <r>
      <t xml:space="preserve">. 경기교육청이 583억으로 구축예정                                                       (KT수주)                                                  </t>
    </r>
    <r>
      <rPr>
        <b/>
        <sz val="12"/>
        <color rgb="FFFF0000"/>
        <rFont val="굴림"/>
        <family val="3"/>
        <charset val="129"/>
      </rPr>
      <t xml:space="preserve"> . 예산배정 및 솔루션 업체 확인</t>
    </r>
    <phoneticPr fontId="1" type="noConversion"/>
  </si>
  <si>
    <t>정보사 26년 ~ 28년 상용정비                                           통합유지보수</t>
    <phoneticPr fontId="1" type="noConversion"/>
  </si>
  <si>
    <t>5월</t>
    <phoneticPr fontId="1" type="noConversion"/>
  </si>
  <si>
    <t>① 주사업자는 선정되었는가?</t>
    <phoneticPr fontId="1" type="noConversion"/>
  </si>
  <si>
    <t>6월</t>
    <phoneticPr fontId="1" type="noConversion"/>
  </si>
  <si>
    <t xml:space="preserve">육군 노트북 도입 사업 </t>
    <phoneticPr fontId="1" type="noConversion"/>
  </si>
  <si>
    <t xml:space="preserve">방위사업청 27~28년 유지보수 </t>
    <phoneticPr fontId="1" type="noConversion"/>
  </si>
  <si>
    <t>작성일 : 2026년 4월 8일</t>
    <phoneticPr fontId="1" type="noConversion"/>
  </si>
  <si>
    <t>방산산업 기술보호 업무포탈 구축</t>
    <phoneticPr fontId="1" type="noConversion"/>
  </si>
  <si>
    <t>방사청 통합연계 고도화 사업</t>
    <phoneticPr fontId="1" type="noConversion"/>
  </si>
  <si>
    <t>공군 AFCCS 경미한 성능개량 사업</t>
    <phoneticPr fontId="1" type="noConversion"/>
  </si>
  <si>
    <t>7월</t>
    <phoneticPr fontId="1" type="noConversion"/>
  </si>
  <si>
    <t>7월</t>
    <phoneticPr fontId="1" type="noConversion"/>
  </si>
  <si>
    <t>6월</t>
    <phoneticPr fontId="1" type="noConversion"/>
  </si>
  <si>
    <t>O</t>
    <phoneticPr fontId="1" type="noConversion"/>
  </si>
  <si>
    <t>O</t>
    <phoneticPr fontId="1" type="noConversion"/>
  </si>
  <si>
    <t>. 고객이 원가 분석 중                                      . 대기업 참여 고려 중</t>
    <phoneticPr fontId="1" type="noConversion"/>
  </si>
  <si>
    <t>. 코넥이 수행 중</t>
    <phoneticPr fontId="1" type="noConversion"/>
  </si>
  <si>
    <t>. 한국IT컨설팅이 ISP 수행                                                 . 김OO이사 활용방안 모색</t>
    <phoneticPr fontId="1" type="noConversion"/>
  </si>
  <si>
    <r>
      <t xml:space="preserve">. 공청회 참석하여 사업 파악 중                                       </t>
    </r>
    <r>
      <rPr>
        <b/>
        <sz val="12"/>
        <rFont val="굴림"/>
        <family val="3"/>
        <charset val="129"/>
      </rPr>
      <t xml:space="preserve"> . 김OO이사 활용방안 모색</t>
    </r>
    <phoneticPr fontId="1" type="noConversion"/>
  </si>
  <si>
    <t>. 원가가 상승해서 분석을 철저히 해야 함</t>
    <phoneticPr fontId="1" type="noConversion"/>
  </si>
  <si>
    <r>
      <t xml:space="preserve">. 공청회 참석하여 사업 파악 중                                     </t>
    </r>
    <r>
      <rPr>
        <b/>
        <sz val="12"/>
        <rFont val="굴림"/>
        <family val="3"/>
        <charset val="129"/>
      </rPr>
      <t xml:space="preserve">   . 보고서 작성 완료</t>
    </r>
    <phoneticPr fontId="1" type="noConversion"/>
  </si>
  <si>
    <t>. 대기업 참석 가능</t>
    <phoneticPr fontId="1" type="noConversion"/>
  </si>
  <si>
    <t>육군 신지속지원 사업( AI기반                                            사이버전 자기능동대응체계 구축)</t>
    <phoneticPr fontId="1" type="noConversion"/>
  </si>
  <si>
    <t>Q2</t>
    <phoneticPr fontId="1" type="noConversion"/>
  </si>
  <si>
    <t>Q4</t>
    <phoneticPr fontId="1" type="noConversion"/>
  </si>
  <si>
    <t>Q2</t>
    <phoneticPr fontId="1" type="noConversion"/>
  </si>
  <si>
    <t>Q2</t>
    <phoneticPr fontId="1" type="noConversion"/>
  </si>
  <si>
    <t>Q4</t>
    <phoneticPr fontId="1" type="noConversion"/>
  </si>
  <si>
    <t>Q3</t>
    <phoneticPr fontId="1" type="noConversion"/>
  </si>
  <si>
    <t>참여 전략</t>
    <phoneticPr fontId="1" type="noConversion"/>
  </si>
  <si>
    <r>
      <t xml:space="preserve">예산                       </t>
    </r>
    <r>
      <rPr>
        <b/>
        <sz val="16"/>
        <rFont val="굴림"/>
        <family val="3"/>
        <charset val="129"/>
      </rPr>
      <t>(억원)</t>
    </r>
    <phoneticPr fontId="1" type="noConversion"/>
  </si>
  <si>
    <t>② 주사업자 선정 및 부사업자로서의 R&amp;R 정리하여 제시</t>
    <phoneticPr fontId="1" type="noConversion"/>
  </si>
  <si>
    <t>제안    시기</t>
    <phoneticPr fontId="1" type="noConversion"/>
  </si>
  <si>
    <t>업체       결정      시기</t>
    <phoneticPr fontId="1" type="noConversion"/>
  </si>
  <si>
    <t>① ISP자료 확보하여 핵심/위험/성공 요소 파악 및 전략수립</t>
    <phoneticPr fontId="1" type="noConversion"/>
  </si>
  <si>
    <t>정보사 26년 ~ 28년 상용정비                                           통합유지보수</t>
  </si>
  <si>
    <t>Q2</t>
    <phoneticPr fontId="1" type="noConversion"/>
  </si>
  <si>
    <t>5월</t>
    <phoneticPr fontId="1" type="noConversion"/>
  </si>
  <si>
    <t>② 부사업자로서의 역할과 책임 및 보상을 정리하여 제시</t>
  </si>
  <si>
    <t>육군 교육용 상업드론 구매</t>
  </si>
  <si>
    <r>
      <t xml:space="preserve">. 경기교육청이 583억으로 구축예정 (KT수주)                                                                     </t>
    </r>
    <r>
      <rPr>
        <b/>
        <sz val="12"/>
        <color rgb="FFFF0000"/>
        <rFont val="굴림"/>
        <family val="3"/>
        <charset val="129"/>
      </rPr>
      <t xml:space="preserve"> . 예산배정 및 솔루션 업체 확인</t>
    </r>
    <phoneticPr fontId="1" type="noConversion"/>
  </si>
  <si>
    <t>향후 할 일</t>
    <phoneticPr fontId="1" type="noConversion"/>
  </si>
  <si>
    <t>① LIG시스템과 컨소시엄으로 참석시도</t>
    <phoneticPr fontId="1" type="noConversion"/>
  </si>
  <si>
    <t>① KT와 컨소시엄 또는 솔루션 업체로 참여시도</t>
    <phoneticPr fontId="1" type="noConversion"/>
  </si>
  <si>
    <t>① KCC와 컨소시엄으로 참여시도</t>
    <phoneticPr fontId="1" type="noConversion"/>
  </si>
  <si>
    <t>② 부사업자로서의 역할과 책임 및 보상을 정리하여 제시</t>
    <phoneticPr fontId="1" type="noConversion"/>
  </si>
  <si>
    <t>② 부사업자로서의 R&amp;R 정리하여 제시</t>
    <phoneticPr fontId="1" type="noConversion"/>
  </si>
  <si>
    <t>③ HC&amp;C의 핵심요소 제시 : 제안 PM/PL 보유 및 제안서 작성 인원</t>
    <phoneticPr fontId="1" type="noConversion"/>
  </si>
  <si>
    <t>④ 방사청 영업</t>
    <phoneticPr fontId="1" type="noConversion"/>
  </si>
  <si>
    <t>① 티에스라인과 컨소시엄 협의(조건 합의)</t>
    <phoneticPr fontId="1" type="noConversion"/>
  </si>
  <si>
    <t>① 참여 예상 대기업과 컨소시엄 참여 또는 솔루션을 제공</t>
    <phoneticPr fontId="1" type="noConversion"/>
  </si>
  <si>
    <t xml:space="preserve">    - HC&amp;C의 수주 가능하게 하는 핵심요소 제시</t>
    <phoneticPr fontId="1" type="noConversion"/>
  </si>
  <si>
    <t>① TTA통과된 업체 파악하여 주사업자 선정</t>
    <phoneticPr fontId="1" type="noConversion"/>
  </si>
  <si>
    <t xml:space="preserve">    - HC&amp;C의 핵심요소 제시 : 설치개통 및 무상유지보수 분야 참여</t>
    <phoneticPr fontId="1" type="noConversion"/>
  </si>
  <si>
    <t>③ 육군 영업 : 정작부, 교육사, 군수사 전지단</t>
    <phoneticPr fontId="1" type="noConversion"/>
  </si>
  <si>
    <r>
      <rPr>
        <sz val="12"/>
        <rFont val="굴림체"/>
        <family val="3"/>
        <charset val="129"/>
      </rPr>
      <t>③</t>
    </r>
    <r>
      <rPr>
        <sz val="12"/>
        <rFont val="굴림"/>
        <family val="3"/>
        <charset val="129"/>
      </rPr>
      <t xml:space="preserve"> 정보사 영업</t>
    </r>
    <phoneticPr fontId="1" type="noConversion"/>
  </si>
  <si>
    <t>③ 방사청 영업</t>
    <phoneticPr fontId="1" type="noConversion"/>
  </si>
  <si>
    <t xml:space="preserve">    - HC&amp;C의 핵심요소 제시 : 개발인원 및 PM/PL 보유</t>
    <phoneticPr fontId="1" type="noConversion"/>
  </si>
  <si>
    <t>③ 방사청 영업</t>
    <phoneticPr fontId="1" type="noConversion"/>
  </si>
  <si>
    <t xml:space="preserve">    - HC&amp;C의 핵심요소 제시 : 개발인원 및 PM/PL 보유</t>
    <phoneticPr fontId="1" type="noConversion"/>
  </si>
  <si>
    <t>③ 국전원 영업</t>
    <phoneticPr fontId="1" type="noConversion"/>
  </si>
  <si>
    <t>③ 방사청, 공작사 영업</t>
    <phoneticPr fontId="1" type="noConversion"/>
  </si>
  <si>
    <t>③ 육군 및 방사청 영업</t>
    <phoneticPr fontId="1" type="noConversion"/>
  </si>
  <si>
    <t>① 예상 주사업자와 접촉하여 가능성 타진</t>
    <phoneticPr fontId="1" type="noConversion"/>
  </si>
  <si>
    <t>② 주사업자 선정 및 부사업자로서의 R&amp;R 정리하여 제시</t>
    <phoneticPr fontId="1" type="noConversion"/>
  </si>
  <si>
    <t>① TTA 통과한 업체 파악하여 접촉</t>
    <phoneticPr fontId="1" type="noConversion"/>
  </si>
  <si>
    <t>③ 정보사 영업</t>
  </si>
  <si>
    <t xml:space="preserve">    - HC&amp;C의 핵심요소 제시 : 제안서 작성, 기존 제안서 보유 등</t>
    <phoneticPr fontId="1" type="noConversion"/>
  </si>
  <si>
    <t xml:space="preserve">    - HC&amp;C의 핵심요소 : 설치개통 및 무상유지보수 분야</t>
    <phoneticPr fontId="1" type="noConversion"/>
  </si>
  <si>
    <t xml:space="preserve">    - HC&amp;C의 핵심요소 : 개발인원 및 PM/PL 보유</t>
    <phoneticPr fontId="1" type="noConversion"/>
  </si>
  <si>
    <t>③ 방사청 영업</t>
    <phoneticPr fontId="1" type="noConversion"/>
  </si>
  <si>
    <t>③ 방사청 영업</t>
    <phoneticPr fontId="1" type="noConversion"/>
  </si>
  <si>
    <t>③ 육군 정작부, 교육사, 군수사 전지단 영업</t>
    <phoneticPr fontId="1" type="noConversion"/>
  </si>
  <si>
    <t xml:space="preserve">    - HC&amp;C의 핵심요소 제시 : 개발인원(PL) 보유, 솔루션 제시</t>
    <phoneticPr fontId="1" type="noConversion"/>
  </si>
  <si>
    <t xml:space="preserve">    - HC&amp;C의 핵심요소 : 개발인원(PL) 및 솔루션 보유 </t>
    <phoneticPr fontId="1" type="noConversion"/>
  </si>
  <si>
    <t>③ 방사청 영업</t>
    <phoneticPr fontId="1" type="noConversion"/>
  </si>
  <si>
    <t xml:space="preserve">    - HC&amp;C의 핵심요소 제시 : 개발인원 및 기술적으로 컨설팅</t>
    <phoneticPr fontId="1" type="noConversion"/>
  </si>
  <si>
    <t xml:space="preserve">    - HC&amp;C의 핵심요소 : 개발인원, 기술 컨설팅 및 솔루션 제안</t>
    <phoneticPr fontId="1" type="noConversion"/>
  </si>
  <si>
    <t xml:space="preserve">    - HC&amp;C의 핵심요소 : 유지보수 인원(PM/PL)과 기존 제안서 보유 및 백계약 목록 보유</t>
    <phoneticPr fontId="1" type="noConversion"/>
  </si>
  <si>
    <t>③ 방사청, 공군 영업</t>
    <phoneticPr fontId="1" type="noConversion"/>
  </si>
  <si>
    <t>③ 방사청 영업</t>
    <phoneticPr fontId="1" type="noConversion"/>
  </si>
  <si>
    <t xml:space="preserve">    - HC&amp;C의 핵심요소 제시 : 유지보수 인원 및 기존 제안서 보유</t>
    <phoneticPr fontId="1" type="noConversion"/>
  </si>
  <si>
    <t>작성일 : 2026년 4월 12일</t>
    <phoneticPr fontId="1" type="noConversion"/>
  </si>
  <si>
    <t>작성일 : 2026년 4월 12일</t>
    <phoneticPr fontId="1" type="noConversion"/>
  </si>
  <si>
    <t>① 티에스라인의 부사업자로 컨소시엄으로 참여</t>
    <phoneticPr fontId="1" type="noConversion"/>
  </si>
  <si>
    <t>① 티에스라인의 부사업자로 컨소시엄으로 참여</t>
    <phoneticPr fontId="1" type="noConversion"/>
  </si>
  <si>
    <t>① ISP자료(?) 확보하여 핵심/위험/성공 요소 파악 및 전략수립</t>
    <phoneticPr fontId="1" type="noConversion"/>
  </si>
  <si>
    <t>① 기존 유지보수 공고문 확보하여 핵심/위험/성공 요소 파악 및 전략수립</t>
    <phoneticPr fontId="1" type="noConversion"/>
  </si>
  <si>
    <t>① 수요제안(?) 자료 확보하여 핵심/위험/성공 요소 파악 및 전략수립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</si>
</sst>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76" formatCode="#,##0.00_ ;[Red]\-#,##0.00\ "/>
    <numFmt numFmtId="177" formatCode="0.00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48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b/>
      <sz val="20"/>
      <name val="굴림"/>
      <family val="3"/>
      <charset val="129"/>
    </font>
    <font>
      <sz val="11"/>
      <name val="맑은 고딕"/>
      <family val="2"/>
      <charset val="129"/>
      <scheme val="minor"/>
    </font>
    <font>
      <sz val="2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굴림체"/>
      <family val="3"/>
      <charset val="129"/>
    </font>
    <font>
      <b/>
      <sz val="16"/>
      <name val="굴림"/>
      <family val="3"/>
      <charset val="129"/>
    </font>
    <font>
      <b/>
      <sz val="16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2"/>
      <color theme="1"/>
      <name val="굴림체"/>
      <family val="3"/>
      <charset val="129"/>
    </font>
    <font>
      <sz val="14"/>
      <color theme="1"/>
      <name val="굴림"/>
      <family val="3"/>
      <charset val="129"/>
    </font>
    <font>
      <sz val="11"/>
      <name val="굴림"/>
      <family val="3"/>
      <charset val="129"/>
    </font>
    <font>
      <sz val="20"/>
      <name val="굴림"/>
      <family val="3"/>
      <charset val="129"/>
    </font>
    <font>
      <sz val="12"/>
      <color theme="1"/>
      <name val="굴림"/>
      <family val="3"/>
      <charset val="129"/>
    </font>
    <font>
      <sz val="12"/>
      <name val="굴림"/>
      <family val="3"/>
      <charset val="129"/>
    </font>
    <font>
      <sz val="12"/>
      <name val="굴림체"/>
      <family val="3"/>
      <charset val="129"/>
    </font>
    <font>
      <b/>
      <sz val="14"/>
      <color theme="1"/>
      <name val="맑은 고딕"/>
      <family val="2"/>
      <charset val="129"/>
      <scheme val="minor"/>
    </font>
    <font>
      <sz val="14"/>
      <name val="굴림"/>
      <family val="3"/>
      <charset val="129"/>
    </font>
    <font>
      <sz val="12"/>
      <color rgb="FFFF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5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5" fillId="0" borderId="0" xfId="0" applyFont="1">
      <alignment vertical="center"/>
    </xf>
    <xf numFmtId="0" fontId="3" fillId="3" borderId="8" xfId="0" applyFont="1" applyFill="1" applyBorder="1" applyAlignment="1">
      <alignment horizontal="center" vertical="center" shrinkToFit="1"/>
    </xf>
    <xf numFmtId="0" fontId="3" fillId="3" borderId="13" xfId="0" applyFont="1" applyFill="1" applyBorder="1" applyAlignment="1">
      <alignment horizontal="center" vertical="center" shrinkToFit="1"/>
    </xf>
    <xf numFmtId="0" fontId="3" fillId="3" borderId="14" xfId="0" applyFont="1" applyFill="1" applyBorder="1" applyAlignment="1">
      <alignment horizontal="center" vertical="center" shrinkToFit="1"/>
    </xf>
    <xf numFmtId="0" fontId="16" fillId="0" borderId="11" xfId="0" applyFont="1" applyBorder="1">
      <alignment vertical="center"/>
    </xf>
    <xf numFmtId="176" fontId="3" fillId="0" borderId="14" xfId="0" applyNumberFormat="1" applyFont="1" applyBorder="1" applyAlignment="1">
      <alignment horizontal="center" vertical="center" shrinkToFit="1"/>
    </xf>
    <xf numFmtId="0" fontId="17" fillId="0" borderId="4" xfId="0" applyFont="1" applyFill="1" applyBorder="1" applyAlignment="1">
      <alignment vertical="center" shrinkToFit="1"/>
    </xf>
    <xf numFmtId="43" fontId="17" fillId="0" borderId="0" xfId="0" applyNumberFormat="1" applyFont="1" applyFill="1" applyBorder="1" applyAlignment="1">
      <alignment horizontal="center" vertical="center" shrinkToFit="1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shrinkToFit="1"/>
    </xf>
    <xf numFmtId="0" fontId="18" fillId="0" borderId="12" xfId="0" applyFont="1" applyFill="1" applyBorder="1" applyAlignment="1">
      <alignment vertical="center" wrapText="1" shrinkToFit="1"/>
    </xf>
    <xf numFmtId="0" fontId="17" fillId="0" borderId="13" xfId="0" applyFont="1" applyFill="1" applyBorder="1" applyAlignment="1">
      <alignment horizontal="center" vertical="center"/>
    </xf>
    <xf numFmtId="43" fontId="17" fillId="0" borderId="1" xfId="0" applyNumberFormat="1" applyFont="1" applyFill="1" applyBorder="1" applyAlignment="1">
      <alignment horizontal="center" vertical="center" shrinkToFit="1"/>
    </xf>
    <xf numFmtId="0" fontId="17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 shrinkToFit="1"/>
    </xf>
    <xf numFmtId="0" fontId="18" fillId="0" borderId="6" xfId="0" applyFont="1" applyFill="1" applyBorder="1" applyAlignment="1">
      <alignment vertical="center" wrapText="1" shrinkToFit="1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Fill="1" applyBorder="1" applyAlignment="1">
      <alignment vertical="center" shrinkToFit="1"/>
    </xf>
    <xf numFmtId="43" fontId="3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wrapText="1" shrinkToFit="1"/>
    </xf>
    <xf numFmtId="43" fontId="3" fillId="0" borderId="6" xfId="0" applyNumberFormat="1" applyFont="1" applyBorder="1" applyAlignment="1">
      <alignment horizontal="center" vertical="center" shrinkToFit="1"/>
    </xf>
    <xf numFmtId="43" fontId="17" fillId="0" borderId="2" xfId="0" applyNumberFormat="1" applyFont="1" applyFill="1" applyBorder="1" applyAlignment="1">
      <alignment horizontal="center" vertical="center" shrinkToFit="1"/>
    </xf>
    <xf numFmtId="0" fontId="17" fillId="4" borderId="13" xfId="0" applyFont="1" applyFill="1" applyBorder="1" applyAlignment="1">
      <alignment vertical="center" wrapText="1"/>
    </xf>
    <xf numFmtId="0" fontId="17" fillId="4" borderId="13" xfId="0" applyFont="1" applyFill="1" applyBorder="1" applyAlignment="1">
      <alignment vertical="center" shrinkToFit="1"/>
    </xf>
    <xf numFmtId="0" fontId="17" fillId="0" borderId="13" xfId="0" applyFont="1" applyFill="1" applyBorder="1" applyAlignment="1">
      <alignment vertical="center" wrapText="1" shrinkToFit="1"/>
    </xf>
    <xf numFmtId="0" fontId="25" fillId="0" borderId="12" xfId="0" applyFont="1" applyFill="1" applyBorder="1" applyAlignment="1">
      <alignment vertical="center" shrinkToFit="1"/>
    </xf>
    <xf numFmtId="0" fontId="21" fillId="0" borderId="12" xfId="0" applyFont="1" applyFill="1" applyBorder="1" applyAlignment="1">
      <alignment vertical="center" shrinkToFit="1"/>
    </xf>
    <xf numFmtId="0" fontId="27" fillId="0" borderId="5" xfId="0" applyFont="1" applyFill="1" applyBorder="1" applyAlignment="1">
      <alignment vertical="center" shrinkToFit="1"/>
    </xf>
    <xf numFmtId="0" fontId="27" fillId="0" borderId="12" xfId="0" applyFont="1" applyFill="1" applyBorder="1" applyAlignment="1">
      <alignment vertical="center" shrinkToFit="1"/>
    </xf>
    <xf numFmtId="176" fontId="3" fillId="0" borderId="14" xfId="0" applyNumberFormat="1" applyFont="1" applyBorder="1" applyAlignment="1">
      <alignment vertical="center" shrinkToFit="1"/>
    </xf>
    <xf numFmtId="0" fontId="17" fillId="4" borderId="1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vertical="center" shrinkToFit="1"/>
    </xf>
    <xf numFmtId="0" fontId="25" fillId="0" borderId="4" xfId="0" applyFont="1" applyFill="1" applyBorder="1" applyAlignment="1">
      <alignment vertical="center" shrinkToFit="1"/>
    </xf>
    <xf numFmtId="0" fontId="21" fillId="0" borderId="4" xfId="0" applyFont="1" applyFill="1" applyBorder="1" applyAlignment="1">
      <alignment vertical="center" shrinkToFit="1"/>
    </xf>
    <xf numFmtId="43" fontId="17" fillId="4" borderId="1" xfId="0" applyNumberFormat="1" applyFont="1" applyFill="1" applyBorder="1" applyAlignment="1">
      <alignment horizontal="center" vertical="center" shrinkToFit="1"/>
    </xf>
    <xf numFmtId="0" fontId="17" fillId="4" borderId="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 shrinkToFit="1"/>
    </xf>
    <xf numFmtId="43" fontId="17" fillId="4" borderId="2" xfId="0" applyNumberFormat="1" applyFont="1" applyFill="1" applyBorder="1" applyAlignment="1">
      <alignment horizontal="center" vertical="center" shrinkToFit="1"/>
    </xf>
    <xf numFmtId="0" fontId="25" fillId="4" borderId="4" xfId="0" applyFont="1" applyFill="1" applyBorder="1" applyAlignment="1">
      <alignment vertical="center" shrinkToFit="1"/>
    </xf>
    <xf numFmtId="0" fontId="21" fillId="4" borderId="4" xfId="0" applyFont="1" applyFill="1" applyBorder="1" applyAlignment="1">
      <alignment vertical="center" shrinkToFit="1"/>
    </xf>
    <xf numFmtId="0" fontId="27" fillId="4" borderId="5" xfId="0" applyFont="1" applyFill="1" applyBorder="1" applyAlignment="1">
      <alignment vertical="center" shrinkToFit="1"/>
    </xf>
    <xf numFmtId="0" fontId="18" fillId="4" borderId="11" xfId="0" applyFont="1" applyFill="1" applyBorder="1" applyAlignment="1">
      <alignment vertical="center" shrinkToFit="1"/>
    </xf>
    <xf numFmtId="0" fontId="18" fillId="4" borderId="6" xfId="0" applyFont="1" applyFill="1" applyBorder="1" applyAlignment="1">
      <alignment vertical="center" wrapText="1" shrinkToFit="1"/>
    </xf>
    <xf numFmtId="0" fontId="26" fillId="0" borderId="12" xfId="0" applyFont="1" applyFill="1" applyBorder="1" applyAlignment="1">
      <alignment vertical="center" shrinkToFit="1"/>
    </xf>
    <xf numFmtId="20" fontId="25" fillId="0" borderId="12" xfId="0" applyNumberFormat="1" applyFont="1" applyFill="1" applyBorder="1" applyAlignment="1">
      <alignment vertical="center" shrinkToFit="1"/>
    </xf>
    <xf numFmtId="0" fontId="27" fillId="0" borderId="15" xfId="0" applyFont="1" applyFill="1" applyBorder="1" applyAlignment="1">
      <alignment vertical="center" shrinkToFit="1"/>
    </xf>
    <xf numFmtId="0" fontId="21" fillId="4" borderId="15" xfId="0" applyFont="1" applyFill="1" applyBorder="1" applyAlignment="1">
      <alignment vertical="center" shrinkToFit="1"/>
    </xf>
    <xf numFmtId="0" fontId="21" fillId="0" borderId="15" xfId="0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13" fillId="3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17" fillId="0" borderId="3" xfId="0" applyFont="1" applyFill="1" applyBorder="1" applyAlignment="1">
      <alignment vertical="center" shrinkToFi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17" fillId="0" borderId="3" xfId="0" applyNumberFormat="1" applyFont="1" applyFill="1" applyBorder="1" applyAlignment="1">
      <alignment horizontal="center" vertical="center" shrinkToFit="1"/>
    </xf>
    <xf numFmtId="0" fontId="17" fillId="0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shrinkToFit="1"/>
    </xf>
    <xf numFmtId="0" fontId="17" fillId="0" borderId="4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43" fontId="3" fillId="0" borderId="3" xfId="0" applyNumberFormat="1" applyFont="1" applyBorder="1" applyAlignment="1">
      <alignment horizontal="center" vertical="center" shrinkToFit="1"/>
    </xf>
    <xf numFmtId="43" fontId="3" fillId="0" borderId="4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17" fillId="0" borderId="3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77" fontId="17" fillId="0" borderId="3" xfId="0" applyNumberFormat="1" applyFont="1" applyFill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5" xfId="0" applyNumberFormat="1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shrinkToFit="1"/>
    </xf>
    <xf numFmtId="0" fontId="17" fillId="0" borderId="3" xfId="0" applyFont="1" applyFill="1" applyBorder="1" applyAlignment="1">
      <alignment vertical="center" wrapText="1" shrinkToFit="1"/>
    </xf>
    <xf numFmtId="0" fontId="17" fillId="4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43" fontId="17" fillId="4" borderId="3" xfId="0" applyNumberFormat="1" applyFont="1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 shrinkToFit="1"/>
    </xf>
    <xf numFmtId="0" fontId="0" fillId="4" borderId="5" xfId="0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 shrinkToFit="1"/>
    </xf>
    <xf numFmtId="0" fontId="17" fillId="4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0" fillId="0" borderId="12" xfId="0" applyFont="1" applyFill="1" applyBorder="1" applyAlignment="1">
      <alignment vertical="center" shrinkToFit="1"/>
    </xf>
    <xf numFmtId="0" fontId="30" fillId="0" borderId="4" xfId="0" applyFont="1" applyFill="1" applyBorder="1" applyAlignment="1">
      <alignment vertical="center" shrinkToFit="1"/>
    </xf>
    <xf numFmtId="0" fontId="30" fillId="4" borderId="4" xfId="0" applyFont="1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opLeftCell="B13" workbookViewId="0">
      <selection sqref="A1:O1"/>
    </sheetView>
  </sheetViews>
  <sheetFormatPr defaultColWidth="9" defaultRowHeight="13.5"/>
  <cols>
    <col min="1" max="1" width="4.375" style="1" customWidth="1"/>
    <col min="2" max="2" width="37.5" style="1" customWidth="1"/>
    <col min="3" max="3" width="11.25" style="1" customWidth="1"/>
    <col min="4" max="7" width="5" style="1" customWidth="1"/>
    <col min="8" max="8" width="8.125" style="1" customWidth="1"/>
    <col min="9" max="14" width="5" style="1" customWidth="1"/>
    <col min="15" max="15" width="43.75" style="1" customWidth="1"/>
    <col min="16" max="16384" width="9" style="1"/>
  </cols>
  <sheetData>
    <row r="1" spans="1:15" ht="61.9">
      <c r="A1" s="66" t="s">
        <v>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18" thickBot="1">
      <c r="A2" s="2" t="s">
        <v>42</v>
      </c>
    </row>
    <row r="3" spans="1:15" s="3" customFormat="1" ht="25.9" thickBot="1">
      <c r="A3" s="83" t="s">
        <v>0</v>
      </c>
      <c r="B3" s="83" t="s">
        <v>1</v>
      </c>
      <c r="C3" s="83" t="s">
        <v>6</v>
      </c>
      <c r="D3" s="79" t="s">
        <v>2</v>
      </c>
      <c r="E3" s="80"/>
      <c r="F3" s="80"/>
      <c r="G3" s="80"/>
      <c r="H3" s="76" t="s">
        <v>4</v>
      </c>
      <c r="I3" s="73" t="s">
        <v>3</v>
      </c>
      <c r="J3" s="74"/>
      <c r="K3" s="74"/>
      <c r="L3" s="74"/>
      <c r="M3" s="74"/>
      <c r="N3" s="75"/>
      <c r="O3" s="68" t="s">
        <v>33</v>
      </c>
    </row>
    <row r="4" spans="1:15" s="3" customFormat="1" ht="25.9" customHeight="1" thickBot="1">
      <c r="A4" s="84"/>
      <c r="B4" s="86"/>
      <c r="C4" s="84"/>
      <c r="D4" s="81" t="s">
        <v>24</v>
      </c>
      <c r="E4" s="82"/>
      <c r="F4" s="82"/>
      <c r="G4" s="82"/>
      <c r="H4" s="77"/>
      <c r="I4" s="71" t="s">
        <v>8</v>
      </c>
      <c r="J4" s="71" t="s">
        <v>5</v>
      </c>
      <c r="K4" s="71" t="s">
        <v>9</v>
      </c>
      <c r="L4" s="71" t="s">
        <v>10</v>
      </c>
      <c r="M4" s="71" t="s">
        <v>11</v>
      </c>
      <c r="N4" s="71" t="s">
        <v>12</v>
      </c>
      <c r="O4" s="69"/>
    </row>
    <row r="5" spans="1:15" s="3" customFormat="1" ht="25.9" thickBot="1">
      <c r="A5" s="85"/>
      <c r="B5" s="87"/>
      <c r="C5" s="85"/>
      <c r="D5" s="10" t="s">
        <v>20</v>
      </c>
      <c r="E5" s="11" t="s">
        <v>21</v>
      </c>
      <c r="F5" s="12" t="s">
        <v>22</v>
      </c>
      <c r="G5" s="11" t="s">
        <v>23</v>
      </c>
      <c r="H5" s="78"/>
      <c r="I5" s="72"/>
      <c r="J5" s="72"/>
      <c r="K5" s="72"/>
      <c r="L5" s="72"/>
      <c r="M5" s="72"/>
      <c r="N5" s="72"/>
      <c r="O5" s="70"/>
    </row>
    <row r="6" spans="1:15" ht="37.5" customHeight="1" thickBot="1">
      <c r="A6" s="28">
        <v>1</v>
      </c>
      <c r="B6" s="15" t="s">
        <v>43</v>
      </c>
      <c r="C6" s="16">
        <v>80</v>
      </c>
      <c r="D6" s="17"/>
      <c r="E6" s="18" t="s">
        <v>49</v>
      </c>
      <c r="F6" s="19"/>
      <c r="G6" s="18"/>
      <c r="H6" s="20" t="s">
        <v>39</v>
      </c>
      <c r="I6" s="19"/>
      <c r="J6" s="18" t="s">
        <v>26</v>
      </c>
      <c r="K6" s="19"/>
      <c r="L6" s="18"/>
      <c r="M6" s="19"/>
      <c r="N6" s="18" t="s">
        <v>26</v>
      </c>
      <c r="O6" s="21" t="s">
        <v>53</v>
      </c>
    </row>
    <row r="7" spans="1:15" ht="37.5" customHeight="1" thickBot="1">
      <c r="A7" s="22">
        <v>2</v>
      </c>
      <c r="B7" s="29" t="s">
        <v>34</v>
      </c>
      <c r="C7" s="30">
        <v>296</v>
      </c>
      <c r="D7" s="31"/>
      <c r="E7" s="32" t="s">
        <v>50</v>
      </c>
      <c r="F7" s="33"/>
      <c r="G7" s="32"/>
      <c r="H7" s="34" t="s">
        <v>39</v>
      </c>
      <c r="I7" s="35"/>
      <c r="J7" s="36"/>
      <c r="K7" s="35"/>
      <c r="L7" s="36"/>
      <c r="M7" s="35"/>
      <c r="N7" s="36"/>
      <c r="O7" s="37" t="s">
        <v>56</v>
      </c>
    </row>
    <row r="8" spans="1:15" ht="37.5" customHeight="1" thickBot="1">
      <c r="A8" s="28">
        <v>3</v>
      </c>
      <c r="B8" s="29" t="s">
        <v>44</v>
      </c>
      <c r="C8" s="30">
        <v>163</v>
      </c>
      <c r="D8" s="31"/>
      <c r="E8" s="32" t="s">
        <v>49</v>
      </c>
      <c r="F8" s="33"/>
      <c r="G8" s="32"/>
      <c r="H8" s="34" t="s">
        <v>39</v>
      </c>
      <c r="I8" s="35"/>
      <c r="J8" s="36"/>
      <c r="K8" s="35"/>
      <c r="L8" s="36"/>
      <c r="M8" s="35"/>
      <c r="N8" s="36"/>
      <c r="O8" s="37" t="s">
        <v>54</v>
      </c>
    </row>
    <row r="9" spans="1:15" ht="37.5" customHeight="1" thickBot="1">
      <c r="A9" s="22">
        <v>4</v>
      </c>
      <c r="B9" s="42" t="s">
        <v>29</v>
      </c>
      <c r="C9" s="23">
        <v>60</v>
      </c>
      <c r="D9" s="24"/>
      <c r="E9" s="22"/>
      <c r="F9" s="25"/>
      <c r="G9" s="22" t="s">
        <v>26</v>
      </c>
      <c r="H9" s="26" t="s">
        <v>30</v>
      </c>
      <c r="I9" s="25" t="s">
        <v>27</v>
      </c>
      <c r="J9" s="22" t="s">
        <v>27</v>
      </c>
      <c r="K9" s="25" t="s">
        <v>27</v>
      </c>
      <c r="L9" s="22" t="s">
        <v>27</v>
      </c>
      <c r="M9" s="25" t="s">
        <v>27</v>
      </c>
      <c r="N9" s="22" t="s">
        <v>27</v>
      </c>
      <c r="O9" s="27" t="s">
        <v>25</v>
      </c>
    </row>
    <row r="10" spans="1:15" ht="26.25" customHeight="1" thickBot="1">
      <c r="A10" s="22">
        <v>5</v>
      </c>
      <c r="B10" s="29" t="s">
        <v>40</v>
      </c>
      <c r="C10" s="23">
        <v>104.7</v>
      </c>
      <c r="D10" s="24"/>
      <c r="E10" s="22" t="s">
        <v>49</v>
      </c>
      <c r="F10" s="25"/>
      <c r="G10" s="22"/>
      <c r="H10" s="26" t="s">
        <v>48</v>
      </c>
      <c r="I10" s="25"/>
      <c r="J10" s="22"/>
      <c r="K10" s="25"/>
      <c r="L10" s="22"/>
      <c r="M10" s="25"/>
      <c r="N10" s="22"/>
      <c r="O10" s="27" t="s">
        <v>55</v>
      </c>
    </row>
    <row r="11" spans="1:15" ht="37.5" customHeight="1" thickBot="1">
      <c r="A11" s="22">
        <v>6</v>
      </c>
      <c r="B11" s="41" t="s">
        <v>45</v>
      </c>
      <c r="C11" s="23">
        <v>390</v>
      </c>
      <c r="D11" s="24"/>
      <c r="E11" s="22"/>
      <c r="F11" s="25" t="s">
        <v>49</v>
      </c>
      <c r="G11" s="22"/>
      <c r="H11" s="26" t="s">
        <v>46</v>
      </c>
      <c r="I11" s="25"/>
      <c r="J11" s="22"/>
      <c r="K11" s="25"/>
      <c r="L11" s="22"/>
      <c r="M11" s="25"/>
      <c r="N11" s="22"/>
      <c r="O11" s="27" t="s">
        <v>51</v>
      </c>
    </row>
    <row r="12" spans="1:15" ht="56.25" customHeight="1" thickBot="1">
      <c r="A12" s="22">
        <v>7</v>
      </c>
      <c r="B12" s="41" t="s">
        <v>32</v>
      </c>
      <c r="C12" s="39">
        <v>100</v>
      </c>
      <c r="D12" s="24"/>
      <c r="E12" s="22" t="s">
        <v>50</v>
      </c>
      <c r="F12" s="25"/>
      <c r="G12" s="22"/>
      <c r="H12" s="26" t="s">
        <v>39</v>
      </c>
      <c r="I12" s="25"/>
      <c r="J12" s="22"/>
      <c r="K12" s="25"/>
      <c r="L12" s="22"/>
      <c r="M12" s="25"/>
      <c r="N12" s="22"/>
      <c r="O12" s="27" t="s">
        <v>35</v>
      </c>
    </row>
    <row r="13" spans="1:15" ht="26.25" customHeight="1" thickBot="1">
      <c r="A13" s="22">
        <v>8</v>
      </c>
      <c r="B13" s="29" t="s">
        <v>41</v>
      </c>
      <c r="C13" s="23">
        <v>188.79</v>
      </c>
      <c r="D13" s="24"/>
      <c r="E13" s="22"/>
      <c r="F13" s="25"/>
      <c r="G13" s="22" t="s">
        <v>27</v>
      </c>
      <c r="H13" s="26" t="s">
        <v>30</v>
      </c>
      <c r="I13" s="25"/>
      <c r="J13" s="22"/>
      <c r="K13" s="25"/>
      <c r="L13" s="22"/>
      <c r="M13" s="25"/>
      <c r="N13" s="22"/>
      <c r="O13" s="27" t="s">
        <v>31</v>
      </c>
    </row>
    <row r="14" spans="1:15" ht="37.5" customHeight="1" thickBot="1">
      <c r="A14" s="22">
        <v>9</v>
      </c>
      <c r="B14" s="42" t="s">
        <v>36</v>
      </c>
      <c r="C14" s="38">
        <v>36</v>
      </c>
      <c r="D14" s="24"/>
      <c r="E14" s="22" t="s">
        <v>27</v>
      </c>
      <c r="F14" s="25"/>
      <c r="G14" s="22"/>
      <c r="H14" s="26" t="s">
        <v>37</v>
      </c>
      <c r="I14" s="25"/>
      <c r="J14" s="22"/>
      <c r="K14" s="25"/>
      <c r="L14" s="22"/>
      <c r="M14" s="25"/>
      <c r="N14" s="22"/>
      <c r="O14" s="27" t="s">
        <v>52</v>
      </c>
    </row>
    <row r="15" spans="1:15" ht="37.5" customHeight="1" thickBot="1">
      <c r="A15" s="22">
        <v>10</v>
      </c>
      <c r="B15" s="40" t="s">
        <v>58</v>
      </c>
      <c r="C15" s="23">
        <v>179</v>
      </c>
      <c r="D15" s="24"/>
      <c r="E15" s="22"/>
      <c r="F15" s="25" t="s">
        <v>49</v>
      </c>
      <c r="G15" s="22"/>
      <c r="H15" s="26" t="s">
        <v>47</v>
      </c>
      <c r="I15" s="25"/>
      <c r="J15" s="22"/>
      <c r="K15" s="25"/>
      <c r="L15" s="22"/>
      <c r="M15" s="25"/>
      <c r="N15" s="22"/>
      <c r="O15" s="27" t="s">
        <v>57</v>
      </c>
    </row>
    <row r="16" spans="1:15" ht="26.35" customHeight="1" thickBot="1">
      <c r="A16" s="4"/>
      <c r="B16" s="5" t="s">
        <v>7</v>
      </c>
      <c r="C16" s="14">
        <f>SUM(C6:C15)</f>
        <v>1597.49</v>
      </c>
      <c r="D16" s="6"/>
      <c r="E16" s="4"/>
      <c r="F16" s="7"/>
      <c r="G16" s="4"/>
      <c r="H16" s="4"/>
      <c r="I16" s="7"/>
      <c r="J16" s="4"/>
      <c r="K16" s="7"/>
      <c r="L16" s="4"/>
      <c r="M16" s="7"/>
      <c r="N16" s="4"/>
      <c r="O16" s="13"/>
    </row>
    <row r="17" spans="1:6" ht="20.25">
      <c r="A17" s="9" t="s">
        <v>18</v>
      </c>
    </row>
    <row r="18" spans="1:6" ht="17.649999999999999">
      <c r="B18" s="8" t="s">
        <v>38</v>
      </c>
      <c r="F18" s="8" t="s">
        <v>15</v>
      </c>
    </row>
    <row r="19" spans="1:6" ht="17.649999999999999">
      <c r="B19" s="8" t="s">
        <v>13</v>
      </c>
      <c r="F19" s="8" t="s">
        <v>16</v>
      </c>
    </row>
    <row r="20" spans="1:6" ht="17.649999999999999">
      <c r="B20" s="8" t="s">
        <v>14</v>
      </c>
      <c r="F20" s="8" t="s">
        <v>17</v>
      </c>
    </row>
    <row r="21" spans="1:6" ht="17.649999999999999">
      <c r="B21" s="8" t="s">
        <v>19</v>
      </c>
    </row>
    <row r="22" spans="1:6" ht="17.649999999999999">
      <c r="B22" s="8"/>
    </row>
  </sheetData>
  <mergeCells count="15">
    <mergeCell ref="A1:O1"/>
    <mergeCell ref="O3:O5"/>
    <mergeCell ref="N4:N5"/>
    <mergeCell ref="I3:N3"/>
    <mergeCell ref="I4:I5"/>
    <mergeCell ref="J4:J5"/>
    <mergeCell ref="H3:H5"/>
    <mergeCell ref="D3:G3"/>
    <mergeCell ref="D4:G4"/>
    <mergeCell ref="K4:K5"/>
    <mergeCell ref="L4:L5"/>
    <mergeCell ref="M4:M5"/>
    <mergeCell ref="A3:A5"/>
    <mergeCell ref="B3:B5"/>
    <mergeCell ref="C3:C5"/>
  </mergeCells>
  <phoneticPr fontId="1" type="noConversion"/>
  <printOptions horizontalCentered="1"/>
  <pageMargins left="0.11811023622047245" right="0.11811023622047245" top="0.47244094488188981" bottom="0.39370078740157483" header="0.35433070866141736" footer="0.23622047244094491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abSelected="1" workbookViewId="0">
      <selection activeCell="H43" sqref="H43"/>
    </sheetView>
  </sheetViews>
  <sheetFormatPr defaultColWidth="9" defaultRowHeight="13.5"/>
  <cols>
    <col min="1" max="1" width="4.375" style="1" customWidth="1"/>
    <col min="2" max="2" width="37.5" style="1" customWidth="1"/>
    <col min="3" max="3" width="11.25" style="1" customWidth="1"/>
    <col min="4" max="4" width="5" style="1" customWidth="1"/>
    <col min="5" max="5" width="6.25" style="1" customWidth="1"/>
    <col min="6" max="6" width="60.625" style="1" customWidth="1"/>
    <col min="7" max="16384" width="9" style="1"/>
  </cols>
  <sheetData>
    <row r="1" spans="1:6" ht="61.9">
      <c r="A1" s="66" t="s">
        <v>28</v>
      </c>
      <c r="B1" s="90"/>
      <c r="C1" s="90"/>
      <c r="D1" s="90"/>
      <c r="E1" s="90"/>
      <c r="F1" s="90"/>
    </row>
    <row r="2" spans="1:6" ht="18" thickBot="1">
      <c r="A2" s="2" t="s">
        <v>118</v>
      </c>
    </row>
    <row r="3" spans="1:6" s="3" customFormat="1" ht="25.9" customHeight="1">
      <c r="A3" s="83" t="s">
        <v>0</v>
      </c>
      <c r="B3" s="83" t="s">
        <v>1</v>
      </c>
      <c r="C3" s="83" t="s">
        <v>66</v>
      </c>
      <c r="D3" s="76" t="s">
        <v>68</v>
      </c>
      <c r="E3" s="76" t="s">
        <v>69</v>
      </c>
      <c r="F3" s="68" t="s">
        <v>65</v>
      </c>
    </row>
    <row r="4" spans="1:6" s="3" customFormat="1" ht="25.9" customHeight="1">
      <c r="A4" s="91"/>
      <c r="B4" s="93"/>
      <c r="C4" s="91"/>
      <c r="D4" s="88"/>
      <c r="E4" s="95"/>
      <c r="F4" s="97"/>
    </row>
    <row r="5" spans="1:6" s="3" customFormat="1" ht="25.9" thickBot="1">
      <c r="A5" s="92"/>
      <c r="B5" s="94"/>
      <c r="C5" s="92"/>
      <c r="D5" s="89"/>
      <c r="E5" s="96"/>
      <c r="F5" s="98"/>
    </row>
    <row r="6" spans="1:6" s="3" customFormat="1" ht="20.65" customHeight="1">
      <c r="A6" s="117">
        <v>1</v>
      </c>
      <c r="B6" s="120" t="s">
        <v>71</v>
      </c>
      <c r="C6" s="123">
        <v>36</v>
      </c>
      <c r="D6" s="126" t="s">
        <v>72</v>
      </c>
      <c r="E6" s="127" t="s">
        <v>73</v>
      </c>
      <c r="F6" s="43" t="s">
        <v>120</v>
      </c>
    </row>
    <row r="7" spans="1:6" s="3" customFormat="1" ht="20.65" customHeight="1">
      <c r="A7" s="118"/>
      <c r="B7" s="121"/>
      <c r="C7" s="124"/>
      <c r="D7" s="121"/>
      <c r="E7" s="128"/>
      <c r="F7" s="43" t="s">
        <v>81</v>
      </c>
    </row>
    <row r="8" spans="1:6" s="3" customFormat="1" ht="20.65" customHeight="1">
      <c r="A8" s="118"/>
      <c r="B8" s="121"/>
      <c r="C8" s="124"/>
      <c r="D8" s="121"/>
      <c r="E8" s="128"/>
      <c r="F8" s="61" t="s">
        <v>103</v>
      </c>
    </row>
    <row r="9" spans="1:6" s="3" customFormat="1" ht="20.65" customHeight="1">
      <c r="A9" s="118"/>
      <c r="B9" s="121"/>
      <c r="C9" s="124"/>
      <c r="D9" s="121"/>
      <c r="E9" s="128"/>
      <c r="F9" s="46" t="s">
        <v>102</v>
      </c>
    </row>
    <row r="10" spans="1:6" s="3" customFormat="1" ht="20.65" customHeight="1" thickBot="1">
      <c r="A10" s="119"/>
      <c r="B10" s="122"/>
      <c r="C10" s="125"/>
      <c r="D10" s="122"/>
      <c r="E10" s="129"/>
      <c r="F10" s="45"/>
    </row>
    <row r="11" spans="1:6" s="3" customFormat="1" ht="20.65" customHeight="1">
      <c r="A11" s="102">
        <v>2</v>
      </c>
      <c r="B11" s="99" t="s">
        <v>75</v>
      </c>
      <c r="C11" s="105">
        <v>296</v>
      </c>
      <c r="D11" s="106" t="s">
        <v>61</v>
      </c>
      <c r="E11" s="109" t="s">
        <v>39</v>
      </c>
      <c r="F11" s="43" t="s">
        <v>101</v>
      </c>
    </row>
    <row r="12" spans="1:6" s="3" customFormat="1" ht="21.4" customHeight="1">
      <c r="A12" s="103"/>
      <c r="B12" s="100"/>
      <c r="C12" s="103"/>
      <c r="D12" s="107"/>
      <c r="E12" s="103"/>
      <c r="F12" s="43" t="s">
        <v>67</v>
      </c>
    </row>
    <row r="13" spans="1:6" s="3" customFormat="1" ht="21.4" customHeight="1">
      <c r="A13" s="103"/>
      <c r="B13" s="100"/>
      <c r="C13" s="103"/>
      <c r="D13" s="107"/>
      <c r="E13" s="103"/>
      <c r="F13" s="43" t="s">
        <v>104</v>
      </c>
    </row>
    <row r="14" spans="1:6" s="3" customFormat="1" ht="21.4" customHeight="1">
      <c r="A14" s="103"/>
      <c r="B14" s="100"/>
      <c r="C14" s="103"/>
      <c r="D14" s="107"/>
      <c r="E14" s="103"/>
      <c r="F14" s="44" t="s">
        <v>108</v>
      </c>
    </row>
    <row r="15" spans="1:6" ht="20.65" customHeight="1" thickBot="1">
      <c r="A15" s="104"/>
      <c r="B15" s="101"/>
      <c r="C15" s="104"/>
      <c r="D15" s="108"/>
      <c r="E15" s="104"/>
      <c r="F15" s="45"/>
    </row>
    <row r="16" spans="1:6" ht="20.65" customHeight="1">
      <c r="A16" s="109">
        <v>3</v>
      </c>
      <c r="B16" s="99" t="s">
        <v>43</v>
      </c>
      <c r="C16" s="113">
        <v>80</v>
      </c>
      <c r="D16" s="115" t="s">
        <v>62</v>
      </c>
      <c r="E16" s="115" t="s">
        <v>39</v>
      </c>
      <c r="F16" s="43" t="s">
        <v>70</v>
      </c>
    </row>
    <row r="17" spans="1:6" ht="20.65" customHeight="1">
      <c r="A17" s="110"/>
      <c r="B17" s="100"/>
      <c r="C17" s="114"/>
      <c r="D17" s="116"/>
      <c r="E17" s="116"/>
      <c r="F17" s="43" t="s">
        <v>67</v>
      </c>
    </row>
    <row r="18" spans="1:6" ht="20.65" customHeight="1">
      <c r="A18" s="110"/>
      <c r="B18" s="100"/>
      <c r="C18" s="114"/>
      <c r="D18" s="116"/>
      <c r="E18" s="116"/>
      <c r="F18" s="43" t="s">
        <v>105</v>
      </c>
    </row>
    <row r="19" spans="1:6" ht="20.65" customHeight="1">
      <c r="A19" s="111"/>
      <c r="B19" s="100"/>
      <c r="C19" s="103"/>
      <c r="D19" s="111"/>
      <c r="E19" s="103"/>
      <c r="F19" s="44" t="s">
        <v>107</v>
      </c>
    </row>
    <row r="20" spans="1:6" ht="20.65" customHeight="1" thickBot="1">
      <c r="A20" s="112"/>
      <c r="B20" s="101"/>
      <c r="C20" s="104"/>
      <c r="D20" s="112"/>
      <c r="E20" s="104"/>
      <c r="F20" s="45"/>
    </row>
    <row r="21" spans="1:6" ht="20.65" customHeight="1">
      <c r="A21" s="102">
        <v>4</v>
      </c>
      <c r="B21" s="99" t="s">
        <v>44</v>
      </c>
      <c r="C21" s="113">
        <v>163</v>
      </c>
      <c r="D21" s="134" t="s">
        <v>21</v>
      </c>
      <c r="E21" s="135" t="s">
        <v>39</v>
      </c>
      <c r="F21" s="49" t="s">
        <v>70</v>
      </c>
    </row>
    <row r="22" spans="1:6" ht="20.65" customHeight="1">
      <c r="A22" s="130"/>
      <c r="B22" s="132"/>
      <c r="C22" s="130"/>
      <c r="D22" s="130"/>
      <c r="E22" s="136"/>
      <c r="F22" s="50" t="s">
        <v>67</v>
      </c>
    </row>
    <row r="23" spans="1:6" ht="20.65" customHeight="1">
      <c r="A23" s="130"/>
      <c r="B23" s="132"/>
      <c r="C23" s="130"/>
      <c r="D23" s="130"/>
      <c r="E23" s="136"/>
      <c r="F23" s="50" t="s">
        <v>105</v>
      </c>
    </row>
    <row r="24" spans="1:6" ht="20.65" customHeight="1">
      <c r="A24" s="130"/>
      <c r="B24" s="132"/>
      <c r="C24" s="130"/>
      <c r="D24" s="130"/>
      <c r="E24" s="136"/>
      <c r="F24" s="51" t="s">
        <v>106</v>
      </c>
    </row>
    <row r="25" spans="1:6" ht="20.65" customHeight="1" thickBot="1">
      <c r="A25" s="131"/>
      <c r="B25" s="133"/>
      <c r="C25" s="131"/>
      <c r="D25" s="131"/>
      <c r="E25" s="137"/>
      <c r="F25" s="45"/>
    </row>
    <row r="26" spans="1:6" ht="20.65" customHeight="1">
      <c r="A26" s="138">
        <v>5</v>
      </c>
      <c r="B26" s="140" t="s">
        <v>29</v>
      </c>
      <c r="C26" s="105">
        <v>60</v>
      </c>
      <c r="D26" s="138" t="s">
        <v>60</v>
      </c>
      <c r="E26" s="139" t="s">
        <v>30</v>
      </c>
      <c r="F26" s="50" t="s">
        <v>121</v>
      </c>
    </row>
    <row r="27" spans="1:6" ht="20.65" customHeight="1">
      <c r="A27" s="130"/>
      <c r="B27" s="132"/>
      <c r="C27" s="130"/>
      <c r="D27" s="130"/>
      <c r="E27" s="136"/>
      <c r="F27" s="50" t="s">
        <v>67</v>
      </c>
    </row>
    <row r="28" spans="1:6" ht="20.65" customHeight="1">
      <c r="A28" s="130"/>
      <c r="B28" s="132"/>
      <c r="C28" s="130"/>
      <c r="D28" s="130"/>
      <c r="E28" s="136"/>
      <c r="F28" s="50" t="s">
        <v>114</v>
      </c>
    </row>
    <row r="29" spans="1:6" ht="20.75" customHeight="1">
      <c r="A29" s="130"/>
      <c r="B29" s="132"/>
      <c r="C29" s="130"/>
      <c r="D29" s="130"/>
      <c r="E29" s="136"/>
      <c r="F29" s="51" t="s">
        <v>96</v>
      </c>
    </row>
    <row r="30" spans="1:6" ht="20.65" customHeight="1" thickBot="1">
      <c r="A30" s="131"/>
      <c r="B30" s="133"/>
      <c r="C30" s="131"/>
      <c r="D30" s="131"/>
      <c r="E30" s="137"/>
      <c r="F30" s="45"/>
    </row>
    <row r="31" spans="1:6" ht="20.65" customHeight="1">
      <c r="A31" s="138">
        <v>6</v>
      </c>
      <c r="B31" s="99" t="s">
        <v>45</v>
      </c>
      <c r="C31" s="105">
        <v>390</v>
      </c>
      <c r="D31" s="138" t="s">
        <v>22</v>
      </c>
      <c r="E31" s="139" t="s">
        <v>46</v>
      </c>
      <c r="F31" s="50" t="s">
        <v>122</v>
      </c>
    </row>
    <row r="32" spans="1:6" ht="20.65" customHeight="1">
      <c r="A32" s="130"/>
      <c r="B32" s="132"/>
      <c r="C32" s="130"/>
      <c r="D32" s="130"/>
      <c r="E32" s="136"/>
      <c r="F32" s="50" t="s">
        <v>67</v>
      </c>
    </row>
    <row r="33" spans="1:6" ht="20.65" customHeight="1">
      <c r="A33" s="130"/>
      <c r="B33" s="132"/>
      <c r="C33" s="130"/>
      <c r="D33" s="130"/>
      <c r="E33" s="136"/>
      <c r="F33" s="50" t="s">
        <v>110</v>
      </c>
    </row>
    <row r="34" spans="1:6" ht="26.25" customHeight="1">
      <c r="A34" s="130"/>
      <c r="B34" s="132"/>
      <c r="C34" s="130"/>
      <c r="D34" s="130"/>
      <c r="E34" s="136"/>
      <c r="F34" s="51" t="s">
        <v>115</v>
      </c>
    </row>
    <row r="35" spans="1:6" ht="26.25" customHeight="1" thickBot="1">
      <c r="A35" s="131"/>
      <c r="B35" s="133"/>
      <c r="C35" s="131"/>
      <c r="D35" s="131"/>
      <c r="E35" s="137"/>
      <c r="F35" s="45"/>
    </row>
    <row r="36" spans="1:6" ht="20.65" customHeight="1">
      <c r="A36" s="141">
        <v>7</v>
      </c>
      <c r="B36" s="153" t="s">
        <v>58</v>
      </c>
      <c r="C36" s="145">
        <v>179</v>
      </c>
      <c r="D36" s="141" t="s">
        <v>64</v>
      </c>
      <c r="E36" s="150" t="s">
        <v>46</v>
      </c>
      <c r="F36" s="56" t="s">
        <v>124</v>
      </c>
    </row>
    <row r="37" spans="1:6" ht="20.65" customHeight="1">
      <c r="A37" s="130"/>
      <c r="B37" s="154"/>
      <c r="C37" s="146"/>
      <c r="D37" s="148"/>
      <c r="E37" s="151"/>
      <c r="F37" s="56" t="s">
        <v>67</v>
      </c>
    </row>
    <row r="38" spans="1:6" ht="20.65" customHeight="1">
      <c r="A38" s="130"/>
      <c r="B38" s="154"/>
      <c r="C38" s="146"/>
      <c r="D38" s="148"/>
      <c r="E38" s="151"/>
      <c r="F38" s="56" t="s">
        <v>113</v>
      </c>
    </row>
    <row r="39" spans="1:6" ht="20.65" customHeight="1">
      <c r="A39" s="130"/>
      <c r="B39" s="154"/>
      <c r="C39" s="146"/>
      <c r="D39" s="148"/>
      <c r="E39" s="151"/>
      <c r="F39" s="57" t="s">
        <v>111</v>
      </c>
    </row>
    <row r="40" spans="1:6" ht="20.65" customHeight="1" thickBot="1">
      <c r="A40" s="131"/>
      <c r="B40" s="155"/>
      <c r="C40" s="147"/>
      <c r="D40" s="149"/>
      <c r="E40" s="152"/>
      <c r="F40" s="58"/>
    </row>
    <row r="41" spans="1:6" ht="26.25" customHeight="1">
      <c r="A41" s="141">
        <v>8</v>
      </c>
      <c r="B41" s="142" t="s">
        <v>41</v>
      </c>
      <c r="C41" s="145">
        <v>188.79</v>
      </c>
      <c r="D41" s="141" t="s">
        <v>63</v>
      </c>
      <c r="E41" s="150" t="s">
        <v>30</v>
      </c>
      <c r="F41" s="56" t="s">
        <v>123</v>
      </c>
    </row>
    <row r="42" spans="1:6" ht="26.25" customHeight="1">
      <c r="A42" s="130"/>
      <c r="B42" s="143"/>
      <c r="C42" s="146"/>
      <c r="D42" s="148"/>
      <c r="E42" s="151"/>
      <c r="F42" s="56" t="s">
        <v>67</v>
      </c>
    </row>
    <row r="43" spans="1:6" ht="26.25" customHeight="1">
      <c r="A43" s="130"/>
      <c r="B43" s="143"/>
      <c r="C43" s="146"/>
      <c r="D43" s="148"/>
      <c r="E43" s="151"/>
      <c r="F43" s="56" t="s">
        <v>117</v>
      </c>
    </row>
    <row r="44" spans="1:6" ht="26.25" customHeight="1">
      <c r="A44" s="130"/>
      <c r="B44" s="143"/>
      <c r="C44" s="146"/>
      <c r="D44" s="148"/>
      <c r="E44" s="151"/>
      <c r="F44" s="57" t="s">
        <v>116</v>
      </c>
    </row>
    <row r="45" spans="1:6" ht="26.25" customHeight="1" thickBot="1">
      <c r="A45" s="131"/>
      <c r="B45" s="144"/>
      <c r="C45" s="147"/>
      <c r="D45" s="149"/>
      <c r="E45" s="152"/>
      <c r="F45" s="58"/>
    </row>
    <row r="46" spans="1:6" ht="26.25" customHeight="1" thickBot="1">
      <c r="A46" s="48">
        <v>9</v>
      </c>
      <c r="B46" s="41" t="s">
        <v>40</v>
      </c>
      <c r="C46" s="52">
        <v>104.7</v>
      </c>
      <c r="D46" s="53" t="s">
        <v>59</v>
      </c>
      <c r="E46" s="54" t="s">
        <v>39</v>
      </c>
      <c r="F46" s="59" t="s">
        <v>55</v>
      </c>
    </row>
    <row r="47" spans="1:6" ht="37.5" customHeight="1" thickBot="1">
      <c r="A47" s="48">
        <v>10</v>
      </c>
      <c r="B47" s="41" t="s">
        <v>32</v>
      </c>
      <c r="C47" s="55">
        <v>100</v>
      </c>
      <c r="D47" s="53" t="s">
        <v>61</v>
      </c>
      <c r="E47" s="54" t="s">
        <v>39</v>
      </c>
      <c r="F47" s="60" t="s">
        <v>76</v>
      </c>
    </row>
    <row r="48" spans="1:6" ht="26.35" customHeight="1" thickBot="1">
      <c r="A48" s="4"/>
      <c r="B48" s="5" t="s">
        <v>7</v>
      </c>
      <c r="C48" s="47">
        <f>SUM(C11:C47)</f>
        <v>1561.49</v>
      </c>
      <c r="D48" s="6"/>
      <c r="E48" s="4"/>
      <c r="F48" s="13"/>
    </row>
    <row r="49" spans="2:2" ht="17.649999999999999">
      <c r="B49" s="8"/>
    </row>
  </sheetData>
  <mergeCells count="47">
    <mergeCell ref="A36:A40"/>
    <mergeCell ref="B36:B40"/>
    <mergeCell ref="C36:C40"/>
    <mergeCell ref="D36:D40"/>
    <mergeCell ref="E36:E40"/>
    <mergeCell ref="A41:A45"/>
    <mergeCell ref="B41:B45"/>
    <mergeCell ref="C41:C45"/>
    <mergeCell ref="D41:D45"/>
    <mergeCell ref="E41:E45"/>
    <mergeCell ref="B26:B30"/>
    <mergeCell ref="A26:A30"/>
    <mergeCell ref="C26:C30"/>
    <mergeCell ref="D26:D30"/>
    <mergeCell ref="E26:E30"/>
    <mergeCell ref="A31:A35"/>
    <mergeCell ref="B31:B35"/>
    <mergeCell ref="C31:C35"/>
    <mergeCell ref="D31:D35"/>
    <mergeCell ref="E31:E35"/>
    <mergeCell ref="A21:A25"/>
    <mergeCell ref="B21:B25"/>
    <mergeCell ref="C21:C25"/>
    <mergeCell ref="D21:D25"/>
    <mergeCell ref="E21:E25"/>
    <mergeCell ref="A6:A10"/>
    <mergeCell ref="B6:B10"/>
    <mergeCell ref="C6:C10"/>
    <mergeCell ref="D6:D10"/>
    <mergeCell ref="E6:E10"/>
    <mergeCell ref="A16:A20"/>
    <mergeCell ref="B16:B20"/>
    <mergeCell ref="C16:C20"/>
    <mergeCell ref="D16:D20"/>
    <mergeCell ref="E16:E20"/>
    <mergeCell ref="B11:B15"/>
    <mergeCell ref="A11:A15"/>
    <mergeCell ref="C11:C15"/>
    <mergeCell ref="D11:D15"/>
    <mergeCell ref="E11:E15"/>
    <mergeCell ref="D3:D5"/>
    <mergeCell ref="A1:F1"/>
    <mergeCell ref="A3:A5"/>
    <mergeCell ref="B3:B5"/>
    <mergeCell ref="C3:C5"/>
    <mergeCell ref="E3:E5"/>
    <mergeCell ref="F3:F5"/>
  </mergeCells>
  <phoneticPr fontId="1" type="noConversion"/>
  <printOptions horizontalCentered="1"/>
  <pageMargins left="0.11811023622047245" right="0.11811023622047245" top="0.47244094488188981" bottom="0.39370078740157483" header="0.35433070866141736" footer="0.23622047244094491"/>
  <pageSetup paperSize="9" scale="70" orientation="portrait" verticalDpi="0" r:id="rId1"/>
  <ignoredErrors>
    <ignoredError sqref="C4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opLeftCell="A7" workbookViewId="0">
      <selection activeCell="F41" sqref="F41"/>
    </sheetView>
  </sheetViews>
  <sheetFormatPr defaultColWidth="9" defaultRowHeight="13.5"/>
  <cols>
    <col min="1" max="1" width="4.375" style="1" customWidth="1"/>
    <col min="2" max="2" width="37.5" style="1" customWidth="1"/>
    <col min="3" max="3" width="11.25" style="1" customWidth="1"/>
    <col min="4" max="4" width="5" style="1" customWidth="1"/>
    <col min="5" max="5" width="6.25" style="1" customWidth="1"/>
    <col min="6" max="6" width="60.625" style="1" customWidth="1"/>
    <col min="7" max="16384" width="9" style="1"/>
  </cols>
  <sheetData>
    <row r="1" spans="1:6" ht="61.9">
      <c r="A1" s="66" t="s">
        <v>28</v>
      </c>
      <c r="B1" s="90"/>
      <c r="C1" s="90"/>
      <c r="D1" s="90"/>
      <c r="E1" s="90"/>
      <c r="F1" s="90"/>
    </row>
    <row r="2" spans="1:6" ht="18" thickBot="1">
      <c r="A2" s="2" t="s">
        <v>119</v>
      </c>
    </row>
    <row r="3" spans="1:6" s="3" customFormat="1" ht="25.9" customHeight="1">
      <c r="A3" s="83" t="s">
        <v>0</v>
      </c>
      <c r="B3" s="83" t="s">
        <v>1</v>
      </c>
      <c r="C3" s="83" t="s">
        <v>66</v>
      </c>
      <c r="D3" s="76" t="s">
        <v>68</v>
      </c>
      <c r="E3" s="76" t="s">
        <v>69</v>
      </c>
      <c r="F3" s="68" t="s">
        <v>77</v>
      </c>
    </row>
    <row r="4" spans="1:6" s="3" customFormat="1" ht="25.9" customHeight="1">
      <c r="A4" s="91"/>
      <c r="B4" s="93"/>
      <c r="C4" s="91"/>
      <c r="D4" s="88"/>
      <c r="E4" s="95"/>
      <c r="F4" s="97"/>
    </row>
    <row r="5" spans="1:6" s="3" customFormat="1" ht="25.9" thickBot="1">
      <c r="A5" s="92"/>
      <c r="B5" s="94"/>
      <c r="C5" s="92"/>
      <c r="D5" s="89"/>
      <c r="E5" s="96"/>
      <c r="F5" s="98"/>
    </row>
    <row r="6" spans="1:6" s="3" customFormat="1" ht="20.65" customHeight="1">
      <c r="A6" s="117">
        <v>1</v>
      </c>
      <c r="B6" s="120" t="s">
        <v>71</v>
      </c>
      <c r="C6" s="123">
        <v>36</v>
      </c>
      <c r="D6" s="126" t="s">
        <v>72</v>
      </c>
      <c r="E6" s="127" t="s">
        <v>73</v>
      </c>
      <c r="F6" s="43" t="s">
        <v>85</v>
      </c>
    </row>
    <row r="7" spans="1:6" s="3" customFormat="1" ht="20.65" customHeight="1">
      <c r="A7" s="118"/>
      <c r="B7" s="121"/>
      <c r="C7" s="124"/>
      <c r="D7" s="121"/>
      <c r="E7" s="128"/>
      <c r="F7" s="43" t="s">
        <v>74</v>
      </c>
    </row>
    <row r="8" spans="1:6" s="3" customFormat="1" ht="20.65" customHeight="1">
      <c r="A8" s="118"/>
      <c r="B8" s="121"/>
      <c r="C8" s="124"/>
      <c r="D8" s="121"/>
      <c r="E8" s="128"/>
      <c r="F8" s="62" t="s">
        <v>87</v>
      </c>
    </row>
    <row r="9" spans="1:6" s="3" customFormat="1" ht="20.65" customHeight="1">
      <c r="A9" s="118"/>
      <c r="B9" s="121"/>
      <c r="C9" s="124"/>
      <c r="D9" s="121"/>
      <c r="E9" s="128"/>
      <c r="F9" s="61" t="s">
        <v>91</v>
      </c>
    </row>
    <row r="10" spans="1:6" s="3" customFormat="1" ht="20.65" customHeight="1" thickBot="1">
      <c r="A10" s="119"/>
      <c r="B10" s="122"/>
      <c r="C10" s="125"/>
      <c r="D10" s="122"/>
      <c r="E10" s="129"/>
      <c r="F10" s="63"/>
    </row>
    <row r="11" spans="1:6" s="3" customFormat="1" ht="20.65" customHeight="1">
      <c r="A11" s="102">
        <v>2</v>
      </c>
      <c r="B11" s="99" t="s">
        <v>75</v>
      </c>
      <c r="C11" s="105">
        <v>296</v>
      </c>
      <c r="D11" s="106" t="s">
        <v>61</v>
      </c>
      <c r="E11" s="109" t="s">
        <v>39</v>
      </c>
      <c r="F11" s="156" t="s">
        <v>88</v>
      </c>
    </row>
    <row r="12" spans="1:6" s="3" customFormat="1" ht="21.4" customHeight="1">
      <c r="A12" s="103"/>
      <c r="B12" s="100"/>
      <c r="C12" s="103"/>
      <c r="D12" s="107"/>
      <c r="E12" s="103"/>
      <c r="F12" s="43" t="s">
        <v>67</v>
      </c>
    </row>
    <row r="13" spans="1:6" s="3" customFormat="1" ht="21.4" customHeight="1">
      <c r="A13" s="103"/>
      <c r="B13" s="100"/>
      <c r="C13" s="103"/>
      <c r="D13" s="107"/>
      <c r="E13" s="103"/>
      <c r="F13" s="43" t="s">
        <v>89</v>
      </c>
    </row>
    <row r="14" spans="1:6" s="3" customFormat="1" ht="21.4" customHeight="1">
      <c r="A14" s="103"/>
      <c r="B14" s="100"/>
      <c r="C14" s="103"/>
      <c r="D14" s="107"/>
      <c r="E14" s="103"/>
      <c r="F14" s="43" t="s">
        <v>90</v>
      </c>
    </row>
    <row r="15" spans="1:6" ht="20.65" customHeight="1" thickBot="1">
      <c r="A15" s="104"/>
      <c r="B15" s="101"/>
      <c r="C15" s="104"/>
      <c r="D15" s="108"/>
      <c r="E15" s="104"/>
      <c r="F15" s="65"/>
    </row>
    <row r="16" spans="1:6" ht="20.65" customHeight="1">
      <c r="A16" s="109">
        <v>3</v>
      </c>
      <c r="B16" s="99" t="s">
        <v>43</v>
      </c>
      <c r="C16" s="113">
        <v>80</v>
      </c>
      <c r="D16" s="115" t="s">
        <v>62</v>
      </c>
      <c r="E16" s="115" t="s">
        <v>39</v>
      </c>
      <c r="F16" s="43" t="s">
        <v>80</v>
      </c>
    </row>
    <row r="17" spans="1:6" ht="20.65" customHeight="1">
      <c r="A17" s="110"/>
      <c r="B17" s="100"/>
      <c r="C17" s="114"/>
      <c r="D17" s="116"/>
      <c r="E17" s="116"/>
      <c r="F17" s="43" t="s">
        <v>67</v>
      </c>
    </row>
    <row r="18" spans="1:6" ht="20.65" customHeight="1">
      <c r="A18" s="110"/>
      <c r="B18" s="100"/>
      <c r="C18" s="114"/>
      <c r="D18" s="116"/>
      <c r="E18" s="116"/>
      <c r="F18" s="43" t="s">
        <v>93</v>
      </c>
    </row>
    <row r="19" spans="1:6" ht="20.65" customHeight="1">
      <c r="A19" s="111"/>
      <c r="B19" s="100"/>
      <c r="C19" s="103"/>
      <c r="D19" s="111"/>
      <c r="E19" s="103"/>
      <c r="F19" s="44" t="s">
        <v>92</v>
      </c>
    </row>
    <row r="20" spans="1:6" ht="20.65" customHeight="1" thickBot="1">
      <c r="A20" s="112"/>
      <c r="B20" s="101"/>
      <c r="C20" s="104"/>
      <c r="D20" s="112"/>
      <c r="E20" s="104"/>
      <c r="F20" s="45"/>
    </row>
    <row r="21" spans="1:6" ht="20.65" customHeight="1">
      <c r="A21" s="102">
        <v>4</v>
      </c>
      <c r="B21" s="99" t="s">
        <v>44</v>
      </c>
      <c r="C21" s="113">
        <v>163</v>
      </c>
      <c r="D21" s="134" t="s">
        <v>21</v>
      </c>
      <c r="E21" s="135" t="s">
        <v>39</v>
      </c>
      <c r="F21" s="49" t="s">
        <v>78</v>
      </c>
    </row>
    <row r="22" spans="1:6" ht="20.65" customHeight="1">
      <c r="A22" s="130"/>
      <c r="B22" s="132"/>
      <c r="C22" s="130"/>
      <c r="D22" s="130"/>
      <c r="E22" s="136"/>
      <c r="F22" s="50" t="s">
        <v>67</v>
      </c>
    </row>
    <row r="23" spans="1:6" ht="20.65" customHeight="1">
      <c r="A23" s="130"/>
      <c r="B23" s="132"/>
      <c r="C23" s="130"/>
      <c r="D23" s="130"/>
      <c r="E23" s="136"/>
      <c r="F23" s="50" t="s">
        <v>95</v>
      </c>
    </row>
    <row r="24" spans="1:6" ht="20.65" customHeight="1">
      <c r="A24" s="130"/>
      <c r="B24" s="132"/>
      <c r="C24" s="130"/>
      <c r="D24" s="130"/>
      <c r="E24" s="136"/>
      <c r="F24" s="51" t="s">
        <v>94</v>
      </c>
    </row>
    <row r="25" spans="1:6" ht="20.65" customHeight="1" thickBot="1">
      <c r="A25" s="131"/>
      <c r="B25" s="133"/>
      <c r="C25" s="131"/>
      <c r="D25" s="131"/>
      <c r="E25" s="137"/>
      <c r="F25" s="45"/>
    </row>
    <row r="26" spans="1:6" ht="20.65" customHeight="1">
      <c r="A26" s="138">
        <v>5</v>
      </c>
      <c r="B26" s="140" t="s">
        <v>29</v>
      </c>
      <c r="C26" s="105">
        <v>60</v>
      </c>
      <c r="D26" s="138" t="s">
        <v>60</v>
      </c>
      <c r="E26" s="139" t="s">
        <v>30</v>
      </c>
      <c r="F26" s="50" t="s">
        <v>85</v>
      </c>
    </row>
    <row r="27" spans="1:6" ht="20.65" customHeight="1">
      <c r="A27" s="130"/>
      <c r="B27" s="132"/>
      <c r="C27" s="130"/>
      <c r="D27" s="130"/>
      <c r="E27" s="136"/>
      <c r="F27" s="50" t="s">
        <v>67</v>
      </c>
    </row>
    <row r="28" spans="1:6" ht="20.65" customHeight="1">
      <c r="A28" s="130"/>
      <c r="B28" s="132"/>
      <c r="C28" s="130"/>
      <c r="D28" s="130"/>
      <c r="E28" s="136"/>
      <c r="F28" s="50" t="s">
        <v>93</v>
      </c>
    </row>
    <row r="29" spans="1:6" ht="20.75" customHeight="1">
      <c r="A29" s="130"/>
      <c r="B29" s="132"/>
      <c r="C29" s="130"/>
      <c r="D29" s="130"/>
      <c r="E29" s="136"/>
      <c r="F29" s="51" t="s">
        <v>96</v>
      </c>
    </row>
    <row r="30" spans="1:6" ht="20.65" customHeight="1" thickBot="1">
      <c r="A30" s="131"/>
      <c r="B30" s="133"/>
      <c r="C30" s="131"/>
      <c r="D30" s="131"/>
      <c r="E30" s="137"/>
      <c r="F30" s="45"/>
    </row>
    <row r="31" spans="1:6" ht="20.65" customHeight="1">
      <c r="A31" s="138">
        <v>6</v>
      </c>
      <c r="B31" s="99" t="s">
        <v>45</v>
      </c>
      <c r="C31" s="105">
        <v>390</v>
      </c>
      <c r="D31" s="138" t="s">
        <v>22</v>
      </c>
      <c r="E31" s="139" t="s">
        <v>46</v>
      </c>
      <c r="F31" s="157" t="s">
        <v>86</v>
      </c>
    </row>
    <row r="32" spans="1:6" ht="20.65" customHeight="1">
      <c r="A32" s="130"/>
      <c r="B32" s="132"/>
      <c r="C32" s="130"/>
      <c r="D32" s="130"/>
      <c r="E32" s="136"/>
      <c r="F32" s="50" t="s">
        <v>67</v>
      </c>
    </row>
    <row r="33" spans="1:6" ht="20.65" customHeight="1">
      <c r="A33" s="130"/>
      <c r="B33" s="132"/>
      <c r="C33" s="130"/>
      <c r="D33" s="130"/>
      <c r="E33" s="136"/>
      <c r="F33" s="50" t="s">
        <v>109</v>
      </c>
    </row>
    <row r="34" spans="1:6" ht="26.25" customHeight="1">
      <c r="A34" s="130"/>
      <c r="B34" s="132"/>
      <c r="C34" s="130"/>
      <c r="D34" s="130"/>
      <c r="E34" s="136"/>
      <c r="F34" s="51" t="s">
        <v>97</v>
      </c>
    </row>
    <row r="35" spans="1:6" ht="26.25" customHeight="1" thickBot="1">
      <c r="A35" s="131"/>
      <c r="B35" s="133"/>
      <c r="C35" s="131"/>
      <c r="D35" s="131"/>
      <c r="E35" s="137"/>
      <c r="F35" s="45"/>
    </row>
    <row r="36" spans="1:6" ht="20.65" customHeight="1">
      <c r="A36" s="141">
        <v>7</v>
      </c>
      <c r="B36" s="153" t="s">
        <v>58</v>
      </c>
      <c r="C36" s="145">
        <v>179</v>
      </c>
      <c r="D36" s="141" t="s">
        <v>64</v>
      </c>
      <c r="E36" s="150" t="s">
        <v>46</v>
      </c>
      <c r="F36" s="158" t="s">
        <v>79</v>
      </c>
    </row>
    <row r="37" spans="1:6" ht="20.65" customHeight="1">
      <c r="A37" s="130"/>
      <c r="B37" s="154"/>
      <c r="C37" s="146"/>
      <c r="D37" s="148"/>
      <c r="E37" s="151"/>
      <c r="F37" s="56" t="s">
        <v>82</v>
      </c>
    </row>
    <row r="38" spans="1:6" ht="20.65" customHeight="1">
      <c r="A38" s="130"/>
      <c r="B38" s="154"/>
      <c r="C38" s="146"/>
      <c r="D38" s="148"/>
      <c r="E38" s="151"/>
      <c r="F38" s="56" t="s">
        <v>112</v>
      </c>
    </row>
    <row r="39" spans="1:6" ht="20.65" customHeight="1">
      <c r="A39" s="130"/>
      <c r="B39" s="154"/>
      <c r="C39" s="146"/>
      <c r="D39" s="148"/>
      <c r="E39" s="151"/>
      <c r="F39" s="56" t="s">
        <v>98</v>
      </c>
    </row>
    <row r="40" spans="1:6" ht="20.65" customHeight="1" thickBot="1">
      <c r="A40" s="131"/>
      <c r="B40" s="155"/>
      <c r="C40" s="147"/>
      <c r="D40" s="149"/>
      <c r="E40" s="152"/>
      <c r="F40" s="64"/>
    </row>
    <row r="41" spans="1:6" ht="26.25" customHeight="1">
      <c r="A41" s="141">
        <v>8</v>
      </c>
      <c r="B41" s="142" t="s">
        <v>41</v>
      </c>
      <c r="C41" s="145">
        <v>188.79</v>
      </c>
      <c r="D41" s="141" t="s">
        <v>63</v>
      </c>
      <c r="E41" s="150" t="s">
        <v>30</v>
      </c>
      <c r="F41" s="158" t="s">
        <v>99</v>
      </c>
    </row>
    <row r="42" spans="1:6" ht="26.25" customHeight="1">
      <c r="A42" s="130"/>
      <c r="B42" s="143"/>
      <c r="C42" s="146"/>
      <c r="D42" s="148"/>
      <c r="E42" s="151"/>
      <c r="F42" s="56" t="s">
        <v>100</v>
      </c>
    </row>
    <row r="43" spans="1:6" ht="26.25" customHeight="1">
      <c r="A43" s="130"/>
      <c r="B43" s="143"/>
      <c r="C43" s="146"/>
      <c r="D43" s="148"/>
      <c r="E43" s="151"/>
      <c r="F43" s="56" t="s">
        <v>83</v>
      </c>
    </row>
    <row r="44" spans="1:6" ht="26.25" customHeight="1">
      <c r="A44" s="130"/>
      <c r="B44" s="143"/>
      <c r="C44" s="146"/>
      <c r="D44" s="148"/>
      <c r="E44" s="151"/>
      <c r="F44" s="57" t="s">
        <v>84</v>
      </c>
    </row>
    <row r="45" spans="1:6" ht="26.25" customHeight="1" thickBot="1">
      <c r="A45" s="131"/>
      <c r="B45" s="144"/>
      <c r="C45" s="147"/>
      <c r="D45" s="149"/>
      <c r="E45" s="152"/>
      <c r="F45" s="58"/>
    </row>
    <row r="46" spans="1:6" ht="26.25" customHeight="1" thickBot="1">
      <c r="A46" s="48">
        <v>9</v>
      </c>
      <c r="B46" s="41" t="s">
        <v>40</v>
      </c>
      <c r="C46" s="52">
        <v>104.7</v>
      </c>
      <c r="D46" s="53" t="s">
        <v>59</v>
      </c>
      <c r="E46" s="54" t="s">
        <v>39</v>
      </c>
      <c r="F46" s="59" t="s">
        <v>55</v>
      </c>
    </row>
    <row r="47" spans="1:6" ht="37.5" customHeight="1" thickBot="1">
      <c r="A47" s="48">
        <v>10</v>
      </c>
      <c r="B47" s="41" t="s">
        <v>32</v>
      </c>
      <c r="C47" s="55">
        <v>100</v>
      </c>
      <c r="D47" s="53" t="s">
        <v>61</v>
      </c>
      <c r="E47" s="54" t="s">
        <v>39</v>
      </c>
      <c r="F47" s="60" t="s">
        <v>76</v>
      </c>
    </row>
    <row r="48" spans="1:6" ht="26.35" customHeight="1" thickBot="1">
      <c r="A48" s="4"/>
      <c r="B48" s="5" t="s">
        <v>7</v>
      </c>
      <c r="C48" s="47">
        <f>SUM(C11:C47)</f>
        <v>1561.49</v>
      </c>
      <c r="D48" s="6"/>
      <c r="E48" s="4"/>
      <c r="F48" s="13"/>
    </row>
    <row r="49" spans="2:2" ht="17.649999999999999">
      <c r="B49" s="8"/>
    </row>
  </sheetData>
  <mergeCells count="47">
    <mergeCell ref="A36:A40"/>
    <mergeCell ref="B36:B40"/>
    <mergeCell ref="C36:C40"/>
    <mergeCell ref="D36:D40"/>
    <mergeCell ref="E36:E40"/>
    <mergeCell ref="A41:A45"/>
    <mergeCell ref="B41:B45"/>
    <mergeCell ref="C41:C45"/>
    <mergeCell ref="D41:D45"/>
    <mergeCell ref="E41:E45"/>
    <mergeCell ref="A26:A30"/>
    <mergeCell ref="B26:B30"/>
    <mergeCell ref="C26:C30"/>
    <mergeCell ref="D26:D30"/>
    <mergeCell ref="E26:E30"/>
    <mergeCell ref="A31:A35"/>
    <mergeCell ref="B31:B35"/>
    <mergeCell ref="C31:C35"/>
    <mergeCell ref="D31:D35"/>
    <mergeCell ref="E31:E35"/>
    <mergeCell ref="A16:A20"/>
    <mergeCell ref="B16:B20"/>
    <mergeCell ref="C16:C20"/>
    <mergeCell ref="D16:D20"/>
    <mergeCell ref="E16:E20"/>
    <mergeCell ref="A21:A25"/>
    <mergeCell ref="B21:B25"/>
    <mergeCell ref="C21:C25"/>
    <mergeCell ref="D21:D25"/>
    <mergeCell ref="E21:E25"/>
    <mergeCell ref="A6:A10"/>
    <mergeCell ref="B6:B10"/>
    <mergeCell ref="C6:C10"/>
    <mergeCell ref="D6:D10"/>
    <mergeCell ref="E6:E10"/>
    <mergeCell ref="A11:A15"/>
    <mergeCell ref="B11:B15"/>
    <mergeCell ref="C11:C15"/>
    <mergeCell ref="D11:D15"/>
    <mergeCell ref="E11:E15"/>
    <mergeCell ref="A1:F1"/>
    <mergeCell ref="D3:D5"/>
    <mergeCell ref="E3:E5"/>
    <mergeCell ref="F3:F5"/>
    <mergeCell ref="A3:A5"/>
    <mergeCell ref="B3:B5"/>
    <mergeCell ref="C3:C5"/>
  </mergeCells>
  <phoneticPr fontId="1" type="noConversion"/>
  <printOptions horizontalCentered="1"/>
  <pageMargins left="0.11811023622047245" right="0.11811023622047245" top="0.47244094488188981" bottom="0.39370078740157483" header="0.35433070866141736" footer="0.23622047244094491"/>
  <pageSetup paperSize="9" scale="70" orientation="portrait" verticalDpi="0" r:id="rId1"/>
  <ignoredErrors>
    <ignoredError sqref="C4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참여사업 현황</vt:lpstr>
      <vt:lpstr>참여전략</vt:lpstr>
      <vt:lpstr>향후 할 일</vt:lpstr>
      <vt:lpstr>'참여사업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유용훈</dc:creator>
  <cp:lastModifiedBy>유관섭</cp:lastModifiedBy>
  <cp:lastPrinted>2026-04-12T03:18:39Z</cp:lastPrinted>
  <dcterms:created xsi:type="dcterms:W3CDTF">2013-10-13T01:59:16Z</dcterms:created>
  <dcterms:modified xsi:type="dcterms:W3CDTF">2026-04-12T03:26:05Z</dcterms:modified>
</cp:coreProperties>
</file>