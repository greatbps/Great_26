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615" windowHeight="9900" tabRatio="693" activeTab="1"/>
  </x:bookViews>
  <x:sheets>
    <x:sheet name="제안일정" sheetId="1" r:id="rId4"/>
    <x:sheet name="제안서목차" sheetId="2" r:id="rId5"/>
    <x:sheet name="배점표" sheetId="3" r:id="rId6"/>
    <x:sheet name="요구사항" sheetId="4" r:id="rId7"/>
    <x:sheet name="대상현황" sheetId="5" r:id="rId8"/>
    <x:sheet name="필수대상" sheetId="6" r:id="rId9"/>
    <x:sheet name="투입인력" sheetId="7" r:id="rId10"/>
    <x:sheet name="조견표" sheetId="8" r:id="rId11"/>
    <x:sheet name="제출서류" sheetId="9" r:id="rId12"/>
  </x:sheets>
  <x:externalReferences>
    <x:externalReference r:id="rId13"/>
    <x:externalReference r:id="rId14"/>
    <x:externalReference r:id="rId15"/>
    <x:externalReference r:id="rId16"/>
    <x:externalReference r:id="rId17"/>
    <x:externalReference r:id="rId18"/>
    <x:externalReference r:id="rId19"/>
    <x:externalReference r:id="rId20"/>
    <x:externalReference r:id="rId21"/>
    <x:externalReference r:id="rId22"/>
    <x:externalReference r:id="rId23"/>
    <x:externalReference r:id="rId24"/>
    <x:externalReference r:id="rId25"/>
    <x:externalReference r:id="rId26"/>
    <x:externalReference r:id="rId27"/>
  </x:externalReferences>
  <x:definedNames>
    <x:definedName name="_1.05gb_nonplug_drive">'[1]Supplement2'!#REF!</x:definedName>
    <x:definedName name="_1.05gb_plug_drive">'[1]Supplement2'!#REF!</x:definedName>
    <x:definedName name="_2.1gb_fastwide_plug_drive">'[1]Supplement2'!#REF!</x:definedName>
    <x:definedName name="_2.1gb_nonplug_drive">'[1]Supplement2'!#REF!</x:definedName>
    <x:definedName name="_2.1gb_plug_drive">'[1]Supplement2'!#REF!</x:definedName>
    <x:definedName name="_32mb_70nsmemory">'[1]Supplement2'!#REF!</x:definedName>
    <x:definedName name="_4.3gb_fastwide_plug_drive">'[1]Supplement2'!#REF!</x:definedName>
    <x:definedName name="_4.3gb_nonplug_drive">'[1]Supplement2'!#REF!</x:definedName>
    <x:definedName name="_535mb_nonplug_drive">'[1]Supplement2'!#REF!</x:definedName>
    <x:definedName name="_8mb_70nsmemory">'[1]Supplement2'!#REF!</x:definedName>
    <x:definedName name="_alr2">'[2]Option'!$I$29</x:definedName>
    <x:definedName name="_xlnm._FilterDatabase" localSheetId="1" hidden="1">제안서목차!$A$8:$O$383</x:definedName>
    <x:definedName name="_Order1" hidden="1">255</x:definedName>
    <x:definedName name="_Order2" hidden="1">255</x:definedName>
    <x:definedName name="_SMART_SCSIarray">'[1]Supplement2'!#REF!</x:definedName>
    <x:definedName name="_US1">#REF!</x:definedName>
    <x:definedName name="\0">'[3]9GNG운반'!#REF!</x:definedName>
    <x:definedName name="\A">'[3]9GNG운반'!#REF!</x:definedName>
    <x:definedName name="\B">'[3]9GNG운반'!#REF!</x:definedName>
    <x:definedName name="\I">'[3]9GNG운반'!#REF!</x:definedName>
    <x:definedName name="\O">'[3]9GNG운반'!#REF!</x:definedName>
    <x:definedName name="\P">'[3]9GNG운반'!#REF!</x:definedName>
    <x:definedName name="\Q">'[3]9GNG운반'!#REF!</x:definedName>
    <x:definedName name="a">#REF!</x:definedName>
    <x:definedName name="aaa">#REF!</x:definedName>
    <x:definedName name="alr">'[2]Option'!$I$28</x:definedName>
    <x:definedName name="Carepaq_PN">'[4]Carepaq'!$D$1:$D$65536</x:definedName>
    <x:definedName name="Carepaq_TOTAL">'[4]Carepaq'!$A$1:$E$65536</x:definedName>
    <x:definedName name="Chart_1">"Chart 1"</x:definedName>
    <x:definedName name="Compaq_5">#REF!</x:definedName>
    <x:definedName name="Compaq_6">#REF!</x:definedName>
    <x:definedName name="Compaq_rate">#REF!</x:definedName>
    <x:definedName name="CONDUIT">#REF!</x:definedName>
    <x:definedName name="cost">#REF!</x:definedName>
    <x:definedName name="cr_______________">#REF!</x:definedName>
    <x:definedName name="DANGA">'[5]Y-WORK'!$D$19:$D$19,'[5]Y-WORK'!$F$19:$BD$19</x:definedName>
    <x:definedName name="DATA">#REF!</x:definedName>
    <x:definedName name="DATE">#REF!</x:definedName>
    <x:definedName name="DazzlerPCI_array">'[1]Supplement2'!#REF!</x:definedName>
    <x:definedName name="DC율">#REF!</x:definedName>
    <x:definedName name="DEL">#REF!</x:definedName>
    <x:definedName name="DHS">#REF!</x:definedName>
    <x:definedName name="DIA">#REF!</x:definedName>
    <x:definedName name="E14S1">'[\\나\D\~ing\99설계도면\''98년 표준평형\마산삼계\84CNN-90-15L\DATA\ELEC2.XLS]Sheet1'!$E$14</x:definedName>
    <x:definedName name="E5S1">'[\\나\D\~ing\99설계도면\''98년 표준평형\마산삼계\84CNN-90-15L\DATA\ELEC2.XLS]Sheet1'!$E$5</x:definedName>
    <x:definedName name="FIXT">#REF!</x:definedName>
    <x:definedName name="G14S1">'[\\나\D\~ing\99설계도면\''98년 표준평형\마산삼계\84CNN-90-15L\DATA\ELEC2.XLS]Sheet1'!$G$14</x:definedName>
    <x:definedName name="G5S1">'[\\나\D\~ing\99설계도면\''98년 표준평형\마산삼계\84CNN-90-15L\DATA\ELEC2.XLS]Sheet1'!$G$5</x:definedName>
    <x:definedName name="GM">#REF!</x:definedName>
    <x:definedName name="GS">#REF!</x:definedName>
    <x:definedName name="GS인증">#REF!</x:definedName>
    <x:definedName name="HP_5">#REF!</x:definedName>
    <x:definedName name="HP_6">#REF!</x:definedName>
    <x:definedName name="HP_rate">#REF!</x:definedName>
    <x:definedName name="HW_rate">#REF!</x:definedName>
    <x:definedName name="HW_rate2">#REF!</x:definedName>
    <x:definedName name="ID">'[5]Y-WORK'!$I$268:$I$417,'[5]Y-WORK'!$I$427:$I$450</x:definedName>
    <x:definedName name="Int_rate">'[7]DS-최종'!$J$4</x:definedName>
    <x:definedName name="Int_rate2">#REF!</x:definedName>
    <x:definedName name="INV">#REF!</x:definedName>
    <x:definedName name="issd">#REF!</x:definedName>
    <x:definedName name="KA270166C">'[2]Option'!$I$28</x:definedName>
    <x:definedName name="KA270200C">'[2]Option'!$I$29</x:definedName>
    <x:definedName name="KA301160C">'[2]Option'!$I$63</x:definedName>
    <x:definedName name="KA401200C">'[2]Option'!$I$36</x:definedName>
    <x:definedName name="KA421300C">'[2]Option'!$I$45</x:definedName>
    <x:definedName name="KA503200C">'[2]Option'!$I$56</x:definedName>
    <x:definedName name="KA509400C">'[2]Option'!$I$87</x:definedName>
    <x:definedName name="KA960100C">'[2]Option'!$I$47</x:definedName>
    <x:definedName name="Lan_Cate_No">'[8]Oper Amount'!#REF!</x:definedName>
    <x:definedName name="LIST">'[9]부하LOAD'!$B$4:$P$163</x:definedName>
    <x:definedName name="ListPrice범위">#REF!</x:definedName>
    <x:definedName name="LOADT">#REF!</x:definedName>
    <x:definedName name="Maker">#REF!</x:definedName>
    <x:definedName name="MDL">'[10]11월가격'!$A$1:$A$65536</x:definedName>
    <x:definedName name="MH">'[11]DATA'!$I$17:$J$26</x:definedName>
    <x:definedName name="minus">#REF!</x:definedName>
    <x:definedName name="MODEL">#REF!</x:definedName>
    <x:definedName name="MONEY">'[5]Y-WORK'!$F$21:$M$417,'[5]Y-WORK'!$F$427:$M$450</x:definedName>
    <x:definedName name="NO">#REF!</x:definedName>
    <x:definedName name="note">#REF!</x:definedName>
    <x:definedName name="OPTION_PN">'[4]OPT'!$A$1:$A$65536</x:definedName>
    <x:definedName name="OPTION_TOTAL">'[4]OPT'!$A$1:$E$65536</x:definedName>
    <x:definedName name="Oracle_5">#REF!</x:definedName>
    <x:definedName name="Oracle_6">#REF!</x:definedName>
    <x:definedName name="P550OO">'[12]SV'!$A$1:$A$65536</x:definedName>
    <x:definedName name="part">#REF!</x:definedName>
    <x:definedName name="Part_Number">#REF!</x:definedName>
    <x:definedName name="PL_storage">'[1]Supplement2'!#REF!</x:definedName>
    <x:definedName name="PN">'[13]Upgrades pricing'!#REF!</x:definedName>
    <x:definedName name="price">#REF!</x:definedName>
    <x:definedName name="PRINT_AREA_MI">#REF!</x:definedName>
    <x:definedName name="RANGE">#REF!</x:definedName>
    <x:definedName name="rla">#REF!</x:definedName>
    <x:definedName name="RNG">'[10]11월가격'!$A$1:$D$65536</x:definedName>
    <x:definedName name="s">'[12]SV'!$A$1:$E$65536</x:definedName>
    <x:definedName name="Scorpion_M2_processor">'[1]Supplement2'!#REF!</x:definedName>
    <x:definedName name="Seawolf_M2_processor">'[1]Supplement2'!#REF!</x:definedName>
    <x:definedName name="seawolf_TRadder">#REF!</x:definedName>
    <x:definedName name="SERVER">#REF!</x:definedName>
    <x:definedName name="SERVER_PN">'[14]SV'!$A$1:$A$65536</x:definedName>
    <x:definedName name="SERVER_TOTAL">'[14]SV'!$A$1:$E$65536</x:definedName>
    <x:definedName name="Service_Price">#REF!</x:definedName>
    <x:definedName name="SIL">'[11]데이타'!$R$23:$S$32</x:definedName>
    <x:definedName name="SM">#REF!</x:definedName>
    <x:definedName name="SRP">#REF!</x:definedName>
    <x:definedName name="Sturgeon_M2_processor">'[1]Supplement2'!#REF!</x:definedName>
    <x:definedName name="SUN_5">#REF!</x:definedName>
    <x:definedName name="SUN_6">#REF!</x:definedName>
    <x:definedName name="SUN_rate">#REF!</x:definedName>
    <x:definedName name="SVR">#REF!</x:definedName>
    <x:definedName name="SVRAG">#REF!</x:definedName>
    <x:definedName name="SVRDESC">#REF!</x:definedName>
    <x:definedName name="SW_rate">#REF!</x:definedName>
    <x:definedName name="SW_rate2">#REF!</x:definedName>
    <x:definedName name="t">#REF!</x:definedName>
    <x:definedName name="Tan_SW_5">#REF!</x:definedName>
    <x:definedName name="Tan_SW_6">#REF!</x:definedName>
    <x:definedName name="Tandem_5">#REF!</x:definedName>
    <x:definedName name="Tandem_6">#REF!</x:definedName>
    <x:definedName name="total">#REF!</x:definedName>
    <x:definedName name="TStorm_M2_Processor">'[1]Supplement2'!#REF!</x:definedName>
    <x:definedName name="UPG_PN">#REF!</x:definedName>
    <x:definedName name="Z_030448DB_CF1D_4389_AD56_1154D050A24F_.wvu.FilterData" localSheetId="1" hidden="1">제안서목차!$A$8:$O$383</x:definedName>
    <x:definedName name="Z_030448DB_CF1D_4389_AD56_1154D050A24F_.wvu.PrintArea" localSheetId="1" hidden="1">제안서목차!$A$8:$N$383</x:definedName>
    <x:definedName name="Z_0CC9FED1_9090_4DE0_9DF7_0F57CEF7CC64_.wvu.FilterData" localSheetId="1" hidden="1">제안서목차!$A$8:$O$383</x:definedName>
    <x:definedName name="Z_0CC9FED1_9090_4DE0_9DF7_0F57CEF7CC64_.wvu.PrintArea" localSheetId="1" hidden="1">제안서목차!$A$8:$N$383</x:definedName>
    <x:definedName name="Z_1717D931_0E7B_46E5_8825_28FFE258EE70_.wvu.FilterData" localSheetId="1" hidden="1">제안서목차!$A$8:$O$383</x:definedName>
    <x:definedName name="Z_1717D931_0E7B_46E5_8825_28FFE258EE70_.wvu.PrintArea" localSheetId="1" hidden="1">제안서목차!$A$8:$N$383</x:definedName>
    <x:definedName name="Z_1A0A0F9D_F92A_4EB2_B1AB_A3FF28778D86_.wvu.FilterData" localSheetId="1" hidden="1">제안서목차!$A$8:$O$383</x:definedName>
    <x:definedName name="Z_1A0A0F9D_F92A_4EB2_B1AB_A3FF28778D86_.wvu.PrintArea" localSheetId="1" hidden="1">제안서목차!$A$8:$N$383</x:definedName>
    <x:definedName name="Z_1DF7F1A4_C87A_4D96_B11C_3A74C161E96F_.wvu.FilterData" localSheetId="1" hidden="1">제안서목차!$A$8:$O$383</x:definedName>
    <x:definedName name="Z_1DF7F1A4_C87A_4D96_B11C_3A74C161E96F_.wvu.PrintArea" localSheetId="1" hidden="1">제안서목차!$A$8:$N$383</x:definedName>
    <x:definedName name="Z_1E172859_0199_4B92_B9FD_B6CD44A2E674_.wvu.FilterData" localSheetId="1" hidden="1">제안서목차!$A$8:$O$383</x:definedName>
    <x:definedName name="Z_1E172859_0199_4B92_B9FD_B6CD44A2E674_.wvu.PrintArea" localSheetId="1" hidden="1">제안서목차!$A$8:$N$383</x:definedName>
    <x:definedName name="Z_1E172859_0199_4B92_B9FD_B6CD44A2E674_.wvu.Rows" localSheetId="1" hidden="1">제안서목차!$2:$7</x:definedName>
    <x:definedName name="Z_1F3090C1_EC73_4399_8015_9D3E4B5FB230_.wvu.FilterData" localSheetId="1" hidden="1">제안서목차!$A$8:$O$383</x:definedName>
    <x:definedName name="Z_1F3090C1_EC73_4399_8015_9D3E4B5FB230_.wvu.PrintArea" localSheetId="1" hidden="1">제안서목차!$A$8:$N$383</x:definedName>
    <x:definedName name="Z_37604246_DB15_42F6_9350_32846669400B_.wvu.PrintArea" localSheetId="0" hidden="1">제안일정!$A$1:$J$26</x:definedName>
    <x:definedName name="Z_39224D01_2030_45E7_ABD6_A751CE8F332C_.wvu.PrintArea" localSheetId="0" hidden="1">제안일정!$A$1:$J$26</x:definedName>
    <x:definedName name="Z_39224D01_2030_45E7_ABD6_A751CE8F332C_.wvu.Rows" localSheetId="0" hidden="1">제안일정!$5:$10</x:definedName>
    <x:definedName name="Z_3A28C192_E7DB_40B1_898F_ED9AEAC58C7A_.wvu.PrintArea" localSheetId="0" hidden="1">제안일정!$A$1:$J$26</x:definedName>
    <x:definedName name="Z_3F1671B1_C781_4024_8B1E_300366D0D8FF_.wvu.PrintArea" localSheetId="0" hidden="1">제안일정!$A$1:$J$26</x:definedName>
    <x:definedName name="Z_464C281A_DA14_4EC5_A59A_2E22AB802E11_.wvu.FilterData" localSheetId="1" hidden="1">제안서목차!$A$8:$O$383</x:definedName>
    <x:definedName name="Z_464C281A_DA14_4EC5_A59A_2E22AB802E11_.wvu.PrintArea" localSheetId="1" hidden="1">제안서목차!$A$8:$N$383</x:definedName>
    <x:definedName name="Z_54BEE109_06D8_4E77_8659_D8411FC20984_.wvu.FilterData" localSheetId="1" hidden="1">제안서목차!$A$8:$O$383</x:definedName>
    <x:definedName name="Z_54BEE109_06D8_4E77_8659_D8411FC20984_.wvu.PrintArea" localSheetId="1" hidden="1">제안서목차!$A$8:$N$383</x:definedName>
    <x:definedName name="Z_5A34107F_C5DB_4E19_9AA8_B233D614E48A_.wvu.FilterData" localSheetId="1" hidden="1">제안서목차!$A$8:$O$383</x:definedName>
    <x:definedName name="Z_5A34107F_C5DB_4E19_9AA8_B233D614E48A_.wvu.PrintArea" localSheetId="1" hidden="1">제안서목차!$A$8:$N$383</x:definedName>
    <x:definedName name="Z_5C6C288D_90AF_4798_ADC7_1CC30A45A7E0_.wvu.PrintArea" localSheetId="0" hidden="1">제안일정!$A$1:$J$26</x:definedName>
    <x:definedName name="Z_5F029AC2_5260_4821_AD59_775244811931_.wvu.PrintArea" localSheetId="0" hidden="1">제안일정!$A$1:$J$26</x:definedName>
    <x:definedName name="Z_878D13FC_3F5E_4579_A901_7B2293FC47DD_.wvu.PrintArea" localSheetId="0" hidden="1">제안일정!$A$1:$J$26</x:definedName>
    <x:definedName name="Z_878D13FC_3F5E_4579_A901_7B2293FC47DD_.wvu.Rows" localSheetId="0" hidden="1">제안일정!$5:$10</x:definedName>
    <x:definedName name="Z_8A013C62_F242_459C_8187_1DB01769DF2A_.wvu.FilterData" localSheetId="1" hidden="1">제안서목차!$A$8:$O$383</x:definedName>
    <x:definedName name="Z_8A013C62_F242_459C_8187_1DB01769DF2A_.wvu.PrintArea" localSheetId="1" hidden="1">제안서목차!$A$8:$N$383</x:definedName>
    <x:definedName name="Z_8A013C62_F242_459C_8187_1DB01769DF2A_.wvu.Rows" localSheetId="1" hidden="1">제안서목차!$2:$7,제안서목차!$11:$51,제안서목차!$53:$75</x:definedName>
    <x:definedName name="Z_948ABD53_EB86_49D4_BA30_4030EEF2D883_.wvu.PrintArea" localSheetId="0" hidden="1">제안일정!$A$1:$J$26</x:definedName>
    <x:definedName name="Z_948ABD53_EB86_49D4_BA30_4030EEF2D883_.wvu.Rows" localSheetId="0" hidden="1">제안일정!$5:$10</x:definedName>
    <x:definedName name="Z_A0E2CCF6_B25E_4E70_B0A5_0BDDC47FC43E_.wvu.FilterData" localSheetId="1" hidden="1">제안서목차!$A$8:$O$383</x:definedName>
    <x:definedName name="Z_A0E2CCF6_B25E_4E70_B0A5_0BDDC47FC43E_.wvu.PrintArea" localSheetId="1" hidden="1">제안서목차!$A$8:$N$383</x:definedName>
    <x:definedName name="Z_A9E9F457_709E_42BC_988F_82F5528691E4_.wvu.FilterData" localSheetId="1" hidden="1">제안서목차!$A$8:$O$383</x:definedName>
    <x:definedName name="Z_A9E9F457_709E_42BC_988F_82F5528691E4_.wvu.PrintArea" localSheetId="1" hidden="1">제안서목차!$A$8:$N$383</x:definedName>
    <x:definedName name="Z_C2200AA4_8DF6_41EF_99E8_6E9220B8AD75_.wvu.PrintArea" localSheetId="0" hidden="1">제안일정!$A$1:$J$26</x:definedName>
    <x:definedName name="Z_C2200AA4_8DF6_41EF_99E8_6E9220B8AD75_.wvu.Rows" localSheetId="0" hidden="1">제안일정!$5:$10</x:definedName>
    <x:definedName name="Z_C277AB88_AEF1_4CD6_B6BD_C3DF608EFB94_.wvu.FilterData" localSheetId="1" hidden="1">제안서목차!$A$8:$O$383</x:definedName>
    <x:definedName name="Z_C277AB88_AEF1_4CD6_B6BD_C3DF608EFB94_.wvu.PrintArea" localSheetId="1" hidden="1">제안서목차!$A$8:$N$383</x:definedName>
    <x:definedName name="Z_C381CCBF_2DDE_4841_9408_55CE754F8DC4_.wvu.FilterData" localSheetId="1" hidden="1">제안서목차!$A$8:$O$383</x:definedName>
    <x:definedName name="Z_C381CCBF_2DDE_4841_9408_55CE754F8DC4_.wvu.PrintArea" localSheetId="1" hidden="1">제안서목차!$A$8:$N$383</x:definedName>
    <x:definedName name="Z_E4632E13_3E08_499F_A226_845166D0E3BF_.wvu.FilterData" localSheetId="1" hidden="1">제안서목차!$A$8:$O$383</x:definedName>
    <x:definedName name="Z_E4632E13_3E08_499F_A226_845166D0E3BF_.wvu.PrintArea" localSheetId="1" hidden="1">제안서목차!$A$8:$N$383</x:definedName>
    <x:definedName name="Z_E8598FE6_28A0_4E9B_8D76_491EE4AF6F07_.wvu.PrintArea" localSheetId="0" hidden="1">제안일정!$A$1:$J$26</x:definedName>
    <x:definedName name="Z_FA29B531_3839_4855_94A0_0476BCABCE06_.wvu.PrintArea" localSheetId="0" hidden="1">제안일정!$A$1:$J$26</x:definedName>
    <x:definedName name="Z_FA29B531_3839_4855_94A0_0476BCABCE06_.wvu.Rows" localSheetId="0" hidden="1">제안일정!$5:$10</x:definedName>
    <x:definedName name="Z_FB440050_788E_4619_BB91_1C56DF42FD2D_.wvu.Cols" localSheetId="1" hidden="1">제안서목차!$H:$H</x:definedName>
    <x:definedName name="Z_FB440050_788E_4619_BB91_1C56DF42FD2D_.wvu.FilterData" localSheetId="1" hidden="1">제안서목차!$A$8:$O$383</x:definedName>
    <x:definedName name="Z_FB440050_788E_4619_BB91_1C56DF42FD2D_.wvu.PrintArea" localSheetId="1" hidden="1">제안서목차!$A$8:$N$383</x:definedName>
    <x:definedName name="결정치">#REF!</x:definedName>
    <x:definedName name="구분">#REF!</x:definedName>
    <x:definedName name="구분항목">#REF!</x:definedName>
    <x:definedName name="기타_5">#REF!</x:definedName>
    <x:definedName name="기타_6">#REF!</x:definedName>
    <x:definedName name="나이스">#REF!</x:definedName>
    <x:definedName name="나이스이익">#REF!</x:definedName>
    <x:definedName name="노출형">'[11]DATA'!$E$50:$F$59</x:definedName>
    <x:definedName name="루슨트">#REF!</x:definedName>
    <x:definedName name="매입개방">'[11]DATA'!$E$6:$F$15</x:definedName>
    <x:definedName name="부대비용">#REF!</x:definedName>
    <x:definedName name="서류관리">제안일정!#REF!</x:definedName>
    <x:definedName name="요율">#REF!</x:definedName>
    <x:definedName name="용량">#REF!</x:definedName>
    <x:definedName name="원가환율">#REF!</x:definedName>
    <x:definedName name="이름">#REF!</x:definedName>
    <x:definedName name="이익">#REF!</x:definedName>
    <x:definedName name="자료1">#REF!</x:definedName>
    <x:definedName name="자료2">#REF!</x:definedName>
    <x:definedName name="재료집계3">#REF!</x:definedName>
    <x:definedName name="제조사">#REF!</x:definedName>
    <x:definedName name="제조사선택목록">'[15]데이터유효성검사자료'!$B$3:$B$1163</x:definedName>
    <x:definedName name="ㅌ460">'[14]SV'!$A$1:$E$65536</x:definedName>
    <x:definedName name="ㅌ550">'[12]SV'!$A$1:$E$65536</x:definedName>
    <x:definedName name="통관비">#REF!</x:definedName>
    <x:definedName name="통화">#REF!</x:definedName>
    <x:definedName name="파이프펜던트">'[11]DATA'!$E$17:$F$26</x:definedName>
    <x:definedName name="필수일정">OFFSET(제안일정!$K$5:$K$10,0,0,COUNTA(제안일정!$K:$K),1)</x:definedName>
    <x:definedName name="항목">#REF!</x:definedName>
    <x:definedName name="허용전류">#REF!</x:definedName>
    <x:definedName name="환율">#REF!</x:definedName>
    <x:definedName name="_xlnm.Print_Area">#REF!</x:definedName>
    <x:definedName name="_xlnm.Print_Area" localSheetId="0">제안일정!$A$1:$J$26</x:definedName>
    <x:definedName name="_xlnm.Print_Area" localSheetId="1">제안서목차!$A$8:$N$383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<x:sst xmlns:r="http://schemas.openxmlformats.org/officeDocument/2006/relationships" xmlns:c="http://schemas.openxmlformats.org/drawingml/2006/chart" xmlns:x="http://schemas.openxmlformats.org/spreadsheetml/2006/main" count="1219" uniqueCount="915">
  <x:si>
    <x:t>사업 특성과 제시한 추진전략에 따른 수행조직(전문업체, 기술지원업체, 공동수급체 및 하도급 등) 구성과 참여 조직간 역할, 책임, 품질 확보 및 협력 방안이 구체적이고 적절한지 평가한다.</x:t>
  </x:si>
  <x:si>
    <x:t>유지보수 대상 중 아래의 품목(필수 예방점검 실시대상)에 대해서는 전문인력이 지원할 수 있도록 제조사 또는 협력사와 유지보수 계약을 체결 후 계약서를 사업수행 시작일로부터 1개월 이내에 제출</x:t>
  </x:si>
  <x:si>
    <x:t xml:space="preserve">장애 발생 시 원인 분석 및 긴급 복구 계획, 장애대응체계 구성 및 운영 계획, 장애관리 매뉴얼 마련 및 교육훈련 방안 등 장애대응 및 복구를 위한 추진방안이 구체적이고 적절한지를 평가한다. </x:t>
  </x:si>
  <x:si>
    <x:t xml:space="preserve">하드웨어, 소프트웨어, 네트워크 등 시스템 운용환경의 안정적ㆍ정상적 운영을 위해 운영 및 유지관리 총괄, 서비스데스크 운영 및 관리, 서비스수준관리 방안 등이 구체적이고 적절한지를 평가한다. </x:t>
  </x:si>
  <x:si>
    <x:t xml:space="preserve">■ 평가방법(조달청 온라인평가) : 온라인 2024/12/10 13:30 ~ / 발표 15분, 질의 10분
    평가위원 사전검토 시간 : 120분 이상 / 차등점수제를 적용하는 평가 3점 </x:t>
  </x:si>
  <x:si>
    <x:t>「소프트웨어 진흥법령」에 따라 입찰 시 제출한 붙임 제9호서식의 소프트웨어사업 하도급 계획서에서 하도급에 참가하는 자의 하도급 금액 비율, 하도급 계약금액 비율이 본 사업의 규모, 목적 및 특성 등을 고려하여 적정한지를 평가한다.다만, 하도급을 하지 않는 경우 또는 하도급 금액 비율이 100분의 10이하이면서「하도급거래 공정화에 관한 법률」제3조의2에 따른 소프트웨어사업 표준하도급계약서를 활용할 계획이 있는 자는 최고등급을 부여한다.</x:t>
  </x:si>
  <x:si>
    <x:t>사업수행 간 발생할 수 있는 재해 예방 및 대응, 재발 방지를 위한 안전보건관리체계의 구축 및 이행 방안과 안전·보건 관계 법령에 따른 의무이행에 필요한 관리사항의 조치 계획이 구체적이고 적절한지 평가한다.</x:t>
  </x:si>
  <x:si>
    <x:t>신용평가등급에 의한 평가</x:t>
  </x:si>
  <x:si>
    <x:t>하드웨어 유지보수 범위</x:t>
  </x:si>
  <x:si>
    <x:t>응용소프트웨어 유지보수 범위</x:t>
  </x:si>
  <x:si>
    <x:t>라. 기반 설비 및 기타</x:t>
  </x:si>
  <x:si>
    <x:t>•임무: 유지보수 업무 총괄</x:t>
  </x:si>
  <x:si>
    <x:t>상용소프트웨어 유지보수 범위</x:t>
  </x:si>
  <x:si>
    <x:t xml:space="preserve">보안 위반 시 제재조치 </x:t>
  </x:si>
  <x:si>
    <x:t>서비스 수준 협약(SLA)</x:t>
  </x:si>
  <x:si>
    <x:t>가. 주장비/상용 SW</x:t>
  </x:si>
  <x:si>
    <x:t>데이터베이스관리자
(DBA)</x:t>
  </x:si>
  <x:si>
    <x:t>조직 및 인력 구성 및 요건</x:t>
  </x:si>
  <x:si>
    <x:t>하자보수 대상 장비 관리</x:t>
  </x:si>
  <x:si>
    <x:t>1. 대상 장비 총괄 현황</x:t>
  </x:si>
  <x:si>
    <x:t>나. 네트워크 / 정보보호</x:t>
  </x:si>
  <x:si>
    <x:t>제출일까지 남은 일수 :</x:t>
  </x:si>
  <x:si>
    <x:t>제안서 전자제출(10:00)</x:t>
  </x:si>
  <x:si>
    <x:t>기반 설비 유지보수 범위</x:t>
  </x:si>
  <x:si>
    <x:t>SER-002, 003</x:t>
  </x:si>
  <x:si>
    <x:t>인증체계, 출입통제체계 제외</x:t>
  </x:si>
  <x:si>
    <x:t>고객 방문 및 질의답변 확인</x:t>
  </x:si>
  <x:si>
    <x:t>② 정성적 제안서 1식</x:t>
  </x:si>
  <x:si>
    <x:t>가. 사업의 추진 방향</x:t>
  </x:si>
  <x:si>
    <x:t>라. 사업의 추진 전략</x:t>
  </x:si>
  <x:si>
    <x:t>가. 사업수행 추진 체계</x:t>
  </x:si>
  <x:si>
    <x:t>① 정량적 제안서 1식</x:t>
  </x:si>
  <x:si>
    <x:t>케이사인이 대표해서 제출</x:t>
  </x:si>
  <x:si>
    <x:t>사. 제안의 특성 및 장점</x:t>
  </x:si>
  <x:si>
    <x:t>나. 추진 체계 구성 전략</x:t>
  </x:si>
  <x:si>
    <x:t>다. 추진 체계 운영방안</x:t>
  </x:si>
  <x:si>
    <x:t>라. 추진 체계 조직도</x:t>
  </x:si>
  <x:si>
    <x:t>제안서 최종 검토 후 제출</x:t>
  </x:si>
  <x:si>
    <x:t>4. 보안 및 위험관리</x:t>
  </x:si>
  <x:si>
    <x:t>MPR-004, 010</x:t>
  </x:si>
  <x:si>
    <x:t>Ⅵ. 하도급 계획 적정성</x:t>
  </x:si>
  <x:si>
    <x:t>제안 설명회 일정 확인</x:t>
  </x:si>
  <x:si>
    <x:t>1. 하도급 계획의 적정성</x:t>
  </x:si>
  <x:si>
    <x:t>MPR-007, 008</x:t>
  </x:si>
  <x:si>
    <x:t>2. 제안 관련 증빙자료</x:t>
  </x:si>
  <x:si>
    <x:t>4. 사업 추진 방법론</x:t>
  </x:si>
  <x:si>
    <x:t>MPR-003, 004</x:t>
  </x:si>
  <x:si>
    <x:t>4) 콜센터 장애대응 방안</x:t>
  </x:si>
  <x:si>
    <x:t>1) 산출물 관리 원칙</x:t>
  </x:si>
  <x:si>
    <x:t>3) 전산장비 이력관리</x:t>
  </x:si>
  <x:si>
    <x:t>2) 유지관리 중점사항</x:t>
  </x:si>
  <x:si>
    <x:t>3) 유지관리 중점사항</x:t>
  </x:si>
  <x:si>
    <x:t>3) 콜센터 운영 보고</x:t>
  </x:si>
  <x:si>
    <x:t>7) 요구사항 관리 방안</x:t>
  </x:si>
  <x:si>
    <x:t>1) 제약사항 충족방안</x:t>
  </x:si>
  <x:si>
    <x:t>2) 업무보고 프로세스 개선</x:t>
  </x:si>
  <x:si>
    <x:t>4) 정기 산출물 제출 방안</x:t>
  </x:si>
  <x:si>
    <x:t>3) 유지관리 수행범위</x:t>
  </x:si>
  <x:si>
    <x:t>4) 제안사 중소기업 확인서</x:t>
  </x:si>
  <x:si>
    <x:t>4) 유지관리 프로세스</x:t>
  </x:si>
  <x:si>
    <x:t>4) 구성도 현행화 방안</x:t>
  </x:si>
  <x:si>
    <x:t>라. 하드웨어 유지보수 방안</x:t>
  </x:si>
  <x:si>
    <x:t>아. 전문업체 상생협력 방안</x:t>
  </x:si>
  <x:si>
    <x:t>5) 유지관리 수행절차</x:t>
  </x:si>
  <x:si>
    <x:t>6) 유지관리 업무 수행</x:t>
  </x:si>
  <x:si>
    <x:t>4) 서버 장비 유지관리</x:t>
  </x:si>
  <x:si>
    <x:t>6) 네트워크 장비 유지관리</x:t>
  </x:si>
  <x:si>
    <x:t>1) 일반현황 및 주요연혁</x:t>
  </x:si>
  <x:si>
    <x:t>가. 전산장비 유지보수 개요</x:t>
  </x:si>
  <x:si>
    <x:t>7) 보안 장비 유지관리</x:t>
  </x:si>
  <x:si>
    <x:t>8) 운영 및 모니터링 방안</x:t>
  </x:si>
  <x:si>
    <x:t>5) DBMS 유지관리 방안</x:t>
  </x:si>
  <x:si>
    <x:t>7) 라이선스 유지 및 관리</x:t>
  </x:si>
  <x:si>
    <x:t>1) 하드웨어 유지관리 전략</x:t>
  </x:si>
  <x:si>
    <x:t>2) 실사 및 현행화 방안</x:t>
  </x:si>
  <x:si>
    <x:t>2) 유지관리 대상 현황</x:t>
  </x:si>
  <x:si>
    <x:t>3) 하드웨어 유지관리 방안</x:t>
  </x:si>
  <x:si>
    <x:t>2) 콜센터 운영 업무</x:t>
  </x:si>
  <x:si>
    <x:t>다. 사업 추진 방법론 적용</x:t>
  </x:si>
  <x:si>
    <x:t>다. 예비부품 확보 방안</x:t>
  </x:si>
  <x:si>
    <x:t>가) 성능개선 수행 전략</x:t>
  </x:si>
  <x:si>
    <x:t>라) 성능 최적화 프로세스</x:t>
  </x:si>
  <x:si>
    <x:t>1) 장애 처리 프로세스</x:t>
  </x:si>
  <x:si>
    <x:t>6) 단계별 장애 처리 방안</x:t>
  </x:si>
  <x:si>
    <x:t>4) 정기점검 대상 및 시기</x:t>
  </x:si>
  <x:si>
    <x:t>8) 중복장애 처리 방안</x:t>
  </x:si>
  <x:si>
    <x:t>10) 장애 이력 관리 방안</x:t>
  </x:si>
  <x:si>
    <x:t>1) 백업 및 복구 개요</x:t>
  </x:si>
  <x:si>
    <x:t>라. 예방점검 수행 절차</x:t>
  </x:si>
  <x:si>
    <x:t>2) 백업 시스템 운영 방안</x:t>
  </x:si>
  <x:si>
    <x:t>5) 백업 및 복구 방안</x:t>
  </x:si>
  <x:si>
    <x:t>3) 백업 방안 및 절차</x:t>
  </x:si>
  <x:si>
    <x:t>가) 업무보고 체계 수립</x:t>
  </x:si>
  <x:si>
    <x:t>제안 PT (조달평 평가)</x:t>
  </x:si>
  <x:si>
    <x:t>사. 특별점검 수행방안</x:t>
  </x:si>
  <x:si>
    <x:t>7) 복합장애 처리 방안</x:t>
  </x:si>
  <x:si>
    <x:t>6) 백업 및 복구 절차</x:t>
  </x:si>
  <x:si>
    <x:t>1) 예비부품 확보 전략</x:t>
  </x:si>
  <x:si>
    <x:t>2) 예비부품 확보 방안</x:t>
  </x:si>
  <x:si>
    <x:t>3) 예비부품 관리 절차</x:t>
  </x:si>
  <x:si>
    <x:t>나. 장애예방 점검 개요</x:t>
  </x:si>
  <x:si>
    <x:t xml:space="preserve">3) 성능 관리 및 개선 </x:t>
  </x:si>
  <x:si>
    <x:t>다) 성능 최적화 방법론</x:t>
  </x:si>
  <x:si>
    <x:t>가) 정보체계 개선 방안</x:t>
  </x:si>
  <x:si>
    <x:t>라) 효율적인 의사소통 수행</x:t>
  </x:si>
  <x:si>
    <x:t>마. 정기점검 수행 방안</x:t>
  </x:si>
  <x:si>
    <x:t>바. 수시점검 수행방안</x:t>
  </x:si>
  <x:si>
    <x:t>나. 백업 및 복구 방안</x:t>
  </x:si>
  <x:si>
    <x:t>나) 성능개선 수행 방안</x:t>
  </x:si>
  <x:si>
    <x:t>나) 보고 시기 및 보고서</x:t>
  </x:si>
  <x:si>
    <x:t>다. 예방점검 수행 방안</x:t>
  </x:si>
  <x:si>
    <x:t>다. 사업수행 업무분장</x:t>
  </x:si>
  <x:si>
    <x:t>6) 예비부품 확보 현황</x:t>
  </x:si>
  <x:si>
    <x:t>나. 수행조직 운영방안</x:t>
  </x:si>
  <x:si>
    <x:t>4) 전체 추진일정 계획</x:t>
  </x:si>
  <x:si>
    <x:t>바. 사업관리자(PM) 역량</x:t>
  </x:si>
  <x:si>
    <x:t>아. 상주인력 기술 현황</x:t>
  </x:si>
  <x:si>
    <x:t>자. 상주인력 이력사항</x:t>
  </x:si>
  <x:si>
    <x:t>1) 투입인력 관리 방안</x:t>
  </x:si>
  <x:si>
    <x:t>3) 상주인력 운영 방안</x:t>
  </x:si>
  <x:si>
    <x:t>라. 안전보건관리 방법론</x:t>
  </x:si>
  <x:si>
    <x:t>자. 의사소통관리 방안</x:t>
  </x:si>
  <x:si>
    <x:t>1) 보안관리 지침 준수</x:t>
  </x:si>
  <x:si>
    <x:t>3) 업무보고 목록 및 내역</x:t>
  </x:si>
  <x:si>
    <x:t>라. 품질보증 계획 및 방법</x:t>
  </x:si>
  <x:si>
    <x:t>2) 보안조직 및 관리절차</x:t>
  </x:si>
  <x:si>
    <x:t xml:space="preserve">3) 일정관리 상세방안 </x:t>
  </x:si>
  <x:si>
    <x:t>나. 품질보증 조직 및 역할</x:t>
  </x:si>
  <x:si>
    <x:t>자. 서비스 수준 관리 방안</x:t>
  </x:si>
  <x:si>
    <x:t>3) SLA 추진 절차</x:t>
  </x:si>
  <x:si>
    <x:t>8) SLA 개선 방안</x:t>
  </x:si>
  <x:si>
    <x:t>5) 개인정보 보호 대책방안</x:t>
  </x:si>
  <x:si>
    <x:t>1) 일정관리 계획 개요</x:t>
  </x:si>
  <x:si>
    <x:t xml:space="preserve">마. 상주인력 관리 방안 </x:t>
  </x:si>
  <x:si>
    <x:t>타. 유지보수 수행 관리사항</x:t>
  </x:si>
  <x:si>
    <x:t>마. 안전점검 및 이행점검</x:t>
  </x:si>
  <x:si>
    <x:t>3) 단계별 산출물 제출계획</x:t>
  </x:si>
  <x:si>
    <x:t>4) 개인정보보호법 준수</x:t>
  </x:si>
  <x:si>
    <x:t>2) SLA 운영방법론</x:t>
  </x:si>
  <x:si>
    <x:t>4) 예비부품 확보 체계</x:t>
  </x:si>
  <x:si>
    <x:t>바. 안전보건관리 교육</x:t>
  </x:si>
  <x:si>
    <x:t>가. 수행조직 구성 전략</x:t>
  </x:si>
  <x:si>
    <x:t>가. 안전보건관리 전략</x:t>
  </x:si>
  <x:si>
    <x:t>바. 정보보호 담당 증빙자료</x:t>
  </x:si>
  <x:si>
    <x:t>5) 관리적 보안관리 방안</x:t>
  </x:si>
  <x:si>
    <x:t>7) 기술적 보안관리 방안</x:t>
  </x:si>
  <x:si>
    <x:t>2) 비상사태 대응 계획</x:t>
  </x:si>
  <x:si>
    <x:t>자. 콜센터 담당 증빙자료</x:t>
  </x:si>
  <x:si>
    <x:t>8) 콜센터 담당 이력사항</x:t>
  </x:si>
  <x:si>
    <x:t>다. 비상사태 대응 방안</x:t>
  </x:si>
  <x:si>
    <x:t>4) 비상사태 유형 정의</x:t>
  </x:si>
  <x:si>
    <x:t>3) 전문협력업체 협업 방안</x:t>
  </x:si>
  <x:si>
    <x:t>2) 기밀보안 관리 체계</x:t>
  </x:si>
  <x:si>
    <x:t>1) 비상사태 대응 체계</x:t>
  </x:si>
  <x:si>
    <x:t>3. 제안사 관련 증빙자료</x:t>
  </x:si>
  <x:si>
    <x:t>8) 외부자 보안준수 방안</x:t>
  </x:si>
  <x:si>
    <x:t>4) 위험요소 분류 체계</x:t>
  </x:si>
  <x:si>
    <x:t>4. 투입인력 증빙자료</x:t>
  </x:si>
  <x:si>
    <x:t>1) 전산장비 관리체계</x:t>
  </x:si>
  <x:si>
    <x:t>사. 기반설비 담당 증빙자료</x:t>
  </x:si>
  <x:si>
    <x:t>가. 하도급 관리 규정 준수</x:t>
  </x:si>
  <x:si>
    <x:t>8) 원거리 기술지원 체계</x:t>
  </x:si>
  <x:si>
    <x:t>7) 상주인력 동기부여 방안</x:t>
  </x:si>
  <x:si>
    <x:t>4) 사업수행 중 보안관리</x:t>
  </x:si>
  <x:si>
    <x:t>나) 전산자원 보안 관리</x:t>
  </x:si>
  <x:si>
    <x:t>6) 물리적 보안관리 방안</x:t>
  </x:si>
  <x:si>
    <x:t>4) 이직 최소화 방안</x:t>
  </x:si>
  <x:si>
    <x:t>5) 정보보호 담당 이력사항</x:t>
  </x:si>
  <x:si>
    <x:t>3) 위험요소 식별 방안</x:t>
  </x:si>
  <x:si>
    <x:t>6) 투입인력 교체 절차</x:t>
  </x:si>
  <x:si>
    <x:t>6) 전문업체 상생협력 방안</x:t>
  </x:si>
  <x:si>
    <x:t>3) 전산장비 정보 이력관리</x:t>
  </x:si>
  <x:si>
    <x:t>6) 기반설비 담당 이력사항</x:t>
  </x:si>
  <x:si>
    <x:t>5) 대체인력 구성 방안</x:t>
  </x:si>
  <x:si>
    <x:t>1. 입찰참가자격 확인서류</x:t>
  </x:si>
  <x:si>
    <x:t>2) 기술이전 대상 및 범위</x:t>
  </x:si>
  <x:si>
    <x:t>다) 기술적용계획표 준수</x:t>
  </x:si>
  <x:si>
    <x:t>공동수급체 정량 점수 계산</x:t>
  </x:si>
  <x:si>
    <x:t>1) 기술이전 목표 및 전략</x:t>
  </x:si>
  <x:si>
    <x:t>2) 교육훈련 조직 및 절차</x:t>
  </x:si>
  <x:si>
    <x:t>6) 최신 IT신기술 제공</x:t>
  </x:si>
  <x:si>
    <x:t>배점 100% 57.8억</x:t>
  </x:si>
  <x:si>
    <x:t>5. 사업 인수인계 계획서</x:t>
  </x:si>
  <x:si>
    <x:t>4) 인수 일정 및 체계</x:t>
  </x:si>
  <x:si>
    <x:t>3) 사업착수 시 전환 방안</x:t>
  </x:si>
  <x:si>
    <x:t>4) 기술이전 절차 및 방법</x:t>
  </x:si>
  <x:si>
    <x:t>6) 기술자료집 현행화 방안</x:t>
  </x:si>
  <x:si>
    <x:t>사업에 맞게 반영 필요</x:t>
  </x:si>
  <x:si>
    <x:t>4) 교육훈련 방법 및 도구</x:t>
  </x:si>
  <x:si>
    <x:t>8. 사업수행 산출물 목록</x:t>
  </x:si>
  <x:si>
    <x:t>[붙임 7호 서식] 공동수급표준협정서(공동이행방식)
[붙임 8호 서식] 공동수급 합의 각서</x:t>
  </x:si>
  <x:si>
    <x:t>기술적 보안 구현방안이 제안요청서의 보안요구사항을 충족할 만큼 구체적이고 적절한지 평가한다.</x:t>
  </x:si>
  <x:si>
    <x:t>제출기한 : 입찰서 제출 마감일 전일 18시 까지
2024/12/02 월요일 18시 전까지</x:t>
  </x:si>
  <x:si>
    <x:t>* 방화벽, IDS/IPS, DDoS방지, VPN, UTM, SIEM, 서버/DB보안 등</x:t>
  </x:si>
  <x:si>
    <x:t>리포팅 툴(CLIP Report, OZ Report, Reporting Designer)</x:t>
  </x:si>
  <x:si>
    <x:t>o 사업수행자는 해당 사업의 제안요청 내용을 명확하게 이해하고 본 제안의 목적, 범위, 성공 요소, 추진 전략 및 전제 조건 및 제안의 특징 등을 요약하여 기술</x:t>
  </x:si>
  <x:si>
    <x:t>정량평가 / 업체 일반사항 / 수행실적
3년간 공공기관 등 PC, 서버, 네트워크 장비, SW 등
전산장비 유지보수사업 및 정보시스템유지관리서비스
사업수행실적</x:t>
  </x:si>
  <x:si>
    <x:t>Indigo, MESIMmHub, CoreBridge, SecureGate, 쿠콘BOX, MegawareSmartIntegration, KCDS-GUARD-1000</x:t>
  </x:si>
  <x:si>
    <x:t xml:space="preserve">수행계획 / 운영
하드웨어, 소프트웨어, 네트워크 등 시스템 운용환경의
안정적ㆍ정상적 운영을 위해 운영 및 유지관리
총괄, 서비스데스크 운영 및 관리, 서비스수준관리 방안
등이 구체적이고 적절한지를 평가한다. </x:t>
  </x:si>
  <x:si>
    <x:t>시스템 운영 및 관리자, 사용자를 위해 필요한 교육훈련 내용, 방법, 기간, 인원 및 횟수 등을 구체적으로 제시하였는지 평가한다.</x:t>
  </x:si>
  <x:si>
    <x:t>기술지원 대상 범위, 내용 및 수준, 기술 매뉴얼 등 기술지원이 필요한 사항에 대한 계획 및 방안이 구체적이고 적절한지 평가한다.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</x:si>
  <x:si>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• 사업예산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 : 5,783,317천원 [2025년(1차연도) 2,836,856천원 + 2026년(2차연도) 2,946,461천원]</x:t>
    </x:r>
  </x:si>
  <x:si>
    <x:t>프로젝트 지원 / 인수인계
검사 및 인계 등을 위한 인계 전략과 검사 대상ㆍ방법,
충족조건 및 인계계획이 구체적이고 적절한지 평가한다.</x:t>
  </x:si>
  <x:si>
    <x:t>전략 및 방법론 / 추진체계
사업 특성과 제시한 추진전략에 따른 수행조직
(전문업체, 기술지원업체, 공동수급체 및 하도급 등)
구성과 참여 조직간 역할, 책임, 품질 확보 및
협력 방안이 구체적이고 적절한지 평가한다.</x:t>
  </x:si>
  <x:si>
    <x:t>수행계획 / 장애대응 및 복구
장애 발생 시 원인 분석 및 긴급 복구 계획,
장애대응체계 구성 및 운영 계획, 장애관리 매뉴얼 마련
및 교육훈련 방안 등 장애대응 및 복구를 위한
추진방안이 구체적이고 적절한지를 평가한다.</x:t>
  </x:si>
  <x:si>
    <x:t>전략 및 방법론 / 추진전략
사업수행 일정과 위험요소를 고려한 추진전략 수립의
타당성을 평가한다.</x:t>
  </x:si>
  <x:si>
    <x:t>수행방안이 기능개선 요구 범위 및 제약사항에 비추어 구체적이고 적절한지와 그 실현가능성을 평가한다.</x:t>
  </x:si>
  <x:si>
    <x:t>소프트웨어사업자(컴퓨터관련서비스사업, 업종코드: 1468)
및 정보통신공사업(업종코드: 0036)</x:t>
  </x:si>
  <x:si>
    <x:t>품질관리방안(품질관리의 범위, 절차, 점검방법 등)이 해당 사업의 수행에 적합한지 평가한다. 또한, 대외적으로 인정받을 만한 품질보증 관련 인증을 받은 경우 이를 입증할 수 있는 근거 서류가 있는지 확인한다.</x:t>
  </x:si>
  <x:si>
    <x:t>사업과 관련한 위험 및 이슈에 대한 식별 및 분석, 위험ㆍ이슈 관리 절차 및 대응방안 등 위험 및 이슈관리계획이 구체적이고 적절한지 평가한다.</x:t>
  </x:si>
  <x:si>
    <x:t>o 사업수행 조직, 프로젝트 관리방법론, 일정계획, 사업추진 계획서 작성, 
   요구사항, 요구사항 추적 및 성과관리에 관한 사항을 제시</x:t>
  </x:si>
  <x:si>
    <x:t>o 품질보증을 위한 보증조직, 보증내용, 보증절차 등에 대한 계획을 제시
o 서비스 수준 평가에 사용되는 지표 관리 방안에 대해 상세히 제시</x:t>
  </x:si>
  <x:si>
    <x:t>검사 및 인계 등을 위한 인계 전략과 검사 대상ㆍ방법, 충족조건 및 인계계획이 구체적이고 적절한지 평가한다.</x:t>
  </x:si>
  <x:si>
    <x:t>사업추진방법이 구체적이고 적절한지와 그 실제 적용 사례 및 경험에 따른 단계별 산출물을 제시하였는지 평가한다.</x:t>
  </x:si>
  <x:si>
    <x:t>제안요청서의 기술, 표준, 업무, 법제도 및 안전관리 등의 제약조건 내에서 목표사업을 수행하기 위해 제시한 수행 및 검증방안이 구체적이고 적절한지 평가한다.</x:t>
  </x:si>
  <x:si>
    <x:t>프로젝트 지원 / 교육훈련
시스템 운영 및 관리자, 사용자를 위해 필요한 교육훈련
내용, 방법, 기간, 인원 및 횟수 등을 구체적으로
제시하였는지 평가한다.</x:t>
  </x:si>
  <x:si>
    <x:t>프로젝트 지원 / 기술지원
기술지원 대상 범위, 내용 및 수준, 기술 매뉴얼 등
기술지원이 필요한 사항에 대한 계획 및 방안이
구체적이고 적절한지 평가한다.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</x:si>
  <x:si>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• 정성석 제안서/정량석 제안서/발표자료 각 1식  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제안서는 A4 종 방향 작성을 원칙으로 하되, 부득이한 경우 A4 횡 또는 기타 용지를 일부 사용</x:t>
    </x:r>
  </x:si>
  <x:si>
    <x:t xml:space="preserve">수행계획 / 예방 및 점검
시스템의 안정적ㆍ정상적 운영을 위한 예방 및
상시점검의 대상, 기간, 지원 및 체계 등이 구체적이고
적절한지를 평가한다.  </x:t>
  </x:si>
  <x:si>
    <x:t>운영 및 유지관리 과업 수행에 필요한 장비 및 작업장소 등 인프라의 준비 및 대응방안이 제안요청서의 요구사항을 충족할 만큼 구체적이고 적절한지 평가한다.</x:t>
  </x:si>
  <x:si>
    <x:t>사용자 지원 분야</x:t>
  </x:si>
  <x:si>
    <x:t>유지보수 차량 지원</x:t>
  </x:si>
  <x:si>
    <x:t>2025년(1차연도)</x:t>
  </x:si>
  <x:si>
    <x:t>예비부품 확보 방안</x:t>
  </x:si>
  <x:si>
    <x:t>하도급 관리방안</x:t>
  </x:si>
  <x:si>
    <x:t>계약변경 및 해지</x:t>
  </x:si>
  <x:si>
    <x:t>유지보수 수행 방법</x:t>
  </x:si>
  <x:si>
    <x:t>상주 인력 자격 요건</x:t>
  </x:si>
  <x:si>
    <x:t>유지보수 서비스 품질</x:t>
  </x:si>
  <x:si>
    <x:t xml:space="preserve">필수 예방점검 대상 </x:t>
  </x:si>
  <x:si>
    <x:t>수행기반 / 보안 요구사항
기술적 보안 구현방안이 제안요청서의 보안요구사항을 충족할 만큼 구체적이고 적절한지 평가한다.</x:t>
  </x:si>
  <x:si>
    <x:t xml:space="preserve">주요 정보체계(온나라, 제안서평가위원선정, 연동 등)에서 사용 중인 장치로 안정적인 문자 전송을 위해 예방점검 필요 </x:t>
  </x:si>
  <x:si>
    <x:t>3년간 공공기관 등 PC, 서버, 네트워크 장비, SW 등 전산장비 유지보수사업 및 정보시스템유지관리서비스 사업수행실적</x:t>
  </x:si>
  <x:si>
    <x:t>수행계획 / 기능개선
수행방안이 기능개선 요구 범위 및 제약사항에 비추어
구체적이고 적절한지와 그 실현가능성을 평가한다.</x:t>
  </x:si>
  <x:si>
    <x:t>프로젝트 관리 / 위험 및 이슈 관리
사업과 관련한 위험 및 이슈에 대한 식별 및 분석,
위험ㆍ이슈 관리 절차 및 대응방안 등 위험 및
이슈관리계획이 구체적이고 적절한지 평가한다.</x:t>
  </x:si>
  <x:si>
    <x:t>프로젝트 관리 / 품질관리
품질관리방안(품질관리의 범위, 절차, 점검방법 등)이
해당 사업의 수행에 적합한지 평가한다. 
또한, 대외적으로 정받을 만한 품질보증 관련 인증을
받은 경우 이를 입증할 수 있는 근거 서류가 있는지
확인한다.</x:t>
  </x:si>
  <x:si>
    <x:t>프로젝트 관리 / 안전관리
사업수행 간 발생할 수 있는 재해 예방 및 대응,
재발 방지를 위한 안전보건관리체계의 구축 및 이행
방안과 안전·보건 관계 법령에 따른 의무이행에
필요한 관리사항의 조치 계획이 구체적이고 적절한지
평가한다.</x:t>
  </x:si>
  <x:si>
    <x:t>정보체계의 안정적인 운영을 위한 예방점검 필요
(SW형상관리, 고객지원, 백업, 소스코드취약점점검, 군수, 동원, 시설통합정보체계, 정보자원관리, 암호장비관리, 연동관리, 예비군 모바일 홈페이지, 통계, 인사, 획득, 재정, 재난 등)</x:t>
  </x:si>
  <x:si>
    <x:t>기간 : ‘25. 1. 1. ~ ‘26. 12. 31. (2년 장기계속계약)</x:t>
  </x:si>
  <x:si>
    <x:t>사업수행계획이 사업의 목표 및 특성에 부합하게 구체적이고 적절한지 평가한다.</x:t>
  </x:si>
  <x:si>
    <x:t>o 안전보건관리체계 구축·이행 및 관계 법령에 따른 의무 이행 방안 제시</x:t>
  </x:si>
  <x:si>
    <x:t>* Oracle, MySQL, MS-SQL, Tibero, Cubrid 등</x:t>
  </x:si>
  <x:si>
    <x:t>전략 및 방법론 / 사업이해도
사업수행계획이 사업의 목표 및 특성에 부합하게
구체적이고 적절한지 평가한다.</x:t>
  </x:si>
  <x:si>
    <x:t>RFP 요구사항</x:t>
  </x:si>
  <x:si>
    <x:t>가격 전자입찰서 제출</x:t>
  </x:si>
  <x:si>
    <x:t>입찰 공고 게시</x:t>
  </x:si>
  <x:si>
    <x:t>스토리보드 리뷰</x:t>
  </x:si>
  <x:si>
    <x:t>KICK-OFF</x:t>
  </x:si>
  <x:si>
    <x:t>제안서 1차 취합</x:t>
  </x:si>
  <x:si>
    <x:t xml:space="preserve"> 사전공고 의견마감</x:t>
  </x:si>
  <x:si>
    <x:t>•요건(AND 조건)</x:t>
  </x:si>
  <x:si>
    <x:t>제안서 최종 리뷰</x:t>
  </x:si>
  <x:si>
    <x:t>발표서 최종 리뷰</x:t>
  </x:si>
  <x:si>
    <x:t>•요건(OR 조건)</x:t>
  </x:si>
  <x:si>
    <x:t>수행기반 / 수행환경
운영 및 유지관리 과업 수행에 필요한 장비 및
작업장소 등 인프라의 준비 및 대응방안이
제안요청서의 요구사항을 충족할 만큼 구체적이고
적절한지 평가한다.</x:t>
  </x:si>
  <x:si>
    <x:t>수행기반 / 제약사항
제안요청서의 기술, 표준, 업무, 법제도 및 안전관리 등의 제약조건 내에서 목표사업을 수행하기 위해 제시한 수행 및 검증방안이 구체적이고 적절한지 평가한다.</x:t>
  </x:si>
  <x:si>
    <x:t>아래 요건 이상인 상주 인력을 구성하여야 하며, 업무 공백 방지 및 연속성 확보를 위해 분야별 정·부 역할을 지정 / 기술자의 자격 요건을 확인할 수 있는 증빙 문서를 제출</x:t>
  </x:si>
  <x:si>
    <x:t>7종 제외
(ReportingDesigner은 리포팅 툴에 포함)
nFilter
KsignAccess
MagicLine
MagicMRS
Droid-X
Sanne
WizChain</x:t>
  </x:si>
  <x:si>
    <x:t>o 하도급에 참가하는 전문기업의 보유기술과 기술요구사항의 일치성, 보유기술의 실현 가능성, 입찰참가자(공동수급일 경우에는 공동수급체 전부)의 하도급 대금지급 방식 등을 제안</x:t>
  </x:si>
  <x:si>
    <x:t>작성된 제안서가 목차와 논리에 맞게 작성되었는지,
RFP 요건과 부합하는지 등을 리뷰하고
이전 리뷰내용이 반영되었는지 확인한다.</x:t>
  </x:si>
  <x:si>
    <x:t>o 사용자, 관리자 등에 대한 교육대상, 내용, 기간 등을 기술 상세히 기술 
o 차량 지원 및 기타 지원 사항에 대해 서술</x:t>
  </x:si>
  <x:si>
    <x:t xml:space="preserve">시스템의 안정적ㆍ정상적 운영을 위한 예방 및 상시점검의 대상, 기간, 지원 및 체계 등이 구체적이고 적절한지를 평가한다. </x:t>
  </x:si>
  <x:si>
    <x:t>프로젝트 관리 / 기밀보안관리
사업을 추진하는 동안 발생할 수 있는 악영향으로부터
기밀을 보호하고 원활한 사업수행의 보장을 위한
물리적, 관리적 보안 체계 및 대책이 구체적이고
적절한지 평가한다.</x:t>
  </x:si>
  <x:si>
    <x:t>프로젝트 관리 / 일정관리
사업수행에 필요한 수행기간과 세부 일정이 구체적이고
적절한지와 각 활동에 필요한 일정계획이
사업추진방법론에 제시된 단계별 산출물과 연계하여
적절히 수립되었는지를 평가한다.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</x:si>
  <x:si>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• 사업기간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 : ‘25. 1. 1. ~ ‘26. 12. 31. (2년 장기계속계약)</x:t>
    </x:r>
  </x:si>
  <x:si>
    <x:t xml:space="preserve">기계실 내 서버 및 네트워크 등 전산장비의 안정적인 운영을 위한 예방점검 필요 </x:t>
  </x:si>
  <x:si>
    <x:t>사업수행에 필요한 수행기간과 세부 일정이 구체적이고 적절한지와 각 활동에 필요한 일정계획이 사업추진방법론에 제시된 단계별 산출물과 연계하여 적절히 수립되었는지를 평가한다.</x:t>
  </x:si>
  <x:si>
    <x:t>사업을 추진하는 동안 발생할 수 있는 악영향으로부터 기밀을 보호하고 원활한 사업수행의 보장을 위한 물리적, 관리적 보안 체계 및 대책이 구체적이고 적절한지 평가한다.</x:t>
  </x:si>
  <x:si>
    <x:t>제안항목 및 제안서 평가 항목에 대한 조견표를 다음의 서식에 의거 제출</x:t>
  </x:si>
  <x:si>
    <x:t>사업수행 일정과 위험요소를 고려한 추진전략 수립의 타당성을 평가한다.</x:t>
  </x:si>
  <x:si>
    <x:t>DBMS(Oracle, MySQL, MariaDB, MS-SQL, Tibero)</x:t>
  </x:si>
  <x:si>
    <x:t>PDF 파일 형식으로 제출하여야 하며, 총 용량은 300MB를 초과할 수 없습니다.</x:t>
  </x:si>
  <x:si>
    <x:t>주요 정보체계(시설, 정보자원관리, 통계, 재정 등) 문서 출력 지원을 위한 SW</x:t>
  </x:si>
  <x:si>
    <x:t>- DBMS 성능분석 및 모델링, 튜닝 능력 보유자</x:t>
  </x:si>
  <x:si>
    <x:t>조견표 등록일시 : 제안서 제출 이후 ~ 평가일 전일까지</x:t>
  </x:si>
  <x:si>
    <x:t>(1) 나라장터에서 출력한 “경쟁입찰참가자격등록증” 1부</x:t>
  </x:si>
  <x:si>
    <x:t>o 예방점검 대상, 기간, 지원 및 체계를 상세히 제시</x:t>
  </x:si>
  <x:si>
    <x:t>•요건: 기반 설비 유지보수 경력 4년 이상(권장사항)</x:t>
  </x:si>
  <x:si>
    <x:t>•요건: 출입통제체계 유지보수 경력 2년 이상(권장사항)</x:t>
  </x:si>
  <x:si>
    <x:t>주요 정보체계(재정, 시설, 군수, 군인연금) 연동 SW</x:t>
  </x:si>
  <x:si>
    <x:t>(4) 입찰업체 서약서 및 공동책임 확인서 각 1부</x:t>
  </x:si>
  <x:si>
    <x:t>공고서 첨부 입찰업체(공동수급체 포함) 서약서 양식</x:t>
  </x:si>
  <x:si>
    <x:t>RFP분석, 목차 작성, 각 담당자별 업무 구분 및 공유</x:t>
  </x:si>
  <x:si>
    <x:t>상생협력 평가기준에 의한 중소기업 참여 지분율 평가</x:t>
  </x:si>
  <x:si>
    <x:t>재정, 시설, 군수지휘, 통계 등 사용률 관제 SW</x:t>
  </x:si>
  <x:si>
    <x:t>온북, 고객지원체계(상담, CTI, 녹취, ARS)</x:t>
  </x:si>
  <x:si>
    <x:t>- 정보보호 장비 유지보수 경력 1년 이상(권장사항)</x:t>
  </x:si>
  <x:si>
    <x:t>* Unix, Linux, Windows Server 등</x:t>
  </x:si>
  <x:si>
    <x:t>국방부 국방전산정보원 ‘25-’26년 전산장비 유지보수</x:t>
  </x:si>
  <x:si>
    <x:t>- DBMS 구축 및 유지보수 경력 5년 이상(권장사항)</x:t>
  </x:si>
  <x:si>
    <x:t>기술능력평가(90%), 가격 평가(10%)의 비율로 평가</x:t>
  </x:si>
  <x:si>
    <x:t>o 사업수행자의 주요 사업내용을 분야별로 구분하여 제시</x:t>
  </x:si>
  <x:si>
    <x:t>국방부 영내 안정적인 네트워크 운영을 위한 예방점검 필요</x:t>
  </x:si>
  <x:si>
    <x:t>•요건: 유지보수 사업관리 경력 4년 이상(권장사항)</x:t>
  </x:si>
  <x:si>
    <x:t>전자입찰서마감일시 : 2024/12/03 10:00</x:t>
  </x:si>
  <x:si>
    <x:t>사무용 전산장비</x:t>
  </x:si>
  <x:si>
    <x:t>2
(정1/부1)</x:t>
  </x:si>
  <x:si>
    <x:t>전략 및 방법론</x:t>
  </x:si>
  <x:si>
    <x:t>요구사항 고유번호</x:t>
  </x:si>
  <x:si>
    <x:t>유지보수 일반사항</x:t>
  </x:si>
  <x:si>
    <x:t>1) 서버 점검</x:t>
  </x:si>
  <x:si>
    <x:t>3) DBMS 점검</x:t>
  </x:si>
  <x:si>
    <x:t>2) 스토리지 점검</x:t>
  </x:si>
  <x:si>
    <x:t>1) 일일점검 개요</x:t>
  </x:si>
  <x:si>
    <x:t>4) 백업장비 점검</x:t>
  </x:si>
  <x:si>
    <x:t>2) 일일점검 절차</x:t>
  </x:si>
  <x:si>
    <x:t>5) 네트워크 점검</x:t>
  </x:si>
  <x:si>
    <x:t>6) 기반시설 점검</x:t>
  </x:si>
  <x:si>
    <x:t>가. 장애예방 전략</x:t>
  </x:si>
  <x:si>
    <x:t>5) 정기점검 절차</x:t>
  </x:si>
  <x:si>
    <x:t>3) 일일점검 내역</x:t>
  </x:si>
  <x:si>
    <x:t>4) 장애 원인 분석</x:t>
  </x:si>
  <x:si>
    <x:t>4) 백업 대상 분석</x:t>
  </x:si>
  <x:si>
    <x:t>가. 장애 처리 방안</x:t>
  </x:si>
  <x:si>
    <x:t>3) 장애 처리 절차</x:t>
  </x:si>
  <x:si>
    <x:t>마. 진도관리 방안</x:t>
  </x:si>
  <x:si>
    <x:t>가. 사업관리 방법론</x:t>
  </x:si>
  <x:si>
    <x:t>라. 자원관리 방안</x:t>
  </x:si>
  <x:si>
    <x:t>바. 보안관리 방안</x:t>
  </x:si>
  <x:si>
    <x:t>다. 위험관리 방안</x:t>
  </x:si>
  <x:si>
    <x:t>파. 일정관리 방안</x:t>
  </x:si>
  <x:si>
    <x:t>1) 업무보고 개요</x:t>
  </x:si>
  <x:si>
    <x:t>1) 산출물관리 개요</x:t>
  </x:si>
  <x:si>
    <x:t>차. 업무보고 방안</x:t>
  </x:si>
  <x:si>
    <x:t>아. 문서관리 방안</x:t>
  </x:si>
  <x:si>
    <x:t>가. 품질보증 목표</x:t>
  </x:si>
  <x:si>
    <x:t>다. 품질보증 절차</x:t>
  </x:si>
  <x:si>
    <x:t>카. 산출물관리 방안</x:t>
  </x:si>
  <x:si>
    <x:t>2) 업무보고 체계</x:t>
  </x:si>
  <x:si>
    <x:t>2) 일정 수립 절차</x:t>
  </x:si>
  <x:si>
    <x:t>사. 형상관리 방안</x:t>
  </x:si>
  <x:si>
    <x:t>사. 상주인력 총괄표</x:t>
  </x:si>
  <x:si>
    <x:t>바. 품질보증 관리</x:t>
  </x:si>
  <x:si>
    <x:t>사. 품질보증 교육</x:t>
  </x:si>
  <x:si>
    <x:t>마. 품질보증 활동</x:t>
  </x:si>
  <x:si>
    <x:t>라. 사업수행 조직도</x:t>
  </x:si>
  <x:si>
    <x:t>가. 기밀보안 방안</x:t>
  </x:si>
  <x:si>
    <x:t>QUR-001,003</x:t>
  </x:si>
  <x:si>
    <x:t>나. 위험관리 방안</x:t>
  </x:si>
  <x:si>
    <x:t>1) 기밀보안 개요</x:t>
  </x:si>
  <x:si>
    <x:t>붙임 4호 서식</x:t>
  </x:si>
  <x:si>
    <x:t>다. 기술이전 방안</x:t>
  </x:si>
  <x:si>
    <x:t>5) 위험관리 절차</x:t>
  </x:si>
  <x:si>
    <x:t>다) 문서 보안 관리</x:t>
  </x:si>
  <x:si>
    <x:t>가. 인수인계 방안</x:t>
  </x:si>
  <x:si>
    <x:t>나. 교육훈련 방안</x:t>
  </x:si>
  <x:si>
    <x:t>6) 상황별 대응방안</x:t>
  </x:si>
  <x:si>
    <x:t>바. 기술지원 체계</x:t>
  </x:si>
  <x:si>
    <x:t>수행기반 / 수행환경</x:t>
  </x:si>
  <x:si>
    <x:t>가. 투입인력 총괄표</x:t>
  </x:si>
  <x:si>
    <x:t>라. 사업 서약서</x:t>
  </x:si>
  <x:si>
    <x:t>나. 하도급 계획서</x:t>
  </x:si>
  <x:si>
    <x:t>1) 교육훈련 개요</x:t>
  </x:si>
  <x:si>
    <x:t>주요 실적 인용</x:t>
  </x:si>
  <x:si>
    <x:t>나. 평가 증빙서류</x:t>
  </x:si>
  <x:si>
    <x:t>2) 인수인계 전략</x:t>
  </x:si>
  <x:si>
    <x:t>1) 인수인계 개요</x:t>
  </x:si>
  <x:si>
    <x:t>파. 보안관리 방안</x:t>
  </x:si>
  <x:si>
    <x:t>㈜유니온커뮤니티</x:t>
  </x:si>
  <x:si>
    <x:t>별도 문서 작성</x:t>
  </x:si>
  <x:si>
    <x:t>57.8억 이상</x:t>
  </x:si>
  <x:si>
    <x:t>5,783,317천원</x:t>
  </x:si>
  <x:si>
    <x:t>신규 작성 필요</x:t>
  </x:si>
  <x:si>
    <x:t>케이사인/싸이버텍</x:t>
  </x:si>
  <x:si>
    <x:t>케이사인(취합)</x:t>
  </x:si>
  <x:si>
    <x:t>네트워크 및 서버 장비 등 관제 대상의 수시 변경사항을 반영하기 위함</x:t>
  </x:si>
  <x:si>
    <x:t xml:space="preserve">(2) 법인 등기사항증명서(개인사업자인 경우 사업자등록증) 1부 </x:t>
  </x:si>
  <x:si>
    <x:t>o 수행 조직 및 업무분장 내역을 제시하고 기술자격별 이력사항을 제시</x:t>
  </x:si>
  <x:si>
    <x:t>(3) 최근 결산 신고된 소프트웨어사업자 일반 현황 관리확인서 1부</x:t>
  </x:si>
  <x:si>
    <x:t>정량평가
상생협력
상생협력 평가기준에 의한 중소기업 참여 지분율 평가</x:t>
  </x:si>
  <x:si>
    <x:t>•임무: 주전산기 운용 및 유지보수</x:t>
  </x:si>
  <x:si>
    <x:t>•직무별 구분 : NW 엔지니어</x:t>
  </x:si>
  <x:si>
    <x:t>- 네트워크 관련 자격증 보유</x:t>
  </x:si>
  <x:si>
    <x:t>•직무별 구분 : IT 지원 기술자</x:t>
  </x:si>
  <x:si>
    <x:t>•사무용 장비 운용 및 유지보수</x:t>
  </x:si>
  <x:si>
    <x:t>PT 최종 PM 리뷰(리허설)</x:t>
  </x:si>
  <x:si>
    <x:t>•요건: 콜센터 관련 업무 유경험자</x:t>
  </x:si>
  <x:si>
    <x:t>•임무: 인증체계 운용 및 유지보수</x:t>
  </x:si>
  <x:si>
    <x:t>사업설명 및 전체 추진 일정을 공유</x:t>
  </x:si>
  <x:si>
    <x:t>각 제안 목차별 스토리보드 작성</x:t>
  </x:si>
  <x:si>
    <x:t>Brain Storming_승부차트</x:t>
  </x:si>
  <x:si>
    <x:t>제안요청서 공동수급 관련 서식</x:t>
  </x:si>
  <x:si>
    <x:t>마. 추진 체계 업무분장 및 역할</x:t>
  </x:si>
  <x:si>
    <x:t>관제솔루션(Watch All)</x:t>
  </x:si>
  <x:si>
    <x:t>3) 단계별 산출물 제출 계획</x:t>
  </x:si>
  <x:si>
    <x:t>나. 안정적인 운영 지원 방안</x:t>
  </x:si>
  <x:si>
    <x:t>4) WEB·WAS 유지관리 방안</x:t>
  </x:si>
  <x:si>
    <x:t xml:space="preserve">2) 산출물 관리 기준 및 절차 </x:t>
  </x:si>
  <x:si>
    <x:t>6) 응용 소프트웨어 유지관리 방안</x:t>
  </x:si>
  <x:si>
    <x:t>1) 콜센터 및 사용자 지원 개요</x:t>
  </x:si>
  <x:si>
    <x:t>4) 유지보수 수행 개선 방안</x:t>
  </x:si>
  <x:si>
    <x:t>사무용 전산장비 유지보수 범위</x:t>
  </x:si>
  <x:si>
    <x:t>1) 제안요청서 항목에 대한 조견표</x:t>
  </x:si>
  <x:si>
    <x:t xml:space="preserve">3) 신인도 및 대외 인지도 </x:t>
  </x:si>
  <x:si>
    <x:t xml:space="preserve">마. 단계별 산출물 관리 방안 </x:t>
  </x:si>
  <x:si>
    <x:t>나. 부사업자 ㈜싸이버텍 일반현황</x:t>
  </x:si>
  <x:si>
    <x:t>제안 킥오프 미팅(10:30)</x:t>
  </x:si>
  <x:si>
    <x:t>2)제안서평가항목에 대한 조견표</x:t>
  </x:si>
  <x:si>
    <x:t>Crownix Report 제외</x:t>
  </x:si>
  <x:si>
    <x:t>사. 전문업체 품질 확보 방안</x:t>
  </x:si>
  <x:si>
    <x:t>UPS, 항온항습기, 소화설비</x:t>
  </x:si>
  <x:si>
    <x:t>④ 기타서류(입찰참가자격 확인서류)</x:t>
  </x:si>
  <x:si>
    <x:t>주전산기
(서버/스토리지/백업)</x:t>
  </x:si>
  <x:si>
    <x:t>국방인증체계 운영 및 유지보수</x:t>
  </x:si>
  <x:si>
    <x:t xml:space="preserve">라. 연간 유지보수 수행방안 </x:t>
  </x:si>
  <x:si>
    <x:t>다. 사업의 전제조건 및 성공요소</x:t>
  </x:si>
  <x:si>
    <x:t>MPR-002, 003, 004</x:t>
  </x:si>
  <x:si>
    <x:t>바. 사업 추진 방법론 적용사례</x:t>
  </x:si>
  <x:si>
    <x:t>가. 주사업자 ㈜케이사인 일반현황</x:t>
  </x:si>
  <x:si>
    <x:t>다. 전산장비 현황 관리 방안</x:t>
  </x:si>
  <x:si>
    <x:t>마. 소프트웨어 유지보수 방안</x:t>
  </x:si>
  <x:si>
    <x:t>1) 소프트웨어 유지보수 전략</x:t>
  </x:si>
  <x:si>
    <x:t>3) 소프트웨어 유지관리 방안</x:t>
  </x:si>
  <x:si>
    <x:t>가) 관련 법률 및 규정 준수</x:t>
  </x:si>
  <x:si>
    <x:t>마) 업그레이드 및 패치 방안</x:t>
  </x:si>
  <x:si>
    <x:t>11) 장애 이력 현행화 방안</x:t>
  </x:si>
  <x:si>
    <x:t>9) 백업데이터 정합성 검증 방안</x:t>
  </x:si>
  <x:si>
    <x:t>5) 예비부품 관리 및 지원방안</x:t>
  </x:si>
  <x:si>
    <x:t>2) 산출물 관리절차 및 기준</x:t>
  </x:si>
  <x:si>
    <x:t>아. 감사를 통한 서비스 품질 개선</x:t>
  </x:si>
  <x:si>
    <x:t>7) SLA 평가 및 적용 방안</x:t>
  </x:si>
  <x:si>
    <x:t>2) 인력운영 기본방침 및 절차</x:t>
  </x:si>
  <x:si>
    <x:t>7) 사무용전산장비 담당 이력사항</x:t>
  </x:si>
  <x:si>
    <x:t>9) 인증체계(정/부) 이력사항</x:t>
  </x:si>
  <x:si>
    <x:t>10) 출입통제(정/부) 이력사항</x:t>
  </x:si>
  <x:si>
    <x:t>6) 상주인력 보안관리 강화 방안</x:t>
  </x:si>
  <x:si>
    <x:t>4) SLA 관리지표 및 측정방안</x:t>
  </x:si>
  <x:si>
    <x:t>바) 성능 측정 및 진단 방안</x:t>
  </x:si>
  <x:si>
    <x:t>다) 자산분류 체계 개선 방안</x:t>
  </x:si>
  <x:si>
    <x:t>아. 점검 내역 이력관리 방안</x:t>
  </x:si>
  <x:si>
    <x:t>자. 예방점검 대상 점검 내용</x:t>
  </x:si>
  <x:si>
    <x:t>7) 노후 및 단종장비 지원방안</x:t>
  </x:si>
  <x:si>
    <x:t>다. 안전보건관리 조직 및 역할</x:t>
  </x:si>
  <x:si>
    <x:t>2) 장애 처리 조직 및 규정</x:t>
  </x:si>
  <x:si>
    <x:t>5) 장애 처리 매뉴얼 작성 방안</x:t>
  </x:si>
  <x:si>
    <x:t xml:space="preserve">8) 대상 별 백업 및 복구 방안 </x:t>
  </x:si>
  <x:si>
    <x:t>나. 사업관리 단계 및 관리영역</x:t>
  </x:si>
  <x:si>
    <x:t>3) 데이터베이스관리자 이력사항</x:t>
  </x:si>
  <x:si>
    <x:t>5) SLA 관리지표 개선방안</x:t>
  </x:si>
  <x:si>
    <x:t>6) SLA 측정 및 보고절차</x:t>
  </x:si>
  <x:si>
    <x:t>1) 사업관리자(PM) 이력사항</x:t>
  </x:si>
  <x:si>
    <x:t>다) 품질향상을 위한 검토회의 수행</x:t>
  </x:si>
  <x:si>
    <x:t>9) 취약시기 장애 처리 방안</x:t>
  </x:si>
  <x:si>
    <x:t>가. 주사업자 ㈜케이사인 증빙자료</x:t>
  </x:si>
  <x:si>
    <x:t>나. 부사업자 ㈜싸이버텍 증빙자료</x:t>
  </x:si>
  <x:si>
    <x:t>3) 비상사태 대응 조직 및 역할</x:t>
  </x:si>
  <x:si>
    <x:t>카. 최신 정보기술 동향 지원방안</x:t>
  </x:si>
  <x:si>
    <x:t>가) 관리적 보안관리 방안 개요</x:t>
  </x:si>
  <x:si>
    <x:t>3) 클라우드 전환 지원 방안</x:t>
  </x:si>
  <x:si>
    <x:t>5) 전문업체 기술지원 협력체계</x:t>
  </x:si>
  <x:si>
    <x:t>2) 위험 및 이슈 관리 활동</x:t>
  </x:si>
  <x:si>
    <x:t>나. 사업관리자(PM) 증빙자료</x:t>
  </x:si>
  <x:si>
    <x:t>1) EA 관리 업무지원 개요</x:t>
  </x:si>
  <x:si>
    <x:t>7) 재난·재해 발생 시 대응방안</x:t>
  </x:si>
  <x:si>
    <x:t>라. 유지보수 차량 지원 방안</x:t>
  </x:si>
  <x:si>
    <x:t>2) 전문업체 선정 및 관리 방안</x:t>
  </x:si>
  <x:si>
    <x:t>사. 시스템 현행화 지원 방안</x:t>
  </x:si>
  <x:si>
    <x:t>나. 하도급 계약 관련 규정 준수</x:t>
  </x:si>
  <x:si>
    <x:t>1) 기술지원 체계 구성 전략</x:t>
  </x:si>
  <x:si>
    <x:t>다. 기존 상주인력 고용승계 동의서</x:t>
  </x:si>
  <x:si>
    <x:t>라. 데이터베이스관리자 증빙자료</x:t>
  </x:si>
  <x:si>
    <x:t>아. 사무용전산장비 담당 증빙자료</x:t>
  </x:si>
  <x:si>
    <x:t>카. 출입통제(정/부) 증빙자료</x:t>
  </x:si>
  <x:si>
    <x:t>차. 인증체계(정/부) 증빙자료</x:t>
  </x:si>
  <x:si>
    <x:t>나) 참여인력에 대한 보안관리</x:t>
  </x:si>
  <x:si>
    <x:t>가) 물리적 보안관리 방안 개요</x:t>
  </x:si>
  <x:si>
    <x:t>마. 하자보수 장비 관리 방안</x:t>
  </x:si>
  <x:si>
    <x:t>2) EA 현행화 지원조직 및 절차</x:t>
  </x:si>
  <x:si>
    <x:t>7) 타 사업자와의 협력 체계</x:t>
  </x:si>
  <x:si>
    <x:t>2) 전산장비 실사 및 현행화 방안</x:t>
  </x:si>
  <x:si>
    <x:t>마. 하도급 사업자와 협력 방안</x:t>
  </x:si>
  <x:si>
    <x:t>3) EA 현행화 세부 지원 방안</x:t>
  </x:si>
  <x:si>
    <x:t>가. 유지보수 기술지원 확약서</x:t>
  </x:si>
  <x:si>
    <x:t>1) 위험 및 이슈 관리 전략</x:t>
  </x:si>
  <x:si>
    <x:t xml:space="preserve">5) 교육훈련 대상 및 내용 </x:t>
  </x:si>
  <x:si>
    <x:t>배점 90% 40.46억~57.8억</x:t>
  </x:si>
  <x:si>
    <x:t>7. 유지관리 수준 체크리스트</x:t>
  </x:si>
  <x:si>
    <x:t>3) 교육훈련 절차 및 추진일정</x:t>
  </x:si>
  <x:si>
    <x:t>자. 사무용 전산장비 유지보수 방안</x:t>
  </x:si>
  <x:si>
    <x:t>5) 기술자료집 작성 및 제공</x:t>
  </x:si>
  <x:si>
    <x:t>타. 기능 및 성능 개선 방안</x:t>
  </x:si>
  <x:si>
    <x:t>6. 사업 인수인계 체크리스트</x:t>
  </x:si>
  <x:si>
    <x:t>배점 70% 23.12억 미만</x:t>
  </x:si>
  <x:si>
    <x:t>6) 사업 종료 시 인계 방안</x:t>
  </x:si>
  <x:si>
    <x:t>3) 기술이전 조직 및 업무분장</x:t>
  </x:si>
  <x:si>
    <x:t>라) 추가 제안 관련 개선 방안</x:t>
  </x:si>
  <x:si>
    <x:t>차. 기반 설비 유지보수 방안</x:t>
  </x:si>
  <x:si>
    <x:t>•요건: 인증체계 운용 및 유지보수 경력 2년 이상(권장사항)</x:t>
  </x:si>
  <x:si>
    <x:t xml:space="preserve">정보체계 DBMS의 안정적인 데이터 관리를 위한 예방점검 필요 </x:t>
  </x:si>
  <x:si>
    <x:t>- 서버 유지보수 경력 5년(정)/2년(부) 이상(권장사항)</x:t>
  </x:si>
  <x:si>
    <x:t>- 네트워크 유지보수 경력 5년(정)/2년(부) 이상(권장사항)</x:t>
  </x:si>
  <x:si>
    <x:t>정량평가
업체 일반사항 / 경영상태
신용평가등급에 의한 평가</x:t>
  </x:si>
  <x:si>
    <x:t>Sparrow SAST/DAST, e-PageSAFER, ScreenSAFER, WISE OLAP, TeraStream, MaxGuage, Websquare, nProtect Online Security, JOB-PaSS, SaniTOX, d'amo, ScreenSAFER, TouchEn nxKey/nxWeb, key# nxBiz, 위즈헬퍼, ezCertificate, eXsignOn, Gauce, HI-WARE, TrustCertificate, nProtectOnlineSecurity, AniSign, XecureSmart, XecureFileCrypto, ThunderMail, WebToB, JEUS, Sherpa(Oracle, Tibero), KonanSearch, FasooDRM, 한글로폼, MetaplusDevEye, WISEiChat, CheckMateRPA, PrivacySecureOCR, aStone, SoftcampServiceLinker, GoonInMAP, MetabuildAPIGateway, ChakraMAX</x:t>
  </x:si>
  <x:si>
    <x:t>페이지</x:t>
  </x:si>
  <x:si>
    <x:t>배점</x:t>
  </x:si>
  <x:si>
    <x:t>번호</x:t>
  </x:si>
  <x:si>
    <x:t>비고</x:t>
  </x:si>
  <x:si>
    <x:t>서식</x:t>
  </x:si>
  <x:si>
    <x:t>기타</x:t>
  </x:si>
  <x:si>
    <x:t>간지</x:t>
  </x:si>
  <x:si>
    <x:t>제안</x:t>
  </x:si>
  <x:si>
    <x:t>내용</x:t>
  </x:si>
  <x:si>
    <x:t>월</x:t>
  </x:si>
  <x:si>
    <x:t>디자인</x:t>
  </x:si>
  <x:si>
    <x:t>수</x:t>
  </x:si>
  <x:si>
    <x:t>주</x:t>
  </x:si>
  <x:si>
    <x:t>금</x:t>
  </x:si>
  <x:si>
    <x:t>토</x:t>
  </x:si>
  <x:si>
    <x:t>화</x:t>
  </x:si>
  <x:si>
    <x:t>I.</x:t>
  </x:si>
  <x:si>
    <x:t>목</x:t>
  </x:si>
  <x:si>
    <x:t>R&amp;R</x:t>
  </x:si>
  <x:si>
    <x:t>작성자</x:t>
  </x:si>
  <x:si>
    <x:t>1주차</x:t>
  </x:si>
  <x:si>
    <x:t>일</x:t>
  </x:si>
  <x:si>
    <x:t>1.</x:t>
  </x:si>
  <x:si>
    <x:t>진도</x:t>
  </x:si>
  <x:si>
    <x:t>PT</x:t>
  </x:si>
  <x:si>
    <x:t>NAC</x:t>
  </x:si>
  <x:si>
    <x:t>일자</x:t>
  </x:si>
  <x:si>
    <x:t>산출물</x:t>
  </x:si>
  <x:si>
    <x:t>6주차</x:t>
  </x:si>
  <x:si>
    <x:t>분 야</x:t>
  </x:si>
  <x:si>
    <x:t>서버</x:t>
  </x:si>
  <x:si>
    <x:t>콜센터</x:t>
  </x:si>
  <x:si>
    <x:t>L4</x:t>
  </x:si>
  <x:si>
    <x:t>방화벽</x:t>
  </x:si>
  <x:si>
    <x:t>합 계</x:t>
  </x:si>
  <x:si>
    <x:t>구 분</x:t>
  </x:si>
  <x:si>
    <x:t>PMR</x:t>
  </x:si>
  <x:si>
    <x:t>항목</x:t>
  </x:si>
  <x:si>
    <x:t>7주차</x:t>
  </x:si>
  <x:si>
    <x:t>4주차</x:t>
  </x:si>
  <x:si>
    <x:t>MHR</x:t>
  </x:si>
  <x:si>
    <x:t>VPN</x:t>
  </x:si>
  <x:si>
    <x:t>인원</x:t>
  </x:si>
  <x:si>
    <x:t>PSR</x:t>
  </x:si>
  <x:si>
    <x:t>년도</x:t>
  </x:si>
  <x:si>
    <x:t>5주차</x:t>
  </x:si>
  <x:si>
    <x:t>QUR</x:t>
  </x:si>
  <x:si>
    <x:t>2주차</x:t>
  </x:si>
  <x:si>
    <x:t>계</x:t>
  </x:si>
  <x:si>
    <x:t>하도급</x:t>
  </x:si>
  <x:si>
    <x:t>3주차</x:t>
  </x:si>
  <x:si>
    <x:t>운영</x:t>
  </x:si>
  <x:si>
    <x:t>주장비</x:t>
  </x:si>
  <x:si>
    <x:t>SER</x:t>
  </x:si>
  <x:si>
    <x:t>라우터</x:t>
  </x:si>
  <x:si>
    <x:t>MPR</x:t>
  </x:si>
  <x:si>
    <x:t>백본</x:t>
  </x:si>
  <x:si>
    <x:t>⁝</x:t>
  </x:si>
  <x:si>
    <x:t>유니온</x:t>
  </x:si>
  <x:si>
    <x:t>주 기</x:t>
  </x:si>
  <x:si>
    <x:t>가)</x:t>
  </x:si>
  <x:si>
    <x:t>씨에스</x:t>
  </x:si>
  <x:si>
    <x:t>모두</x:t>
  </x:si>
  <x:si>
    <x:t>동일</x:t>
  </x:si>
  <x:si>
    <x:t>-</x:t>
  </x:si>
  <x:si>
    <x:t>모니터</x:t>
  </x:si>
  <x:si>
    <x:t>도영우</x:t>
  </x:si>
  <x:si>
    <x:t>등급</x:t>
  </x:si>
  <x:si>
    <x:t>PC</x:t>
  </x:si>
  <x:si>
    <x:t>금액</x:t>
  </x:si>
  <x:si>
    <x:t>스캐너</x:t>
  </x:si>
  <x:si>
    <x:t>지분율</x:t>
  </x:si>
  <x:si>
    <x:t>프린터</x:t>
  </x:si>
  <x:si>
    <x:t>UPS</x:t>
  </x:si>
  <x:si>
    <x:t>비 고</x:t>
  </x:si>
  <x:si>
    <x:t>가.</x:t>
  </x:si>
  <x:si>
    <x:t>평점</x:t>
  </x:si>
  <x:si>
    <x:t>노트북</x:t>
  </x:si>
  <x:si>
    <x:t>점수</x:t>
  </x:si>
  <x:si>
    <x:t>제안서</x:t>
  </x:si>
  <x:si>
    <x:t>분전반</x:t>
  </x:si>
  <x:si>
    <x:t>플로터</x:t>
  </x:si>
  <x:si>
    <x:t>세부</x:t>
  </x:si>
  <x:si>
    <x:t>1)</x:t>
  </x:si>
  <x:si>
    <x:t>전략 및 방법론 / 사업추진방법론
사업추진방법이 구체적이고 적절한지와 그 실제 
적용 사례 및 경험에 따른 단계별 산출물을
제시하였는지 평가한다.</x:t>
  </x:si>
  <x:si>
    <x:t>o 유지보수 수행 중 취득한 비밀사항 등에 대한 보안대책을 상세하게 제시
o 위험 및 이슈에 대한 식별 및 분석, 관리절차 및 대응 방안 등 제시</x:t>
  </x:si>
  <x:si>
    <x:t>하도급 계획의 적정성</x:t>
  </x:si>
  <x:si>
    <x:t>위험 및 이슈 관리</x:t>
  </x:si>
  <x:si>
    <x:t>나. 정량평가 항목</x:t>
  </x:si>
  <x:si>
    <x:t>사업관리자
(PM)</x:t>
  </x:si>
  <x:si>
    <x:t>가. 정성평가 항목</x:t>
  </x:si>
  <x:si>
    <x:t>장애대응 및 복구</x:t>
  </x:si>
  <x:si>
    <x:t>사업추진 방법론</x:t>
  </x:si>
  <x:si>
    <x:t>Jennifer</x:t>
  </x:si>
  <x:si>
    <x:t>L4스위치, 워크그룹</x:t>
  </x:si>
  <x:si>
    <x:t>필수 예방점검 대상</x:t>
  </x:si>
  <x:si>
    <x:t>백본스위치, 라우터</x:t>
  </x:si>
  <x:si>
    <x:t>서버, 스토리지 전체</x:t>
  </x:si>
  <x:si>
    <x:t>다. 사무용 전산장비</x:t>
  </x:si>
  <x:si>
    <x:t>IPS/DDoS</x:t>
  </x:si>
  <x:si>
    <x:t>2026년(2차연도)</x:t>
  </x:si>
  <x:si>
    <x:t>기타 부수 장비</x:t>
  </x:si>
  <x:si>
    <x:t>23, 25, 27</x:t>
  </x:si>
  <x:si>
    <x:t>발표서 중간 리뷰</x:t>
  </x:si>
  <x:si>
    <x:t>발표서 초안 리뷰</x:t>
  </x:si>
  <x:si>
    <x:t>정성/정량 중간 리뷰</x:t>
  </x:si>
  <x:si>
    <x:t>3. 추진 체계</x:t>
  </x:si>
  <x:si>
    <x:t>RFP 비교 분석</x:t>
  </x:si>
  <x:si>
    <x:t>1. 사업 이해도</x:t>
  </x:si>
  <x:si>
    <x:t xml:space="preserve"> 사전공고 답변 완료</x:t>
  </x:si>
  <x:si>
    <x:t>2. 추진 전략</x:t>
  </x:si>
  <x:si>
    <x:t>정성/정량 초안 리뷰</x:t>
  </x:si>
  <x:si>
    <x:t>투입인원 이름/직급</x:t>
  </x:si>
  <x:si>
    <x:t>제안서 2차 취합</x:t>
  </x:si>
  <x:si>
    <x:t xml:space="preserve"> 사전공고 17:20</x:t>
  </x:si>
  <x:si>
    <x:t>제안 스토리보드 공유</x:t>
  </x:si>
  <x:si>
    <x:t>3. 주요 사업내용</x:t>
  </x:si>
  <x:si>
    <x:t>붙임 3호 서식</x:t>
  </x:si>
  <x:si>
    <x:t>붙임 2호 서식</x:t>
  </x:si>
  <x:si>
    <x:t>붙임 1호 서식</x:t>
  </x:si>
  <x:si>
    <x:t>4. 주요 사업실적</x:t>
  </x:si>
  <x:si>
    <x:t>2. 조직 및 인원</x:t>
  </x:si>
  <x:si>
    <x:t>Ⅲ. 사업수행 부문</x:t>
  </x:si>
  <x:si>
    <x:t>Ⅱ. 제안업체 일반</x:t>
  </x:si>
  <x:si>
    <x:t>2. 품질관리 방안</x:t>
  </x:si>
  <x:si>
    <x:t>1. 사업관리 방안</x:t>
  </x:si>
  <x:si>
    <x:t>Ⅳ. 사업관리 부문</x:t>
  </x:si>
  <x:si>
    <x:t>2. 예방점검 방안</x:t>
  </x:si>
  <x:si>
    <x:t>3. 인력 투입방안</x:t>
  </x:si>
  <x:si>
    <x:t>3. 장애 조치 방안</x:t>
  </x:si>
  <x:si>
    <x:t>Ⅴ. 사업지원 부문</x:t>
  </x:si>
  <x:si>
    <x:t>1. 사업지원 방안</x:t>
  </x:si>
  <x:si>
    <x:t>제안 전략 미팅</x:t>
  </x:si>
  <x:si>
    <x:t>붙임 5호 서식</x:t>
  </x:si>
  <x:si>
    <x:t>「소프트웨어 진흥법령」에 따라 입찰 시 제출한 붙임 제9호서식의 소프트웨어사업 하도급 계획서에서 하도급에 참가하는 자의 하도급 금액 비율, 하도급 계약 금액 비율이 본 사업의 규모, 목적 및 특성 등을 고려하여 적정한지를 평가한다. 다만, 하도급을 하지 않는 경우 또는 하도급 금액 비율이 100분의 10이하이면서 「하도급거래 공정화에 관한 법률」 제3조의2에 따른 소프트웨어사업 표준하도급계약서를 활용할 계획이 있는 자는 최고등급을 부여한다.</x:t>
  </x:si>
  <x:si>
    <x:r>
      <x:t xml:space="preserve">필요 시 공동이행방식이 가능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>공동수급의 경우 대표사가 공동수급체 구성원의 ④기타서류(입찰참가자격 확인서류)를 제출, 공동수급체 구성원은 모두 입찰참가자격을 갖추어야 합니다.
구성원별 계약참여 최소지분율은 10%이상</x:t>
    </x:r>
  </x:si>
  <x:si>
    <x:r>
      <x:t xml:space="preserve">40%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이상～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 xml:space="preserve">70%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미만</x:t>
    </x:r>
  </x:si>
  <x:si>
    <x:r>
      <x:t xml:space="preserve">70%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이상～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 xml:space="preserve">100%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미만</x:t>
    </x:r>
  </x:si>
  <x:si>
    <x:t>4) 국방통합데이터센터(DIDC)와의 협업 방안</x:t>
  </x:si>
  <x:si>
    <x:t>9) 야간·휴일 등 근무취약 시간 대응 방안</x:t>
  </x:si>
  <x:si>
    <x:t>5) 바이러스 및 악성코드 발생 시 대응방안</x:t>
  </x:si>
  <x:si>
    <x:t>차. 정보기술아키텍처(EA) 관리 지원 방안</x:t>
  </x:si>
  <x:si>
    <x:t>자. 응용체계 분야 SW사업정보 제출 지원 방안</x:t>
  </x:si>
  <x:si>
    <x:t>나. 주사업자 ㈜케이사인 기업 신용평가 등급</x:t>
  </x:si>
  <x:si>
    <x:t>다. 부사업자 ㈜싸이버텍 기업 신용평가 등급</x:t>
  </x:si>
  <x:si>
    <x:t>가. 주사업자 ㈜케이사인 조직 및 인원 현황</x:t>
  </x:si>
  <x:si>
    <x:t>나. 부사업자 ㈜싸이버텍 조직 및 인원 현황</x:t>
  </x:si>
  <x:si>
    <x:t>22년도 요구사항</x:t>
  </x:si>
  <x:si>
    <x:t>기반설비 (3종)</x:t>
  </x:si>
  <x:si>
    <x:t>스마트클린시스템</x:t>
  </x:si>
  <x:si>
    <x:t>정보보호 (6종)</x:t>
  </x:si>
  <x:si>
    <x:t>주전산기 (2종)</x:t>
  </x:si>
  <x:si>
    <x:t>서울지방조달청 평가</x:t>
  </x:si>
  <x:si>
    <x:t>네트워크 (6종)</x:t>
  </x:si>
  <x:si>
    <x:t>③ 발표자료 1식</x:t>
  </x:si>
  <x:si>
    <x:t>공동수급협정서 제출</x:t>
  </x:si>
  <x:si>
    <x:t>다. 사업의 목표</x:t>
  </x:si>
  <x:si>
    <x:t>나. 사업의 분석</x:t>
  </x:si>
  <x:si>
    <x:t>라. 사업의 목적</x:t>
  </x:si>
  <x:si>
    <x:t>평가요소 / 평가기준</x:t>
  </x:si>
  <x:si>
    <x:t>작성 지침 / 비고</x:t>
  </x:si>
  <x:si>
    <x:t>가. 사업의 이해</x:t>
  </x:si>
  <x:si>
    <x:t>바. 사업의 특성</x:t>
  </x:si>
  <x:si>
    <x:t>1) 상호협력 방안</x:t>
  </x:si>
  <x:si>
    <x:t>마. 세부 추진 방안</x:t>
  </x:si>
  <x:si>
    <x:t>마. 사업의 범위</x:t>
  </x:si>
  <x:si>
    <x:t>나. 사업의 위험요소</x:t>
  </x:si>
  <x:si>
    <x:t>나. 사업 추진 절차</x:t>
  </x:si>
  <x:si>
    <x:t>2) 인원 현황</x:t>
  </x:si>
  <x:si>
    <x:t>가. 사업 추진 목표</x:t>
  </x:si>
  <x:si>
    <x:t>1) 조직 현황</x:t>
  </x:si>
  <x:si>
    <x:t>2) 상생협력 방안</x:t>
  </x:si>
  <x:si>
    <x:t>1) 운영 관리 방안</x:t>
  </x:si>
  <x:si>
    <x:t>2) 유지관리 체계</x:t>
  </x:si>
  <x:si>
    <x:t>1) 유지관리 목표</x:t>
  </x:si>
  <x:si>
    <x:t>3) 변경 관리 방안</x:t>
  </x:si>
  <x:si>
    <x:t>4. 안전관리 방안</x:t>
  </x:si>
  <x:si>
    <x:t>2) 구성 관리 방안</x:t>
  </x:si>
  <x:si>
    <x:t>5) 용량 관리 방안</x:t>
  </x:si>
  <x:si>
    <x:t>수행계획 / 운영</x:t>
  </x:si>
  <x:si>
    <x:t>4) 성능 관리 방안</x:t>
  </x:si>
  <x:si>
    <x:t>6) 문제 관리 방안</x:t>
  </x:si>
  <x:si>
    <x:t>1) 유지관리 전략</x:t>
  </x:si>
  <x:si>
    <x:t>1) 현황 관리 전략</x:t>
  </x:si>
  <x:si>
    <x:t>4) 유지관리 방안</x:t>
  </x:si>
  <x:si>
    <x:t>1) 유지관리 개요</x:t>
  </x:si>
  <x:si>
    <x:t>2) 유지관리 방안</x:t>
  </x:si>
  <x:si>
    <x:t>정보보호</x:t>
  </x:si>
  <x:si>
    <x:t>주요업무</x:t>
  </x:si>
  <x:si>
    <x:t>업무 설명</x:t>
  </x:si>
  <x:si>
    <x:t>평가항목</x:t>
  </x:si>
  <x:si>
    <x:t>네트워크</x:t>
  </x:si>
  <x:si>
    <x:t>조견표 등록</x:t>
  </x:si>
  <x:si>
    <x:t>제약사항</x:t>
  </x:si>
  <x:si>
    <x:t>담당업체</x:t>
  </x:si>
  <x:si>
    <x:t>제안서 마감</x:t>
  </x:si>
  <x:si>
    <x:t>1차 리뷰</x:t>
  </x:si>
  <x:si>
    <x:t>Ⅰ. 제안개요</x:t>
  </x:si>
  <x:si>
    <x:t>임무 및 요건</x:t>
  </x:si>
  <x:si>
    <x:t>보안 요구사항</x:t>
  </x:si>
  <x:si>
    <x:t>요구사항</x:t>
  </x:si>
  <x:si>
    <x:t>#. 별첨</x:t>
  </x:si>
  <x:si>
    <x:t>2차 리뷰</x:t>
  </x:si>
  <x:si>
    <x:t>제출내역</x:t>
  </x:si>
  <x:si>
    <x:t>근무 기간</x:t>
  </x:si>
  <x:si>
    <x:t>기반 설비</x:t>
  </x:si>
  <x:si>
    <x:t>제안 일정표</x:t>
  </x:si>
  <x:si>
    <x:t>교육훈련</x:t>
  </x:si>
  <x:si>
    <x:t>지체상금</x:t>
  </x:si>
  <x:si>
    <x:t>사업관리 일반</x:t>
  </x:si>
  <x:si>
    <x:t>수행기반</x:t>
  </x:si>
  <x:si>
    <x:t>대가 지급</x:t>
  </x:si>
  <x:si>
    <x:t>손해배상 책임</x:t>
  </x:si>
  <x:si>
    <x:t>수행실적</x:t>
  </x:si>
  <x:si>
    <x:t>평가기준</x:t>
  </x:si>
  <x:si>
    <x:t>위기관리</x:t>
  </x:si>
  <x:si>
    <x:t>인증체계</x:t>
  </x:si>
  <x:si>
    <x:t>기능개선</x:t>
  </x:si>
  <x:si>
    <x:t>세부평가항목</x:t>
  </x:si>
  <x:si>
    <x:t>일정관리</x:t>
  </x:si>
  <x:si>
    <x:t>장애 조치</x:t>
  </x:si>
  <x:si>
    <x:t>추진체계</x:t>
  </x:si>
  <x:si>
    <x:t>기술지원</x:t>
  </x:si>
  <x:si>
    <x:t>인수인계 방안</x:t>
  </x:si>
  <x:si>
    <x:t>컨소시엄</x:t>
  </x:si>
  <x:si>
    <x:t>경영상태</x:t>
  </x:si>
  <x:si>
    <x:t>수행환경</x:t>
  </x:si>
  <x:si>
    <x:t>프로젝트 지원</x:t>
  </x:si>
  <x:si>
    <x:t>예방 및 점검</x:t>
  </x:si>
  <x:si>
    <x:t>사업이해도</x:t>
  </x:si>
  <x:si>
    <x:t>케이사인</x:t>
  </x:si>
  <x:si>
    <x:t>품질관리</x:t>
  </x:si>
  <x:si>
    <x:t>인수인계</x:t>
  </x:si>
  <x:si>
    <x:t>예방점검 방안</x:t>
  </x:si>
  <x:si>
    <x:t>수행계획</x:t>
  </x:si>
  <x:si>
    <x:t>추진전략</x:t>
  </x:si>
  <x:si>
    <x:t>출입통제</x:t>
  </x:si>
  <x:si>
    <x:t>프로젝트 관리</x:t>
  </x:si>
  <x:si>
    <x:t>안전관리</x:t>
  </x:si>
  <x:si>
    <x:t>상주 인력관리</x:t>
  </x:si>
  <x:si>
    <x:t>23~30</x:t>
  </x:si>
  <x:si>
    <x:t>기타 지원</x:t>
  </x:si>
  <x:si>
    <x:t>제안요청사항</x:t>
  </x:si>
  <x:si>
    <x:t>1. 일반현황</x:t>
  </x:si>
  <x:si>
    <x:t>프로젝터</x:t>
  </x:si>
  <x:si>
    <x:t>저장장치</x:t>
  </x:si>
  <x:si>
    <x:t>소화설비</x:t>
  </x:si>
  <x:si>
    <x:t>디가우저</x:t>
  </x:si>
  <x:si>
    <x:t>PMR-009</x:t>
  </x:si>
  <x:si>
    <x:t>공통 보안</x:t>
  </x:si>
  <x:si>
    <x:t>교육 지원</x:t>
  </x:si>
  <x:si>
    <x:t>인원 보안</x:t>
  </x:si>
  <x:si>
    <x:t>총 사업금액</x:t>
  </x:si>
  <x:si>
    <x:t>워크그룹</x:t>
  </x:si>
  <x:si>
    <x:t>MPR-001</x:t>
  </x:si>
  <x:si>
    <x:t>....</x:t>
  </x:si>
  <x:si>
    <x:t>상용 SW</x:t>
  </x:si>
  <x:si>
    <x:t>쪽 번호</x:t>
  </x:si>
  <x:si>
    <x:t>협력업체 관리</x:t>
  </x:si>
  <x:si>
    <x:t>기반설비</x:t>
  </x:si>
  <x:si>
    <x:t>상용SW</x:t>
  </x:si>
  <x:si>
    <x:t>세부항목</x:t>
  </x:si>
  <x:si>
    <x:t>관제설비</x:t>
  </x:si>
  <x:si>
    <x:t>사업 예산</x:t>
  </x:si>
  <x:si>
    <x:t>장비 보안</x:t>
  </x:si>
  <x:si>
    <x:t>항온항습기</x:t>
  </x:si>
  <x:si>
    <x:t>제안요청서</x:t>
  </x:si>
  <x:si>
    <x:t>고객 방문</x:t>
  </x:si>
  <x:si>
    <x:t>SER-004</x:t>
  </x:si>
  <x:si>
    <x:t>MPR-005</x:t>
  </x:si>
  <x:si>
    <x:t>1. 일반사항</x:t>
  </x:si>
  <x:si>
    <x:t>MHR-001</x:t>
  </x:si>
  <x:si>
    <x:t>PSR-004</x:t>
  </x:si>
  <x:si>
    <x:t>PSR-007</x:t>
  </x:si>
  <x:si>
    <x:t>PMR-007</x:t>
  </x:si>
  <x:si>
    <x:t>1. 경영상태</x:t>
  </x:si>
  <x:si>
    <x:t>2. 수행실적</x:t>
  </x:si>
  <x:si>
    <x:t>3. 상생협력</x:t>
  </x:si>
  <x:si>
    <x:t>사업 본 공고</x:t>
  </x:si>
  <x:si>
    <x:t>싸이버텍</x:t>
  </x:si>
  <x:si>
    <x:t>QUR-002</x:t>
  </x:si>
  <x:si>
    <x:t>MPR-006</x:t>
  </x:si>
  <x:si>
    <x:t>QUR-001</x:t>
  </x:si>
  <x:si>
    <x:t>SER-002</x:t>
  </x:si>
  <x:si>
    <x:t>MHR-002</x:t>
  </x:si>
  <x:si>
    <x:t>MPR-002</x:t>
  </x:si>
  <x:si>
    <x:t>PMR-001</x:t>
  </x:si>
  <x:si>
    <x:t>PMR-008</x:t>
  </x:si>
  <x:si>
    <x:t>PSR-002</x:t>
  </x:si>
  <x:si>
    <x:t>PSR-005</x:t>
  </x:si>
  <x:si>
    <x:t>PSR-003</x:t>
  </x:si>
  <x:si>
    <x:t>MPR-009</x:t>
  </x:si>
  <x:si>
    <x:t>PSR-001</x:t>
  </x:si>
  <x:si>
    <x:t>SER-003</x:t>
  </x:si>
  <x:si>
    <x:t>MHR-003</x:t>
  </x:si>
  <x:si>
    <x:t>SER-001</x:t>
  </x:si>
  <x:si>
    <x:t>MPR-004</x:t>
  </x:si>
  <x:si>
    <x:t>PSR-006</x:t>
  </x:si>
  <x:si>
    <x:t>PMR-003</x:t>
  </x:si>
  <x:si>
    <x:t>표지 + 간지</x:t>
  </x:si>
  <x:si>
    <x:t>㈜케이사인</x:t>
  </x:si>
  <x:si>
    <x:t>제안요청내용</x:t>
  </x:si>
  <x:si>
    <x:t>망연계 솔루션</x:t>
  </x:si>
  <x:si>
    <x:t>PMR-010</x:t>
  </x:si>
  <x:si>
    <x:t>MPR-008</x:t>
  </x:si>
  <x:si>
    <x:t>업체 일반사항</x:t>
  </x:si>
  <x:si>
    <x:t>아. 기대효과</x:t>
  </x:si>
  <x:si>
    <x:t>발표장표 인용</x:t>
  </x:si>
  <x:si>
    <x:t>스캔본 필요</x:t>
  </x:si>
  <x:si>
    <x:t>타. 추가제안</x:t>
  </x:si>
  <x:si>
    <x:t>수요기관 평가</x:t>
  </x:si>
  <x:si>
    <x:t>분기 1회</x:t>
  </x:si>
  <x:si>
    <x:t>사전공고 비교</x:t>
  </x:si>
  <x:si>
    <x:t>제안서 쪽</x:t>
  </x:si>
  <x:si>
    <x:t>IP 관리체계</x:t>
  </x:si>
  <x:si>
    <x:t>반기 1회</x:t>
  </x:si>
  <x:si>
    <x:t>정량적 제안서</x:t>
  </x:si>
  <x:si>
    <x:t>상생협력</x:t>
  </x:si>
  <x:si>
    <x:t>㈜싸이버텍</x:t>
  </x:si>
  <x:si>
    <x:t>BBB0</x:t>
  </x:si>
  <x:si>
    <x:t>평가등급</x:t>
  </x:si>
  <x:si>
    <x:t>사업금액</x:t>
  </x:si>
  <x:si>
    <x:t>수용여부</x:t>
  </x:si>
  <x:si>
    <x:t>만점 차이</x:t>
  </x:si>
  <x:si>
    <x:t>증빙자료 체크</x:t>
  </x:si>
  <x:si>
    <x:t>기밀보안 관리</x:t>
  </x:si>
  <x:si>
    <x:t>문자전송장치</x:t>
  </x:si>
  <x:si>
    <x:t>세부 점수</x:t>
  </x:si>
  <x:si>
    <x:t>월 1회</x:t>
  </x:si>
  <x:si>
    <x:t>제안내용</x:t>
  </x:si>
  <x:si>
    <x:t>o 사업수행자의 일반현황 및 주요 연혁을 작성</x:t>
  </x:si>
  <x:si>
    <x:t>o 장애 발생 시 신속한 복구를 위한 대책 제시</x:t>
  </x:si>
  <x:si>
    <x:t>- PC 정비 관련 자격증 보유자(권장사항)</x:t>
  </x:si>
  <x:si>
    <x:t>정보체계의 안정적인 운영을 위한 예방점검 필요</x:t>
  </x:si>
  <x:si>
    <x:t xml:space="preserve">정보체계의 안정적인 백업을 위한 예방점검 필요 </x:t>
  </x:si>
  <x:si>
    <x:t>방화벽, IPS, DDoS, VPN, NAC</x:t>
  </x:si>
  <x:si>
    <x:t>서버보안 로그/정책 검토 위한 예방점검 필요</x:t>
  </x:si>
  <x:si>
    <x:t>국방전산정보원 ‘25-’26년 전산장비 유지보수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</x:si>
  <x:si>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• 사업명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 : ‘25-’26년 전산장비 유지보수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</x:si>
  <x:si>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• 전자입찰 마감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 :2024/12/03 11:00</x:t>
    </x:r>
  </x:si>
  <x:si>
    <x:t>[붙임 6호 서식] 제안요청 수용여부 참조표</x:t>
  </x:si>
  <x:si>
    <x:t>제안 작업시 주요업무 일정 및 추가 일정을 기록</x:t>
  </x:si>
  <x:si>
    <x:t>- WEB/WAS 미들웨어 기본 관리 능력 보유자</x:t>
  </x:si>
  <x:si>
    <x:t>•임무: 출입통제체계 장비 운용 및 유지보수</x:t>
  </x:si>
  <x:si>
    <x:t>- PC 유지보수 경력 1년 이상(권장사항)</x:t>
  </x:si>
  <x:si>
    <x:t>3점의 순위간 점수차를 지정하여 차등점수제를 부여</x:t>
  </x:si>
  <x:si>
    <x:t>예산 : 5,783,317천 원 (부가세 포함)</x:t>
  </x:si>
  <x:si>
    <x:t>소프트웨어 (67종)
[사전공고 77종]</x:t>
  </x:si>
  <x:si>
    <x:t>바. 제안사 및 전문업체 기술지원 방안</x:t>
  </x:si>
  <x:si>
    <x:t>백신 검사 및 업데이트 정상작동 확인</x:t>
  </x:si>
  <x:si>
    <x:t>•직무별 구분 : 데이터베이스 운용자</x:t>
  </x:si>
  <x:si>
    <x:t>•직무별 구분 : IT 시스템 운용자</x:t>
  </x:si>
  <x:si>
    <x:t>- 다양한 DBMS 관리 능력 보유자</x:t>
  </x:si>
  <x:si>
    <x:t>•직무별 구분 : IT 사업관리자(PM)</x:t>
  </x:si>
  <x:si>
    <x:t>- 다양한 OS 설치 및 유지보수 경험자</x:t>
  </x:si>
  <x:si>
    <x:t>•임무: 네트워크 장비 운용 및 유지보수</x:t>
  </x:si>
  <x:si>
    <x:t>- 서버 관련 자격증 보유(권장사항)</x:t>
  </x:si>
  <x:si>
    <x:t>제안요청 설명회 14시
국전원 중회의실</x:t>
  </x:si>
  <x:si>
    <x:t>- DBMS 관련 자격증 보유(권장사항)</x:t>
  </x:si>
  <x:si>
    <x:t>•임무: 전산장비 장애접수 등 전화상담</x:t>
  </x:si>
  <x:si>
    <x:t>MHR-002 / 상주 인력 자격 요건</x:t>
  </x:si>
  <x:si>
    <x:t>백업솔루션(Veeam, Simpana)</x:t>
  </x:si>
  <x:si>
    <x:t>제안 전략 수립 및 PT시나리오 작성</x:t>
  </x:si>
  <x:si>
    <x:t>응용 SW
(연계, 관제, UI 등)</x:t>
  </x:si>
  <x:si>
    <x:t>o 최근 3년간 수행한 유사 용역을 기술</x:t>
  </x:si>
  <x:si>
    <x:t>서버보안(RedOwl, SecuveTos)</x:t>
  </x:si>
  <x:si>
    <x:t>최신 보안 정책반영을 위한 예방점검 필요</x:t>
  </x:si>
  <x:si>
    <x:t>‘25.1.~’26.12.
(24개월)</x:t>
  </x:si>
  <x:si>
    <x:t>•임무: 정보보호 장비 운용 및 유지보수</x:t>
  </x:si>
  <x:si>
    <x:t>•임무: 기반 설비 운용 및 유지보수</x:t>
  </x:si>
  <x:si>
    <x:t>o 사업수행자의 조직 및 인원 현황 제시</x:t>
  </x:si>
  <x:si>
    <x:t>o 유지관리 수행방안에 대해 상세히 제시</x:t>
  </x:si>
  <x:si>
    <x:t>시스템 SW
(OS/WEB/WAS 등)</x:t>
  </x:si>
  <x:si>
    <x:t>PMR-002, 004, 005, 006</x:t>
  </x:si>
  <x:si>
    <x:t>- 정보보안 관련 자격증 보유(권장사항)</x:t>
  </x:si>
  <x:si>
    <x:t>3) 보안 취약점 진단 실시 및 조치</x:t>
  </x:si>
  <x:si>
    <x:t>나. 안전보건관리 활동 계획 및 방안</x:t>
  </x:si>
  <x:si>
    <x:t>3) 상생협력 평가 기준 및 평가 점수</x:t>
  </x:si>
  <x:si>
    <x:t>2) 주전산기(정/부) 담당 이력사항</x:t>
  </x:si>
  <x:si>
    <x:t>2) 시스템 증설 및 재배치 지원 절차</x:t>
  </x:si>
  <x:si>
    <x:t>4) 전산장비 관리대장 및 산출물 현행화</x:t>
  </x:si>
  <x:si>
    <x:t>라. 적정하도급 사업자 선정 및 관리 방안</x:t>
  </x:si>
  <x:si>
    <x:t>마. 네트워크(정/부) 담당 증빙자료</x:t>
  </x:si>
  <x:si>
    <x:t>다. 부사업자 ㈜싸이버텍 사업 수행실적</x:t>
  </x:si>
  <x:si>
    <x:t>5) 사업종료 시 최종 산출물 제출 방안</x:t>
  </x:si>
  <x:si>
    <x:t>4) 네트워크(정/부) 담당 이력사항</x:t>
  </x:si>
  <x:si>
    <x:t>가. 상생협력 평가 기준 및 평가 점수</x:t>
  </x:si>
  <x:si>
    <x:t>바. 하도급 계약의 적정성 준수 방안</x:t>
  </x:si>
  <x:si>
    <x:t>가. 주사업자 ㈜케이사인 주요 사업내용</x:t>
  </x:si>
  <x:si>
    <x:t xml:space="preserve">7) 장애유형 별 백업 및 복구 방안 </x:t>
  </x:si>
  <x:si>
    <x:t>8) 파업 및 태업을 대비한 비상대응 절차</x:t>
  </x:si>
  <x:si>
    <x:t>다. 하도급 승인 및 적정성 검토 방안</x:t>
  </x:si>
  <x:si>
    <x:t>가. 경영상태 평가 기준 및 평가 점수</x:t>
  </x:si>
  <x:si>
    <x:t>나) 정보체계 데이터 품질 개선 방안</x:t>
  </x:si>
  <x:si>
    <x:t>5) 스토리지 및 백업 장비 유지관리</x:t>
  </x:si>
  <x:si>
    <x:t>나. 부사업자 ㈜싸이버텍 주요 사업내용</x:t>
  </x:si>
  <x:si>
    <x:t>6) 정보보호 침해사고 발생 시 대응방안</x:t>
  </x:si>
  <x:si>
    <x:t>2) 최근 3년간 재무구조 및 경영상태</x:t>
  </x:si>
  <x:si>
    <x:t>가. 주사업자 ㈜케이사인 사업 수행실적</x:t>
  </x:si>
  <x:si>
    <x:t>다. 주전산기(정/부) 담당 증빙자료</x:t>
  </x:si>
  <x:si>
    <x:t>나. 부사업자 ㈜싸이버텍 사업 수행실적</x:t>
  </x:si>
  <x:si>
    <x:t>1) 시스템 증설 및 재배치 지원 개요</x:t>
  </x:si>
  <x:si>
    <x:t>아. 시스템 증설 및 재배치 지원 방안</x:t>
  </x:si>
  <x:si>
    <x:t>가. 수행실적 평가 기준 및 평가 점수</x:t>
  </x:si>
  <x:si>
    <x:t>나. 주사업자 ㈜케이사인 사업 수행실적</x:t>
  </x:si>
  <x:si>
    <x:t>1) 서비스 수준 협약(SLA) 개요</x:t>
  </x:si>
  <x:si>
    <x:t>아. 온북체계 운영 및 유지보수 방안</x:t>
  </x:si>
  <x:si>
    <x:t>배점 80% 23.12억~40.46억</x:t>
  </x:si>
  <x:si>
    <x:t>카. 서비스 데스크(콜센터) 운영 방안</x:t>
  </x:si>
  <x:si>
    <x:t>바. 국방인증체계 운영 및 유지보수 방안</x:t>
  </x:si>
  <x:si>
    <x:t>사. 출입통제체계 운영 및 유지보수 방안</x:t>
  </x:si>
  <x:si>
    <x:t>5) 투입인력 교체 시 인수인계 방안</x:t>
  </x:si>
  <x:si>
    <x:t>나) 특허권 및 저작권 등 보호 방안</x:t>
  </x:si>
  <x:si>
    <x:r>
      <x:t>3) 사업수행 전</x:t>
    </x:r>
    <x:r>
      <x:rPr>
        <x:rFont val="맑은 고딕"/>
        <x:sz val="11"/>
        <x:color rgb="ff000000"/>
      </x:rPr>
      <x:t>·후 보안관리</x:t>
    </x:r>
  </x:si>
  <x:si>
    <x:r>
      <x:t xml:space="preserve">배점의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>90%</x:t>
    </x:r>
  </x:si>
  <x:si>
    <x:r>
      <x:t xml:space="preserve">100%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이상</x:t>
    </x:r>
  </x:si>
  <x:si>
    <x:r>
      <x:t xml:space="preserve">배점의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>70%</x:t>
    </x:r>
  </x:si>
  <x:si>
    <x:r>
      <x:t xml:space="preserve">40%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명조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명조"/>
            <x:sz val="13"/>
            <x:color rgb="ff000000"/>
          </x:rPr>
        </mc:Fallback>
      </mc:AlternateContent>
      <x:t>미만</x:t>
    </x:r>
  </x:si>
  <x:si>
    <x:r>
      <x:t xml:space="preserve">배점의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>80%</x:t>
    </x:r>
  </x:si>
  <x:si>
    <x:r>
      <x:t>Ⅲ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-4~10</x:t>
    </x:r>
  </x:si>
  <x:si>
    <x:r>
      <x:t xml:space="preserve">배점의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CI Poppy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CI Poppy"/>
            <x:sz val="13"/>
            <x:color rgb="ff000000"/>
          </x:rPr>
        </mc:Fallback>
      </mc:AlternateContent>
      <x:t>100%</x:t>
    </x:r>
  </x:si>
  <x:si>
    <x:r>
      <x:t>Ⅲ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-4, 7, 10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</x:si>
</x:sst>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4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  <x:u/>
        </x:font>
      </mc:Fallback>
    </mc:AlternateConte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cd260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cd260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cd260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cd260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CI Poppy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HCI Poppy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함초롬바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796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796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x:font>
      <x:name val="맑은 고딕"/>
      <x:sz val="11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7964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796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명조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휴먼명조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명조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휴먼명조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CI Poppy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HCI Poppy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명조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휴먼명조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79646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796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명조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휴먼명조"/>
          <x:sz val="14"/>
          <x:color rgb="ff000000"/>
        </x:font>
      </mc:Fallback>
    </mc:AlternateContent>
  </x:fonts>
  <x:fills count="2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d6d6d6"/>
      </x:patternFill>
    </x:fill>
    <x:fill>
      <x:patternFill patternType="solid">
        <x:fgColor rgb="ff8cb3e4"/>
      </x:patternFill>
    </x:fill>
    <x:fill>
      <x:patternFill patternType="solid">
        <x:fgColor rgb="ffa6a6a6"/>
      </x:patternFill>
    </x:fill>
    <x:fill>
      <x:patternFill patternType="solid">
        <x:fgColor rgb="ffffffff"/>
      </x:patternFill>
    </x:fill>
    <x:fill>
      <x:patternFill patternType="solid">
        <x:fgColor rgb="ffd9ceb2"/>
      </x:patternFill>
    </x:fill>
    <x:fill>
      <x:patternFill patternType="solid">
        <x:fgColor rgb="ff7a6a53"/>
      </x:patternFill>
    </x:fill>
    <x:fill>
      <x:patternFill patternType="solid">
        <x:fgColor rgb="ffc00000"/>
      </x:patternFill>
    </x:fill>
    <x:fill>
      <x:patternFill patternType="solid">
        <x:fgColor rgb="ff99b2b7"/>
      </x:patternFill>
    </x:fill>
    <x:fill>
      <x:patternFill patternType="solid">
        <x:fgColor rgb="ffd5ded9"/>
      </x:patternFill>
    </x:fill>
    <x:fill>
      <x:patternFill patternType="solid">
        <x:fgColor rgb="ffd99694"/>
      </x:patternFill>
    </x:fill>
    <x:fill>
      <x:patternFill patternType="solid">
        <x:fgColor rgb="ffff5050"/>
      </x:patternFill>
    </x:fill>
    <x:fill>
      <x:patternFill patternType="solid">
        <x:fgColor rgb="ffd9d9d9"/>
      </x:patternFill>
    </x:fill>
    <x:fill>
      <x:patternFill patternType="solid">
        <x:fgColor rgb="ffffff00"/>
      </x:patternFill>
    </x:fill>
    <x:fill>
      <x:patternFill patternType="solid">
        <x:fgColor rgb="fffcd5b5"/>
      </x:patternFill>
    </x:fill>
    <x:fill>
      <x:patternFill patternType="solid">
        <x:fgColor rgb="ffdce6f2"/>
      </x:patternFill>
    </x:fill>
    <x:fill>
      <x:patternFill patternType="solid">
        <x:fgColor rgb="ffff0000"/>
      </x:patternFill>
    </x:fill>
    <x:fill>
      <x:patternFill patternType="solid">
        <x:fgColor rgb="ffffeed8"/>
      </x:patternFill>
    </x:fill>
    <x:fill>
      <x:patternFill patternType="solid">
        <x:fgColor rgb="ffffdeb2"/>
      </x:patternFill>
    </x:fill>
    <x:fill>
      <x:patternFill patternType="solid">
        <x:fgColor rgb="ffe7e7f7"/>
      </x:patternFill>
    </x:fill>
    <x:fill>
      <x:patternFill patternType="solid">
        <x:fgColor rgb="ffd8ffd8"/>
      </x:patternFill>
    </x:fill>
    <x:fill>
      <x:patternFill patternType="solid">
        <x:fgColor rgb="ffe7e7e7"/>
      </x:patternFill>
    </x:fill>
    <x:fill>
      <x:patternFill patternType="solid">
        <x:fgColor rgb="fff2f2f2"/>
      </x:patternFill>
    </x:fill>
    <x:fill>
      <x:patternFill patternType="solid">
        <x:fgColor rgb="ff92d050"/>
      </x:patternFill>
    </x:fill>
    <x:fill>
      <x:patternFill patternType="solid">
        <x:fgColor rgb="ffffb689"/>
      </x:patternFill>
    </x:fill>
  </x:fills>
  <x:borders count="76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4f81bd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a6a6a6"/>
      </x:bottom>
      <x:diagonal>
        <x:color indexed="64"/>
      </x:diagonal>
    </x:border>
    <x:border diagonalUp="1" diagonalDown="1"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>
        <x:color indexed="64"/>
      </x:diagonal>
    </x:border>
    <x:border diagonalUp="1" diagonalDown="1">
      <x:left style="thin">
        <x:color rgb="ffa6a6a6"/>
      </x:left>
      <x:right style="thin">
        <x:color rgb="ffa6a6a6"/>
      </x:right>
      <x:top style="thin">
        <x:color rgb="ffa6a6a6"/>
      </x:top>
      <x:bottom>
        <x:color indexed="64"/>
      </x:bottom>
      <x:diagonal>
        <x:color indexed="64"/>
      </x:diagonal>
    </x:border>
    <x:border diagonalUp="1" diagonalDown="1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>
        <x:color indexed="64"/>
      </x:diagonal>
    </x:border>
    <x:border diagonalUp="1" diagonalDown="1">
      <x:left>
        <x:color indexed="64"/>
      </x:left>
      <x:right style="thin">
        <x:color rgb="ffa6a6a6"/>
      </x:right>
      <x:top style="thin">
        <x:color rgb="ffa6a6a6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bfbfbf"/>
      </x:right>
      <x:top style="thin">
        <x:color rgb="ffbfbfbf"/>
      </x:top>
      <x:bottom style="thin">
        <x:color rgb="ffbfbfbf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d9d9d9"/>
      </x:left>
      <x:right>
        <x:color indexed="64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a6a6a6"/>
      </x:left>
      <x:right>
        <x:color indexed="64"/>
      </x:right>
      <x:top style="thin">
        <x:color rgb="ffa6a6a6"/>
      </x:top>
      <x:bottom>
        <x:color indexed="64"/>
      </x:bottom>
      <x:diagonal>
        <x:color indexed="64"/>
      </x:diagonal>
    </x:border>
    <x:border diagonalUp="1" diagonalDown="1">
      <x:left style="thin">
        <x:color rgb="ffa6a6a6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808080"/>
      </x:right>
      <x:top style="thin">
        <x:color rgb="ff808080"/>
      </x:top>
      <x:bottom>
        <x:color indexed="64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80808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808080"/>
      </x:right>
      <x:top>
        <x:color indexed="64"/>
      </x:top>
      <x:bottom style="thin">
        <x:color rgb="ff808080"/>
      </x:bottom>
      <x:diagonal>
        <x:color indexed="64"/>
      </x:diagonal>
    </x:border>
    <x:border diagonalUp="1" diagonalDown="1">
      <x:left style="thin">
        <x:color rgb="ffbfbfbf"/>
      </x:left>
      <x:right style="thin">
        <x:color rgb="ffbfbfbf"/>
      </x:right>
      <x:top style="thin">
        <x:color rgb="ffbfbfbf"/>
      </x:top>
      <x:bottom>
        <x:color indexed="64"/>
      </x:bottom>
      <x:diagonal>
        <x:color indexed="64"/>
      </x:diagonal>
    </x:border>
    <x:border diagonalUp="1" diagonalDown="1">
      <x:left style="thin">
        <x:color rgb="ffbfbfbf"/>
      </x:left>
      <x:right style="thin">
        <x:color rgb="ffbfbfbf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bfbfbf"/>
      </x:left>
      <x:right style="thin">
        <x:color rgb="ffbfbfbf"/>
      </x:right>
      <x:top>
        <x:color indexed="64"/>
      </x:top>
      <x:bottom style="thin">
        <x:color rgb="ffbfbfbf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bfbfbf"/>
      </x:right>
      <x:top style="thin">
        <x:color rgb="ffbfbfbf"/>
      </x:top>
      <x:bottom>
        <x:color indexed="64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bfbfbf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808080"/>
      </x:left>
      <x:right style="thin">
        <x:color rgb="ffbfbfbf"/>
      </x:right>
      <x:top>
        <x:color indexed="64"/>
      </x:top>
      <x:bottom style="thin">
        <x:color rgb="ffbfbfbf"/>
      </x:bottom>
      <x:diagonal>
        <x:color indexed="64"/>
      </x:diagonal>
    </x:border>
    <x:border diagonalUp="1" diagonalDown="1">
      <x:left style="thick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ck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ck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ck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9" fontId="0" fillId="0" borderId="0">
      <x:alignment horizontal="general" vertical="center"/>
    </x:xf>
    <x:xf numFmtId="0" fontId="0" fillId="0" borderId="0">
      <x:alignment horizontal="general" vertical="center"/>
    </x:xf>
    <x:xf numFmtId="0" fontId="7" fillId="0" borderId="1">
      <x:alignment horizontal="general" vertical="center"/>
    </x:xf>
    <x:xf numFmtId="0" fontId="8" fillId="2" borderId="0">
      <x:alignment horizontal="general" vertical="center"/>
    </x:xf>
    <x:xf numFmtId="0" fontId="9" fillId="0" borderId="0">
      <x:alignment horizontal="general" vertical="bottom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</x:cellStyleXfs>
  <x:cellXfs count="384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2" xfId="0" applyNumberFormat="1" applyFont="1" applyBorder="1" applyAlignment="1">
      <x:alignment horizontal="left" vertical="center" wrapText="1"/>
    </x:xf>
    <x:xf numFmtId="0" fontId="11" fillId="0" borderId="2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" xfId="0" applyNumberFormat="1" applyFont="1" applyBorder="1" applyAlignment="1">
          <x:alignment horizontal="center" vertical="center"/>
        </x:xf>
      </mc:Fallback>
    </mc:AlternateContent>
    <x:xf numFmtId="0" fontId="13" fillId="0" borderId="3" xfId="0" applyNumberFormat="1" applyFont="1" applyBorder="1" applyAlignment="1">
      <x:alignment horizontal="left" vertical="center"/>
    </x:xf>
    <x:xf numFmtId="0" fontId="13" fillId="0" borderId="4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5" xfId="7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" xfId="7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7" xfId="0" applyNumberFormat="1" applyFont="1" applyFill="1" applyBorder="1" applyAlignment="1">
          <x:alignment horizontal="center" vertical="center"/>
        </x:xf>
      </mc:Fallback>
    </mc:AlternateContent>
    <x:xf numFmtId="0" fontId="0" fillId="5" borderId="7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0" applyNumberFormat="1" applyFont="1" applyFill="1" applyBorder="1" applyAlignment="1">
          <x:alignment horizontal="center" vertical="center"/>
        </x:xf>
      </mc:Fallback>
    </mc:AlternateContent>
    <x:xf numFmtId="0" fontId="0" fillId="6" borderId="0" xfId="0" applyNumberFormat="1" applyFont="1" applyFill="1" applyAlignment="1">
      <x:alignment horizontal="general" vertical="center"/>
    </x:xf>
    <x:xf numFmtId="0" fontId="10" fillId="6" borderId="9" xfId="0" applyNumberFormat="1" applyFont="1" applyFill="1" applyBorder="1" applyAlignment="1">
      <x:alignment horizontal="left" vertical="center"/>
    </x:xf>
    <x:xf numFmtId="0" fontId="0" fillId="6" borderId="7" xfId="0" applyNumberFormat="1" applyFont="1" applyFill="1" applyBorder="1" applyAlignment="1">
      <x:alignment horizontal="left" vertical="center"/>
    </x:xf>
    <x:xf numFmtId="0" fontId="0" fillId="6" borderId="7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0" applyNumberFormat="1" applyFont="1" applyFill="1" applyBorder="1" applyAlignment="1">
          <x:alignment horizontal="center" vertical="center"/>
        </x:xf>
      </mc:Fallback>
    </mc:AlternateContent>
    <x:xf numFmtId="0" fontId="0" fillId="6" borderId="9" xfId="0" applyNumberFormat="1" applyFont="1" applyFill="1" applyBorder="1" applyAlignment="1">
      <x:alignment horizontal="left" vertical="center"/>
    </x:xf>
    <x:xf numFmtId="0" fontId="10" fillId="6" borderId="7" xfId="0" applyNumberFormat="1" applyFont="1" applyFill="1" applyBorder="1" applyAlignment="1">
      <x:alignment horizontal="general" vertical="center"/>
    </x:xf>
    <x:xf numFmtId="0" fontId="0" fillId="6" borderId="7" xfId="8" applyNumberFormat="1" applyFont="1" applyFill="1" applyBorder="1" applyAlignment="1">
      <x:alignment horizontal="left" vertical="center"/>
    </x:xf>
    <x:xf numFmtId="0" fontId="10" fillId="5" borderId="9" xfId="10" applyNumberFormat="1" applyFont="1" applyFill="1" applyBorder="1" applyAlignment="1">
      <x:alignment horizontal="left" vertical="center"/>
    </x:xf>
    <x:xf numFmtId="0" fontId="10" fillId="5" borderId="7" xfId="10" applyNumberFormat="1" applyFont="1" applyFill="1" applyBorder="1" applyAlignment="1">
      <x:alignment horizontal="general" vertical="center"/>
    </x:xf>
    <x:xf numFmtId="0" fontId="10" fillId="5" borderId="7" xfId="1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7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7" xfId="10" applyNumberFormat="1" applyFont="1" applyFill="1" applyBorder="1" applyAlignment="1">
          <x:alignment horizontal="center" vertical="center"/>
        </x:xf>
      </mc:Fallback>
    </mc:AlternateContent>
    <x:xf numFmtId="0" fontId="14" fillId="5" borderId="7" xfId="1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7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7" xfId="1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8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8" xfId="10" applyNumberFormat="1" applyFont="1" applyFill="1" applyBorder="1" applyAlignment="1">
          <x:alignment horizontal="center" vertical="center"/>
        </x:xf>
      </mc:Fallback>
    </mc:AlternateContent>
    <x:xf numFmtId="0" fontId="10" fillId="6" borderId="0" xfId="0" applyNumberFormat="1" applyFont="1" applyFill="1" applyAlignment="1">
      <x:alignment horizontal="general" vertical="center"/>
    </x:xf>
    <x:xf numFmtId="0" fontId="0" fillId="6" borderId="9" xfId="10" applyNumberFormat="1" applyFont="1" applyFill="1" applyBorder="1" applyAlignment="1">
      <x:alignment horizontal="left" vertical="center"/>
    </x:xf>
    <x:xf numFmtId="0" fontId="0" fillId="5" borderId="7" xfId="10" applyNumberFormat="1" applyFont="1" applyFill="1" applyBorder="1" applyAlignment="1">
      <x:alignment horizontal="general" vertical="center"/>
    </x:xf>
    <x:xf numFmtId="0" fontId="13" fillId="5" borderId="7" xfId="1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8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10" applyNumberFormat="1" applyFont="1" applyFill="1" applyBorder="1" applyAlignment="1">
          <x:alignment horizontal="center" vertical="center"/>
        </x:xf>
      </mc:Fallback>
    </mc:AlternateContent>
    <x:xf numFmtId="0" fontId="0" fillId="5" borderId="7" xfId="10" applyNumberFormat="1" applyFont="1" applyFill="1" applyBorder="1" applyAlignment="1">
      <x:alignment horizontal="left" vertical="center"/>
    </x:xf>
    <x:xf numFmtId="0" fontId="10" fillId="0" borderId="9" xfId="10" applyNumberFormat="1" applyFont="1" applyBorder="1" applyAlignment="1">
      <x:alignment horizontal="left" vertical="center"/>
    </x:xf>
    <x:xf numFmtId="0" fontId="0" fillId="0" borderId="7" xfId="0" applyNumberFormat="1" applyFont="1" applyBorder="1" applyAlignment="1">
      <x:alignment horizontal="left" vertical="center"/>
    </x:xf>
    <x:xf numFmtId="0" fontId="0" fillId="0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6" borderId="7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6" borderId="7" xfId="4" applyNumberFormat="1" applyFont="1" applyFill="1" applyBorder="1" applyAlignment="1">
          <x:alignment horizontal="center" vertical="center"/>
        </x:xf>
      </mc:Fallback>
    </mc:AlternateContent>
    <x:xf numFmtId="0" fontId="10" fillId="0" borderId="7" xfId="0" applyNumberFormat="1" applyFont="1" applyBorder="1" applyAlignment="1">
      <x:alignment horizontal="general" vertical="center"/>
    </x:xf>
    <x:xf numFmtId="0" fontId="0" fillId="0" borderId="7" xfId="8" applyNumberFormat="1" applyFont="1" applyBorder="1" applyAlignment="1">
      <x:alignment horizontal="left" vertical="center"/>
    </x:xf>
    <x:xf numFmtId="0" fontId="0" fillId="0" borderId="7" xfId="1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1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10" applyNumberFormat="1" applyFont="1" applyBorder="1" applyAlignment="1">
          <x:alignment horizontal="center" vertical="center"/>
        </x:xf>
      </mc:Fallback>
    </mc:AlternateContent>
    <x:xf numFmtId="49" fontId="0" fillId="0" borderId="7" xfId="8" applyNumberFormat="1" applyFont="1" applyBorder="1" applyAlignment="1">
      <x:alignment horizontal="left" vertical="center"/>
    </x:xf>
    <x:xf numFmtId="49" fontId="0" fillId="0" borderId="7" xfId="0" applyNumberFormat="1" applyFont="1" applyBorder="1" applyAlignment="1">
      <x:alignment horizontal="left" vertical="center"/>
    </x:xf>
    <x:xf numFmtId="0" fontId="10" fillId="6" borderId="7" xfId="0" applyNumberFormat="1" applyFont="1" applyFill="1" applyBorder="1" applyAlignment="1">
      <x:alignment horizontal="left" vertical="center"/>
    </x:xf>
    <x:xf numFmtId="0" fontId="10" fillId="0" borderId="7" xfId="0" applyNumberFormat="1" applyFont="1" applyBorder="1" applyAlignment="1">
      <x:alignment horizontal="left" vertical="center"/>
    </x:xf>
    <x:xf numFmtId="0" fontId="10" fillId="0" borderId="7" xfId="1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0" fillId="5" borderId="7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7" xfId="4" applyNumberFormat="1" applyFont="1" applyFill="1" applyBorder="1" applyAlignment="1">
          <x:alignment horizontal="center" vertical="center"/>
        </x:xf>
      </mc:Fallback>
    </mc:AlternateContent>
    <x:xf numFmtId="0" fontId="0" fillId="6" borderId="8" xfId="0" applyNumberFormat="1" applyFont="1" applyFill="1" applyBorder="1" applyAlignment="1">
      <x:alignment horizontal="left" vertical="center"/>
    </x:xf>
    <x:xf numFmtId="0" fontId="10" fillId="6" borderId="0" xfId="12" applyNumberFormat="1" applyFont="1" applyFill="1" applyAlignment="1">
      <x:alignment horizontal="left" vertical="center"/>
    </x:xf>
    <x:xf numFmtId="0" fontId="0" fillId="6" borderId="0" xfId="12" applyNumberFormat="1" applyFill="1" applyProtection="1">
      <x:alignment horizontal="general" vertical="center"/>
      <x:protection locked="0"/>
    </x:xf>
    <x:xf numFmtId="0" fontId="15" fillId="6" borderId="0" xfId="12" applyNumberFormat="1" applyFont="1" applyFill="1" applyAlignment="1" applyProtection="1">
      <x:alignment horizontal="general" vertical="top"/>
      <x:protection locked="0"/>
    </x:xf>
    <x:xf numFmtId="0" fontId="14" fillId="7" borderId="0" xfId="12" applyNumberFormat="1" applyFon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6" fillId="7" borderId="0" xfId="12" applyNumberFormat="1" applyFont="1" applyFill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0" xfId="12" applyNumberFormat="1" applyFont="1" applyFill="1" applyAlignment="1" applyProtection="1">
          <x:alignment horizontal="right" vertical="center"/>
          <x:protection locked="0"/>
        </x:xf>
      </mc:Fallback>
    </mc:AlternateContent>
    <x:xf numFmtId="14" fontId="16" fillId="7" borderId="0" xfId="12" applyNumberFormat="1" applyFont="1" applyFill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6" fillId="7" borderId="10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10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4" fontId="17" fillId="7" borderId="10" xfId="12" applyNumberFormat="1" applyFont="1" applyFill="1" applyBorder="1" applyAlignment="1" applyProtection="1">
      <x:alignment horizontal="left" vertical="center"/>
      <x:protection locked="0"/>
    </x:xf>
    <x:xf numFmtId="14" fontId="17" fillId="7" borderId="0" xfId="12" applyNumberFormat="1" applyFont="1" applyFill="1" applyAlignment="1" applyProtection="1">
      <x:alignment horizontal="left" vertical="center"/>
      <x:protection locked="0"/>
    </x:xf>
    <x:xf numFmtId="0" fontId="16" fillId="7" borderId="10" xfId="12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8" fillId="7" borderId="0" xfId="12" applyNumberFormat="1" applyFont="1" applyFill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7" borderId="0" xfId="12" applyNumberFormat="1" applyFont="1" applyFill="1" applyAlignment="1" applyProtection="1">
          <x:alignment horizontal="center" vertical="center"/>
          <x:protection hidden="1"/>
        </x:xf>
      </mc:Fallback>
    </mc:AlternateContent>
    <x:xf numFmtId="14" fontId="19" fillId="6" borderId="0" xfId="12" applyNumberFormat="1" applyFon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20" fillId="8" borderId="11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8" borderId="11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9" borderId="11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9" borderId="11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0" borderId="12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12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13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3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7" borderId="13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7" borderId="13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12" borderId="13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12" borderId="13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0" fillId="6" borderId="12" xfId="12" applyNumberFormat="1" applyFont="1" applyFill="1" applyBorder="1" applyProtection="1">
      <x:alignment horizontal="general" vertical="center"/>
      <x:protection locked="0"/>
    </x:xf>
    <x:xf numFmtId="0" fontId="13" fillId="6" borderId="12" xfId="12" applyNumberFormat="1" applyFont="1" applyFill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1" borderId="0" xfId="12" applyNumberFormat="1" applyFont="1" applyFill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0" xfId="12" applyNumberFormat="1" applyFont="1" applyFill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3" fillId="6" borderId="12" xfId="12" applyNumberFormat="1" applyFont="1" applyFill="1" applyBorder="1" applyProtection="1">
      <x:alignment horizontal="general" vertical="center"/>
      <x:protection locked="0"/>
    </x:xf>
    <x:xf numFmtId="0" fontId="11" fillId="6" borderId="14" xfId="1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21" fillId="6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6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7" borderId="15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7" borderId="15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13" borderId="15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13" borderId="15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1" borderId="12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1" borderId="12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6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6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4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4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1" fillId="14" borderId="14" xfId="1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1" borderId="12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2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14" borderId="0" xfId="12" applyNumberForma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1" fillId="15" borderId="16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5" borderId="16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6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6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7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7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18" borderId="1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18" borderId="1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0" xfId="12" applyNumberFormat="1" applyFill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0" xfId="12" applyNumberFormat="1" applyFill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9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9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7" xfId="0" applyNumberFormat="1" applyFont="1" applyBorder="1" applyAlignment="1">
          <x:alignment horizontal="justify" vertical="center" wrapText="1"/>
        </x:xf>
      </mc:Fallback>
    </mc:AlternateContent>
    <x:xf numFmtId="0" fontId="13" fillId="0" borderId="7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7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left" vertical="center"/>
    </x:xf>
    <x:xf numFmtId="0" fontId="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5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5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5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5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5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5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2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22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2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22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2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22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2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8" xfId="0" applyNumberFormat="1" applyFont="1" applyFill="1" applyBorder="1" applyAlignment="1">
          <x:alignment horizontal="center" vertical="center"/>
        </x:xf>
      </mc:Fallback>
    </mc:AlternateContent>
    <x:xf numFmtId="49" fontId="0" fillId="6" borderId="7" xfId="8" applyNumberFormat="1" applyFont="1" applyFill="1" applyBorder="1" applyAlignment="1">
      <x:alignment horizontal="left" vertical="center"/>
    </x:xf>
    <x:xf numFmtId="0" fontId="31" fillId="6" borderId="7" xfId="9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2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6" borderId="7" xfId="0" applyNumberFormat="1" applyFont="1" applyFill="1" applyBorder="1" applyAlignment="1">
          <x:alignment horizontal="center" vertical="center"/>
        </x:xf>
      </mc:Fallback>
    </mc:AlternateContent>
    <x:xf numFmtId="0" fontId="33" fillId="0" borderId="7" xfId="0" applyNumberFormat="1" applyFont="1" applyBorder="1" applyAlignment="1">
      <x:alignment horizontal="general" vertical="center"/>
    </x:xf>
    <x:xf numFmtId="0" fontId="0" fillId="0" borderId="28" xfId="0" applyNumberForma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6" borderId="7" xfId="9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7" xfId="9" applyNumberFormat="1" applyFont="1" applyFill="1" applyBorder="1" applyAlignment="1">
          <x:alignment horizontal="center" vertical="center"/>
        </x:xf>
      </mc:Fallback>
    </mc:AlternateContent>
    <x:xf numFmtId="0" fontId="33" fillId="0" borderId="29" xfId="0" applyNumberFormat="1" applyFont="1" applyBorder="1" applyAlignment="1">
      <x:alignment horizontal="general" vertical="center"/>
    </x:xf>
    <x:xf numFmtId="0" fontId="0" fillId="0" borderId="30" xfId="0" applyNumberFormat="1" applyBorder="1" applyAlignment="1">
      <x:alignment horizontal="general" vertical="center"/>
    </x:xf>
    <x:xf numFmtId="0" fontId="34" fillId="6" borderId="7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6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6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9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9" borderId="7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3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3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3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3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4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4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8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8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5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5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6" xfId="7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6" xfId="7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" xfId="7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" xfId="7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7" xfId="7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7" xfId="7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8" xfId="7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8" xfId="7" applyNumberFormat="1" applyFont="1" applyBorder="1" applyAlignment="1">
          <x:alignment horizontal="center" vertical="center"/>
        </x:xf>
      </mc:Fallback>
    </mc:AlternateContent>
    <x:xf numFmtId="0" fontId="10" fillId="4" borderId="39" xfId="7" applyNumberFormat="1" applyFont="1" applyFill="1" applyBorder="1" applyAlignment="1">
      <x:alignment horizontal="left" vertical="center"/>
    </x:xf>
    <x:xf numFmtId="0" fontId="10" fillId="4" borderId="6" xfId="7" quotePrefix="1" applyNumberFormat="1" applyFont="1" applyFill="1" applyBorder="1" applyAlignment="1">
      <x:alignment horizontal="general" vertical="center"/>
    </x:xf>
    <x:xf numFmtId="0" fontId="10" fillId="4" borderId="6" xfId="7" applyNumberFormat="1" applyFont="1" applyFill="1" applyBorder="1" applyAlignment="1">
      <x:alignment horizontal="left" vertical="center"/>
    </x:xf>
    <x:xf numFmtId="0" fontId="10" fillId="4" borderId="6" xfId="7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6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0" fillId="4" borderId="6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4" borderId="6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0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0" xfId="7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NumberFormat="1" applyFont="1" applyAlignment="1">
      <x:alignment horizontal="general" vertical="center"/>
    </x:xf>
    <x:xf numFmtId="0" fontId="0" fillId="6" borderId="7" xfId="9" applyNumberFormat="1" applyFont="1" applyFill="1" applyBorder="1">
      <x:alignment horizontal="general" vertical="center"/>
    </x:xf>
    <x:xf numFmtId="0" fontId="0" fillId="0" borderId="7" xfId="9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7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1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8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8" xfId="10" applyNumberFormat="1" applyFont="1" applyFill="1" applyBorder="1" applyAlignment="1">
          <x:alignment horizontal="center" vertical="center"/>
        </x:xf>
      </mc:Fallback>
    </mc:AlternateContent>
    <x:xf numFmtId="0" fontId="0" fillId="6" borderId="8" xfId="1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4" fillId="0" borderId="7" xfId="9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7" xfId="9" applyNumberFormat="1" applyFont="1" applyBorder="1" applyAlignment="1">
          <x:alignment horizontal="center" vertical="center" wrapText="1"/>
        </x:xf>
      </mc:Fallback>
    </mc:AlternateContent>
    <x:xf numFmtId="0" fontId="34" fillId="0" borderId="29" xfId="9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 wrapText="1"/>
        </x:xf>
      </mc:Fallback>
    </mc:AlternateContent>
    <x:xf numFmtId="0" fontId="0" fillId="6" borderId="4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9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0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0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3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3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3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3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7" xfId="0" applyNumberFormat="1" applyFont="1" applyFill="1" applyBorder="1" applyAlignment="1">
          <x:alignment horizontal="center" vertical="center" wrapText="1"/>
        </x:xf>
      </mc:Fallback>
    </mc:AlternateContent>
    <x:xf numFmtId="0" fontId="0" fillId="15" borderId="7" xfId="8" applyNumberFormat="1" applyFont="1" applyFill="1" applyBorder="1" applyAlignment="1">
      <x:alignment horizontal="left" vertical="center"/>
    </x:xf>
    <x:xf numFmtId="0" fontId="0" fillId="15" borderId="7" xfId="9" applyNumberFormat="1" applyFont="1" applyFill="1" applyBorder="1">
      <x:alignment horizontal="general" vertical="center"/>
    </x:xf>
    <x:xf numFmtId="0" fontId="0" fillId="15" borderId="7" xfId="0" applyNumberFormat="1" applyFont="1" applyFill="1" applyBorder="1" applyAlignment="1">
      <x:alignment horizontal="left" vertical="center"/>
    </x:xf>
    <x:xf numFmtId="49" fontId="0" fillId="15" borderId="7" xfId="8" applyNumberFormat="1" applyFont="1" applyFill="1" applyBorder="1" applyAlignment="1">
      <x:alignment horizontal="left" vertical="center"/>
    </x:xf>
    <x:xf numFmtId="0" fontId="0" fillId="15" borderId="7" xfId="1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29" xfId="9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29" xfId="9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6" xfId="9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6" xfId="9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6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6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42" xfId="9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42" xfId="9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7" xfId="0" applyNumberFormat="1" applyFont="1" applyBorder="1" applyAlignment="1">
          <x:alignment horizontal="center" vertical="center"/>
        </x:xf>
      </mc:Fallback>
    </mc:AlternateContent>
    <x:xf numFmtId="0" fontId="13" fillId="6" borderId="41" xfId="0" applyNumberFormat="1" applyFont="1" applyFill="1" applyBorder="1" applyAlignment="1">
      <x:alignment horizontal="left" vertical="center" wrapText="1"/>
    </x:xf>
    <x:xf numFmtId="0" fontId="13" fillId="6" borderId="43" xfId="0" applyNumberFormat="1" applyFont="1" applyFill="1" applyBorder="1" applyAlignment="1">
      <x:alignment horizontal="left" vertical="center" wrapText="1"/>
    </x:xf>
    <x:xf numFmtId="0" fontId="13" fillId="6" borderId="40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9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9" applyNumberFormat="1" applyFont="1" applyBorder="1" applyAlignment="1">
          <x:alignment horizontal="center" vertical="center"/>
        </x:xf>
      </mc:Fallback>
    </mc:AlternateContent>
    <x:xf numFmtId="0" fontId="0" fillId="6" borderId="41" xfId="0" applyNumberFormat="1" applyFont="1" applyFill="1" applyBorder="1" applyAlignment="1">
      <x:alignment horizontal="left" vertical="center"/>
    </x:xf>
    <x:xf numFmtId="0" fontId="0" fillId="6" borderId="43" xfId="0" applyNumberFormat="1" applyFont="1" applyFill="1" applyBorder="1" applyAlignment="1">
      <x:alignment horizontal="left" vertical="center"/>
    </x:xf>
    <x:xf numFmtId="0" fontId="0" fillId="6" borderId="40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1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1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1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1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0" applyNumberFormat="1" applyFont="1" applyBorder="1" applyAlignment="1">
          <x:alignment horizontal="center" vertical="center"/>
        </x:xf>
      </mc:Fallback>
    </mc:AlternateContent>
    <x:xf numFmtId="0" fontId="0" fillId="6" borderId="41" xfId="0" applyNumberFormat="1" applyFont="1" applyFill="1" applyBorder="1" applyAlignment="1">
      <x:alignment horizontal="left" vertical="center" wrapText="1"/>
    </x:xf>
    <x:xf numFmtId="0" fontId="0" fillId="6" borderId="43" xfId="0" applyNumberFormat="1" applyFont="1" applyFill="1" applyBorder="1" applyAlignment="1">
      <x:alignment horizontal="left" vertical="center" wrapText="1"/>
    </x:xf>
    <x:xf numFmtId="0" fontId="0" fillId="6" borderId="40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42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42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6" xfId="9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6" xfId="9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29" xfId="1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29" xfId="1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42" xfId="1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42" xfId="1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6" xfId="1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6" xfId="1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7" xfId="9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7" xfId="9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42" xfId="0" applyNumberFormat="1" applyFont="1" applyBorder="1" applyAlignment="1">
          <x:alignment horizontal="center" vertical="center" wrapText="1"/>
        </x:xf>
      </mc:Fallback>
    </mc:AlternateContent>
    <x:xf numFmtId="0" fontId="0" fillId="0" borderId="41" xfId="0" applyNumberFormat="1" applyFont="1" applyBorder="1" applyAlignment="1">
      <x:alignment horizontal="left" vertical="center" wrapText="1"/>
    </x:xf>
    <x:xf numFmtId="0" fontId="0" fillId="0" borderId="43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6" borderId="7" xfId="0" applyNumberFormat="1" applyFont="1" applyFill="1" applyBorder="1" applyAlignment="1">
          <x:alignment horizontal="center" vertical="center"/>
        </x:xf>
      </mc:Fallback>
    </mc:AlternateContent>
    <x:xf numFmtId="0" fontId="10" fillId="5" borderId="9" xfId="0" applyNumberFormat="1" applyFont="1" applyFill="1" applyBorder="1" applyAlignment="1">
      <x:alignment horizontal="left" vertical="center"/>
    </x:xf>
    <x:xf numFmtId="0" fontId="10" fillId="5" borderId="7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4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6" xfId="0" applyNumberFormat="1" applyFont="1" applyBorder="1" applyAlignment="1">
          <x:alignment horizontal="center" vertical="center" wrapText="1"/>
        </x:xf>
      </mc:Fallback>
    </mc:AlternateContent>
    <x:xf numFmtId="0" fontId="13" fillId="0" borderId="44" xfId="0" applyNumberFormat="1" applyFont="1" applyBorder="1" applyAlignment="1">
      <x:alignment horizontal="left" vertical="center" wrapText="1"/>
    </x:xf>
    <x:xf numFmtId="0" fontId="13" fillId="0" borderId="4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42" fillId="0" borderId="1" xfId="6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1" xfId="6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3" fillId="0" borderId="1" xfId="6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3" fillId="0" borderId="1" xfId="6" applyNumberFormat="1" applyFont="1" applyAlignment="1">
          <x:alignment horizontal="center" vertical="center"/>
        </x:xf>
      </mc:Fallback>
    </mc:AlternateContent>
    <x:xf numFmtId="0" fontId="13" fillId="0" borderId="44" xfId="0" applyNumberFormat="1" applyFont="1" applyBorder="1" applyAlignment="1">
      <x:alignment horizontal="left" vertical="center"/>
    </x:xf>
    <x:xf numFmtId="0" fontId="14" fillId="0" borderId="44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6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6" borderId="0" xfId="12" applyNumberFormat="1" applyFont="1" applyFill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0" xfId="12" applyNumberFormat="1" applyFont="1" applyFill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48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48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49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49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12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2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50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50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51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51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52" xfId="1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52" xfId="1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3" fillId="6" borderId="50" xfId="12" applyNumberFormat="1" applyFont="1" applyFill="1" applyBorder="1" applyAlignment="1" applyProtection="1">
      <x:alignment horizontal="left" vertical="center" wrapText="1"/>
      <x:protection locked="0"/>
    </x:xf>
    <x:xf numFmtId="0" fontId="13" fillId="6" borderId="51" xfId="12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1" fillId="25" borderId="53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3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4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4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5" xfId="13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5" xfId="13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6" xfId="1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6" xfId="1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7" xfId="1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7" xfId="1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8" xfId="1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8" xfId="1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5" borderId="53" xfId="1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5" borderId="53" xfId="1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0" xfId="0" applyNumberFormat="1" applyFont="1" applyBorder="1" applyAlignment="1">
          <x:alignment horizontal="center" vertical="center" wrapText="1"/>
        </x:xf>
      </mc:Fallback>
    </mc:AlternateContent>
    <x:xf numFmtId="0" fontId="13" fillId="0" borderId="61" xfId="0" applyNumberFormat="1" applyFont="1" applyBorder="1" applyAlignment="1">
      <x:alignment horizontal="left" vertical="center" wrapText="1"/>
    </x:xf>
    <x:xf numFmtId="0" fontId="13" fillId="0" borderId="62" xfId="0" applyNumberFormat="1" applyFont="1" applyBorder="1" applyAlignment="1">
      <x:alignment horizontal="left" vertical="center" wrapText="1"/>
    </x:xf>
    <x:xf numFmtId="0" fontId="13" fillId="0" borderId="63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6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6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6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6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0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0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6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6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6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6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7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7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6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6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7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7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6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6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7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7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6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6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6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6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0" borderId="7" xfId="0" applyNumberFormat="1" applyFont="1" applyBorder="1" applyAlignment="1">
          <x:alignment horizontal="center" vertical="center" wrapText="1"/>
        </x:xf>
      </mc:Fallback>
    </mc:AlternateContent>
    <x:xf numFmtId="0" fontId="11" fillId="0" borderId="7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7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7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7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7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6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6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7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7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1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1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NumberFormat="1" applyFont="1" applyBorder="1" applyAlignment="1">
          <x:alignment horizontal="center" vertical="center" wrapText="1"/>
        </x:xf>
      </mc:Fallback>
    </mc:AlternateContent>
    <x:xf numFmtId="0" fontId="0" fillId="26" borderId="0" xfId="0" applyNumberFormat="1" applyFont="1" applyFill="1" applyAlignment="1">
      <x:alignment horizontal="general" vertical="center"/>
    </x:xf>
    <x:xf numFmtId="0" fontId="0" fillId="26" borderId="9" xfId="0" applyNumberFormat="1" applyFont="1" applyFill="1" applyBorder="1" applyAlignment="1">
      <x:alignment horizontal="left" vertical="center"/>
    </x:xf>
    <x:xf numFmtId="0" fontId="10" fillId="26" borderId="7" xfId="0" applyNumberFormat="1" applyFont="1" applyFill="1" applyBorder="1" applyAlignment="1">
      <x:alignment horizontal="general" vertical="center"/>
    </x:xf>
    <x:xf numFmtId="49" fontId="0" fillId="26" borderId="7" xfId="8" applyNumberFormat="1" applyFont="1" applyFill="1" applyBorder="1" applyAlignment="1">
      <x:alignment horizontal="left" vertical="center"/>
    </x:xf>
    <x:xf numFmtId="0" fontId="0" fillId="26" borderId="7" xfId="8" applyNumberFormat="1" applyFont="1" applyFill="1" applyBorder="1" applyAlignment="1">
      <x:alignment horizontal="left" vertical="center"/>
    </x:xf>
    <x:xf numFmtId="0" fontId="0" fillId="26" borderId="7" xfId="9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6" borderId="7" xfId="1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7" xfId="1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6" borderId="7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6" borderId="7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7" xfId="9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7" xfId="9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6" xfId="0" applyNumberFormat="1" applyFont="1" applyFill="1" applyBorder="1" applyAlignment="1">
          <x:alignment horizontal="center" vertical="center"/>
        </x:xf>
      </mc:Fallback>
    </mc:AlternateContent>
    <x:xf numFmtId="0" fontId="0" fillId="26" borderId="7" xfId="0" applyNumberFormat="1" applyFont="1" applyFill="1" applyBorder="1" applyAlignment="1">
      <x:alignment horizontal="left" vertical="center"/>
    </x:xf>
    <x:xf numFmtId="0" fontId="0" fillId="26" borderId="7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4" fillId="26" borderId="29" xfId="9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26" borderId="29" xfId="9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26" borderId="42" xfId="9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26" borderId="42" xfId="9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26" borderId="6" xfId="9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26" borderId="6" xfId="9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29" xfId="9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29" xfId="9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6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6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42" xfId="9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42" xfId="9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6" xfId="9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6" xfId="9" applyNumberFormat="1" applyFont="1" applyFill="1" applyBorder="1" applyAlignment="1">
          <x:alignment horizontal="center" vertical="center"/>
        </x:xf>
      </mc:Fallback>
    </mc:AlternateContent>
  </x:cellXfs>
  <x:cellStyles count="14">
    <x:cellStyle xfId="4" builtinId="5"/>
    <x:cellStyle name="제목 1" xfId="6"/>
    <x:cellStyle name="좋음" xfId="7"/>
    <x:cellStyle xfId="0" builtinId="0"/>
    <x:cellStyle name="표준 2" xfId="1"/>
    <x:cellStyle name="표준 2 2" xfId="13"/>
    <x:cellStyle name="표준 3" xfId="2"/>
    <x:cellStyle name="표준 3 2" xfId="5"/>
    <x:cellStyle name="표준 3 3" xfId="9"/>
    <x:cellStyle name="표준 4" xfId="3"/>
    <x:cellStyle name="표준 4 4" xfId="11"/>
    <x:cellStyle name="표준 5" xfId="12"/>
    <x:cellStyle name="표준 6" xfId="10"/>
    <x:cellStyle name="표준 7" xfId="8"/>
  </x:cellStyles>
  <x:dxfs count="19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medium">
              <x:color rgb="ff376092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medium">
              <x:color rgb="ff37609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76092"/>
            </x:top>
            <x:bottom style="medium">
              <x:color rgb="ff37609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376092"/>
            </x:top>
            <x:bottom style="medium">
              <x:color rgb="ff376092"/>
            </x:bottom>
          </x:border>
        </x:dxf>
      </mc:Fallback>
    </mc:AlternateContent>
    <x:dxf>
      <x:border>
        <x:top style="thin">
          <x:color rgb="ff96b3d7"/>
        </x:top>
        <x:bottom style="thin">
          <x:color rgb="ff96b3d7"/>
        </x:bottom>
        <x:horizontal style="thin">
          <x:color rgb="ff96b3d7"/>
        </x:horizontal>
      </x:border>
    </x:dxf>
    <x:dxf>
      <x:border>
        <x:left style="thin">
          <x:color rgb="ff96b3d7"/>
        </x:left>
        <x:right style="thin">
          <x:color rgb="ff96b3d7"/>
        </x:right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left style="medium">
              <x:color rgb="ffb8cce5"/>
            </x:left>
            <x:right style="medium">
              <x:color rgb="ffb8cce5"/>
            </x:right>
            <x:top style="medium">
              <x:color rgb="ffb8cce5"/>
            </x:top>
            <x:bottom style="medium">
              <x:color rgb="ffb8cce5"/>
            </x:bottom>
          </x:border>
        </x:dxf>
      </mc:Choice>
      <mc:Fallback>
        <x:dxf>
          <x:font>
            <x:color rgb="ff000000"/>
            <x:b val="1"/>
          </x:font>
          <x:border>
            <x:left style="medium">
              <x:color rgb="ffb8cce5"/>
            </x:left>
            <x:right style="medium">
              <x:color rgb="ffb8cce5"/>
            </x:right>
            <x:top style="medium">
              <x:color rgb="ffb8cce5"/>
            </x:top>
            <x:bottom style="medium">
              <x:color rgb="ffb8cce5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b8cce5"/>
              <x:bgColor rgb="ffb8cce5"/>
            </x:patternFill>
          </x:fill>
        </x:dxf>
      </mc:Choice>
      <mc:Fallback>
        <x:dxf>
          <x:font>
            <x:color rgb="ff000000"/>
            <x:b val="1"/>
          </x:font>
          <x:fill>
            <x:patternFill patternType="solid">
              <x:fgColor rgb="ffb8cce5"/>
              <x:bgColor rgb="ffb8cce5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</x:dxf>
    <x:dxf>
      <x:fill>
        <x:patternFill patternType="solid">
          <x:fgColor rgb="ffdce6f2"/>
          <x:bgColor rgb="ffdce6f2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96b3d7"/>
            </x:left>
            <x:right style="thin">
              <x:color rgb="ff96b3d7"/>
            </x:right>
            <x:top style="thin">
              <x:color rgb="ff96b3d7"/>
            </x:top>
            <x:bottom style="thin">
              <x:color rgb="ff96b3d7"/>
            </x:bottom>
            <x:horizontal style="thin">
              <x:color rgb="ff96b3d7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96b3d7"/>
            </x:left>
            <x:right style="thin">
              <x:color rgb="ff96b3d7"/>
            </x:right>
            <x:top style="thin">
              <x:color rgb="ff96b3d7"/>
            </x:top>
            <x:bottom style="thin">
              <x:color rgb="ff96b3d7"/>
            </x:bottom>
            <x:horizontal style="thin">
              <x:color rgb="ff96b3d7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f81bd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f81bd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</x:dxf>
    <x:dxf>
      <x:fill>
        <x:patternFill patternType="solid">
          <x:fgColor rgb="ffdce6f2"/>
          <x:bgColor rgb="ffdce6f2"/>
        </x:patternFill>
      </x:fill>
    </x:dxf>
  </x:dxfs>
  <x:tableStyles count="0" defaultTableStyle="TableStyleMedium2" defaultPivotStyle="PivotStyleMedium9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externalLink" Target="externalLinks/externalLink1.xml"  /><Relationship Id="rId14" Type="http://schemas.openxmlformats.org/officeDocument/2006/relationships/externalLink" Target="externalLinks/externalLink2.xml"  /><Relationship Id="rId15" Type="http://schemas.openxmlformats.org/officeDocument/2006/relationships/externalLink" Target="externalLinks/externalLink3.xml"  /><Relationship Id="rId16" Type="http://schemas.openxmlformats.org/officeDocument/2006/relationships/externalLink" Target="externalLinks/externalLink4.xml"  /><Relationship Id="rId17" Type="http://schemas.openxmlformats.org/officeDocument/2006/relationships/externalLink" Target="externalLinks/externalLink5.xml"  /><Relationship Id="rId18" Type="http://schemas.openxmlformats.org/officeDocument/2006/relationships/externalLink" Target="externalLinks/externalLink6.xml"  /><Relationship Id="rId19" Type="http://schemas.openxmlformats.org/officeDocument/2006/relationships/externalLink" Target="externalLinks/externalLink7.xml"  /><Relationship Id="rId2" Type="http://schemas.openxmlformats.org/officeDocument/2006/relationships/styles" Target="styles.xml"  /><Relationship Id="rId20" Type="http://schemas.openxmlformats.org/officeDocument/2006/relationships/externalLink" Target="externalLinks/externalLink8.xml"  /><Relationship Id="rId21" Type="http://schemas.openxmlformats.org/officeDocument/2006/relationships/externalLink" Target="externalLinks/externalLink9.xml"  /><Relationship Id="rId22" Type="http://schemas.openxmlformats.org/officeDocument/2006/relationships/externalLink" Target="externalLinks/externalLink10.xml"  /><Relationship Id="rId23" Type="http://schemas.openxmlformats.org/officeDocument/2006/relationships/externalLink" Target="externalLinks/externalLink11.xml"  /><Relationship Id="rId24" Type="http://schemas.openxmlformats.org/officeDocument/2006/relationships/externalLink" Target="externalLinks/externalLink12.xml"  /><Relationship Id="rId25" Type="http://schemas.openxmlformats.org/officeDocument/2006/relationships/externalLink" Target="externalLinks/externalLink13.xml"  /><Relationship Id="rId26" Type="http://schemas.openxmlformats.org/officeDocument/2006/relationships/externalLink" Target="externalLinks/externalLink14.xml"  /><Relationship Id="rId27" Type="http://schemas.openxmlformats.org/officeDocument/2006/relationships/externalLink" Target="externalLinks/externalLink15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/BMAIL/INBOX/HSOH/TEMP/IPG0696F.XLS" TargetMode="External" /></Relationships>
</file>

<file path=xl/externalLinks/_rels/externalLink2.xml.rels><?xml version="1.0" encoding="UTF-8" standalone="yes" ?><Relationships xmlns="http://schemas.openxmlformats.org/package/2006/relationships"><Relationship Id="rId1" Type="http://schemas.openxmlformats.org/officeDocument/2006/relationships/externalLinkPath" Target="//Snoopy/c/WINDOWS/&#48148;&#53461;%20&#54868;&#47732;/&#45236;%20&#49436;&#47448;%20&#44032;&#48169;/alr&#44032;&#44201;&#54364;&#49888;.xls" TargetMode="External" /></Relationships>
</file>

<file path=xl/externalLinks/_rels/externalLink3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A:/WINDOWS/&#48148;&#53461;%20&#54868;&#47732;/GNG/9&#44277;&#44396;/&#50868;&#48152;9.xls" TargetMode="External" /></Relationships>
</file>

<file path=xl/externalLinks/_rels/externalLink4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http://skgmail2.skglobal.com/Documents%20and%20Settings/2009026/My%20Documents/&#44204;&#51201;&#49436;/&#44204;&#51201;&#54268;_SV(200306).xls" TargetMode="External" /></Relationships>
</file>

<file path=xl/externalLinks/_rels/externalLink5.xml.rels><?xml version="1.0" encoding="UTF-8" standalone="yes" ?><Relationships xmlns="http://schemas.openxmlformats.org/package/2006/relationships"><Relationship Id="rId1" Type="http://schemas.openxmlformats.org/officeDocument/2006/relationships/externalLinkPath" Target="/EXCEL/MONEY/YES22.XLS" TargetMode="External" /></Relationships>
</file>

<file path=xl/externalLinks/_rels/externalLink6.xml.rels><?xml version="1.0" encoding="UTF-8" standalone="yes" ?><Relationships xmlns="http://schemas.openxmlformats.org/package/2006/relationships"><Relationship Id="rId1" Type="http://schemas.openxmlformats.org/officeDocument/2006/relationships/externalLinkPath" Target="//&#45208;/D/~ing/99&#49444;&#44228;&#46020;&#47732;/'98&#45380;%20&#54364;&#51456;&#54217;&#54805;/&#47560;&#49328;&#49340;&#44228;/84CNN-90-15L/DATA/ELEC2.XLS" TargetMode="External" /></Relationships>
</file>

<file path=xl/externalLinks/_rels/externalLink7.xml.rels><?xml version="1.0" encoding="UTF-8" standalone="yes" ?><Relationships xmlns="http://schemas.openxmlformats.org/package/2006/relationships"><Relationship Id="rId1" Type="http://schemas.openxmlformats.org/officeDocument/2006/relationships/externalLinkPath" Target="//&#44608;&#54217;&#49688;/2000&#45380;%20&#49324;&#50857;/My%20Documents/2000&#45380;/&#49324;&#50857;&#47049;%20&#49328;&#51221;,%20&#51221;&#49328;/99&#49324;&#50857;&#47308;%20&#51221;&#49328;%20&#48143;%202000&#45380;%20&#49436;&#48708;&#49828;%20&#44592;&#48376;&#50836;&#44552;%20&#49328;&#51221;/99&#45380;%20&#51221;&#49328;/&#44032;&#44201;&#44208;&#51221;%20&#49345;&#49464;%20-%202000&#45380;%20&#50696;&#49328;&#51089;&#50629;(20.03.28).xls" TargetMode="External" /></Relationships>
</file>

<file path=xl/externalLinks/_rels/externalLink8.xml.rels><?xml version="1.0" encoding="UTF-8" standalone="yes" ?><Relationships xmlns="http://schemas.openxmlformats.org/package/2006/relationships"><Relationship Id="rId1" Type="http://schemas.openxmlformats.org/officeDocument/2006/relationships/externalLinkPath" Target="//&#44608;&#54217;&#49688;/2000&#45380;%20&#49324;&#50857;/My%20Documents/2000&#45380;/&#49324;&#50857;&#47049;%20&#49328;&#51221;,%20&#51221;&#49328;/99&#49324;&#50857;&#47308;%20&#51221;&#49328;%20&#48143;%202000&#45380;%20&#49436;&#48708;&#49828;%20&#44592;&#48376;&#50836;&#44552;%20&#49328;&#51221;/2000&#45380;%20&#44592;&#48376;&#50836;&#44552;/back/Baseline(revised42).xls" TargetMode="External" /></Relationships>
</file>

<file path=xl/externalLinks/_rels/externalLink9.xml.rels><?xml version="1.0" encoding="UTF-8" standalone="yes" ?><Relationships xmlns="http://schemas.openxmlformats.org/package/2006/relationships"><Relationship Id="rId1" Type="http://schemas.openxmlformats.org/officeDocument/2006/relationships/externalLinkPath" Target="//SE08023/&#44277;&#50976;/PJT-98/W-POHANG/REP/CALC/FINAL/ELE/CAL_POH.XLS" TargetMode="External" /></Relationships>
</file>

<file path=xl/externalLinks/_rels/externalLink10.xml.rels><?xml version="1.0" encoding="UTF-8" standalone="yes" ?><Relationships xmlns="http://schemas.openxmlformats.org/package/2006/relationships"><Relationship Id="rId1" Type="http://schemas.openxmlformats.org/officeDocument/2006/relationships/externalLinkPath" Target="//Igensrv/intra/WINDOWS/TEMP/SUN%20E4500&#44204;&#51201;.xls" TargetMode="External" /></Relationships>
</file>

<file path=xl/externalLinks/_rels/externalLink1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ftp://152.149.138.130/WINDOWS/TEMP/&#44592;&#51109;&#46020;&#49440;&#44288;&#51204;&#44592;/&#49892;&#49884;&#49444;&#44228;/CAL/POWER&amp;TEL/&#44148;&#52629;&#51204;&#44592;-ko/P-Iso/Calc-St2/ILLU.XLS" TargetMode="External" /></Relationships>
</file>

<file path=xl/externalLinks/_rels/externalLink12.xml.rels><?xml version="1.0" encoding="UTF-8" standalone="yes" ?><Relationships xmlns="http://schemas.openxmlformats.org/package/2006/relationships"><Relationship Id="rId1" Type="http://schemas.openxmlformats.org/officeDocument/2006/relationships/externalLinkPath" Target="//Igen-intra/intra/Documents%20and%20Settings/DooMok/Local%20Settings/Temporary%20Internet%20Files/Content.IE5/PWSNH1CP/&#44204;&#51201;&#54268;_SV(200306).xls" TargetMode="External" /></Relationships>
</file>

<file path=xl/externalLinks/_rels/externalLink13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S:/WINDOWS/TEMP/ARC95PRC.XLS" TargetMode="External" /></Relationships>
</file>

<file path=xl/externalLinks/_rels/externalLink14.xml.rels><?xml version="1.0" encoding="UTF-8" standalone="yes" ?><Relationships xmlns="http://schemas.openxmlformats.org/package/2006/relationships"><Relationship Id="rId1" Type="http://schemas.openxmlformats.org/officeDocument/2006/relationships/externalLinkPath" Target="/Documents%20and%20Settings/DooMok/Local%20Settings/Temporary%20Internet%20Files/Content.IE5/PWSNH1CP/&#44204;&#51201;&#54268;_SV(200306).xls" TargetMode="External" /></Relationships>
</file>

<file path=xl/externalLinks/_rels/externalLink15.xml.rels><?xml version="1.0" encoding="UTF-8" standalone="yes" ?><Relationships xmlns="http://schemas.openxmlformats.org/package/2006/relationships"><Relationship Id="rId1" Type="http://schemas.openxmlformats.org/officeDocument/2006/relationships/externalLinkPath" Target="/&#50629;&#47924;&#54260;&#45908;/1-&#44204;&#51201;&#49436;/1212-SK&#50640;&#45320;&#51648;-&#49436;&#47536;&#48716;&#46377;/080930_SKCC_&#54364;&#51456;&#44204;&#51201;&#49436;_SK%20&#50640;&#45320;&#51648;%20&#49436;&#47536;&#48716;&#46377;.xls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upplement2"/>
    </x:sheetNames>
    <x:sheetDataSet>
      <x:sheetData sheetId="0" refreshError="0"/>
    </x:sheetDataSet>
  </x:externalBook>
</x:externalLink>
</file>

<file path=xl/externalLinks/externalLink2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MP PRO"/>
      <x:sheetName val="MP"/>
      <x:sheetName val="Q_SMP"/>
      <x:sheetName val="QUAD6"/>
      <x:sheetName val="Option"/>
      <x:sheetName val="회선료"/>
      <x:sheetName val="DS-최종"/>
      <x:sheetName val="DB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</x:sheetDataSet>
  </x:externalBook>
</x:externalLink>
</file>

<file path=xl/externalLinks/externalLink3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현장운반(대운반)"/>
      <x:sheetName val="거리운임표(대운반)"/>
      <x:sheetName val="운반비산출(소운반)"/>
      <x:sheetName val="운반비산출 (대운반)"/>
      <x:sheetName val="9GNG운반"/>
      <x:sheetName val="토질CODE (2)"/>
      <x:sheetName val="XXXXXX"/>
      <x:sheetName val="laroux"/>
      <x:sheetName val="laroux (2)"/>
      <x:sheetName val="일위대가"/>
      <x:sheetName val="pldt"/>
      <x:sheetName val="표지"/>
      <x:sheetName val="공사원가"/>
      <x:sheetName val="예산"/>
      <x:sheetName val="폐기물"/>
      <x:sheetName val="공제대"/>
      <x:sheetName val="공설"/>
      <x:sheetName val="가설"/>
      <x:sheetName val="J直材4"/>
      <x:sheetName val="N賃率-職"/>
      <x:sheetName val="공사설계서"/>
      <x:sheetName val=" HIT-&gt;HMC 견적(3900)"/>
      <x:sheetName val="국내조달(통합-1)"/>
      <x:sheetName val="복구경비"/>
      <x:sheetName val="⑻동원인원산출서⑧"/>
      <x:sheetName val="운반9"/>
      <x:sheetName val="Supplement2"/>
      <x:sheetName val="공정코드"/>
      <x:sheetName val="자재코드"/>
      <x:sheetName val="내역서"/>
      <x:sheetName val="신우"/>
      <x:sheetName val="단가산출"/>
      <x:sheetName val="투찰"/>
      <x:sheetName val="한강운반비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0"/>
      <x:sheetData sheetId="6" refreshError="1"/>
      <x:sheetData sheetId="7" refreshError="0"/>
      <x:sheetData sheetId="8" refreshError="0"/>
      <x:sheetData sheetId="9" refreshError="0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</x:sheetDataSet>
  </x:externalBook>
</x:externalLink>
</file>

<file path=xl/externalLinks/externalLink4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V"/>
      <x:sheetName val="OPT"/>
      <x:sheetName val="Carepaq"/>
      <x:sheetName val="RACK"/>
      <x:sheetName val="ML330G2ATA"/>
      <x:sheetName val="ML330G2SCSI"/>
      <x:sheetName val="ML350G3"/>
      <x:sheetName val="ML370G3"/>
      <x:sheetName val="ML530G2"/>
      <x:sheetName val="ML570G2"/>
      <x:sheetName val="DL320"/>
      <x:sheetName val="DL360G2"/>
      <x:sheetName val="DL360G3"/>
      <x:sheetName val="DL380G2"/>
      <x:sheetName val="DL380G3"/>
      <x:sheetName val="DL560"/>
      <x:sheetName val="DL580G2"/>
      <x:sheetName val="DL740"/>
      <x:sheetName val="DL760"/>
      <x:sheetName val="DL760G2"/>
      <x:sheetName val="서버별 백업"/>
      <x:sheetName val="유효성 검사용 Sheet (삭제금지)"/>
      <x:sheetName val="Option"/>
      <x:sheetName val="Care"/>
    </x:sheetNames>
    <x:sheetDataSet>
      <x:sheetData sheetId="0" refreshError="0"/>
      <x:sheetData sheetId="1" refreshError="1"/>
      <x:sheetData sheetId="2" refreshError="1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1"/>
      <x:sheetData sheetId="21" refreshError="1"/>
      <x:sheetData sheetId="22" refreshError="1"/>
      <x:sheetData sheetId="23" refreshError="1"/>
    </x:sheetDataSet>
  </x:externalBook>
</x:externalLink>
</file>

<file path=xl/externalLinks/externalLink5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재경비"/>
      <x:sheetName val="기타공사비"/>
      <x:sheetName val="공사비 (2)"/>
      <x:sheetName val="공량산출 (전등)"/>
      <x:sheetName val="공사비"/>
      <x:sheetName val="공량산출(가로등)"/>
      <x:sheetName val="단가"/>
      <x:sheetName val="일위대가집계표(사급)"/>
      <x:sheetName val="일위대가(사급)"/>
      <x:sheetName val="공량산출 (수변전)"/>
      <x:sheetName val="공량산출 (약전)"/>
      <x:sheetName val="공량산출 (소방)"/>
      <x:sheetName val="Y-WORK"/>
      <x:sheetName val="ITEM"/>
      <x:sheetName val="단가조사서"/>
      <x:sheetName val="- INFORMATION -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</x:sheetDataSet>
  </x:externalBook>
</x:externalLink>
</file>

<file path=xl/externalLinks/externalLink6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heet2"/>
      <x:sheetName val="Sheet1"/>
      <x:sheetName val="Y-WORK"/>
      <x:sheetName val="종합(Body산정과정) HP UX"/>
      <x:sheetName val="총괄표"/>
    </x:sheetNames>
    <x:sheetDataSet>
      <x:sheetData sheetId="0" refreshError="0"/>
      <x:sheetData sheetId="1" refreshError="1"/>
      <x:sheetData sheetId="2" refreshError="1"/>
      <x:sheetData sheetId="3" refreshError="1"/>
      <x:sheetData sheetId="4" refreshError="1"/>
    </x:sheetDataSet>
  </x:externalBook>
</x:externalLink>
</file>

<file path=xl/externalLinks/externalLink7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요금(총괄)"/>
      <x:sheetName val="요금(세부)"/>
      <x:sheetName val="견적-최종"/>
      <x:sheetName val="DS-최종"/>
      <x:sheetName val="NW-최종"/>
      <x:sheetName val="PC-최종"/>
      <x:sheetName val="99년 NW 공사비총계"/>
      <x:sheetName val="Port"/>
      <x:sheetName val="공사비(프로젝트성)"/>
      <x:sheetName val="99년 LAN Port집계"/>
      <x:sheetName val="전원설비"/>
      <x:sheetName val="UPS(종합)"/>
      <x:sheetName val="UPS(공사)"/>
      <x:sheetName val="UPS(내역)"/>
      <x:sheetName val="UPS(설치)"/>
      <x:sheetName val="OA교육비"/>
      <x:sheetName val="99년 ITC-PABX"/>
      <x:sheetName val="1998년 고객센타"/>
      <x:sheetName val="1999년 고객센타"/>
      <x:sheetName val="Unix-Memory 단가 총괄"/>
      <x:sheetName val="Unix-MHz 단가 총괄"/>
      <x:sheetName val="Care"/>
      <x:sheetName val="총괄표"/>
      <x:sheetName val="3본사"/>
      <x:sheetName val="Sheet1"/>
      <x:sheetName val="list price"/>
      <x:sheetName val="분류 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</x:sheetDataSet>
  </x:externalBook>
</x:externalLink>
</file>

<file path=xl/externalLinks/externalLink8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ession"/>
      <x:sheetName val="DASD"/>
      <x:sheetName val="S390 SW(SKT)"/>
      <x:sheetName val="PABX"/>
      <x:sheetName val="NW_weight"/>
      <x:sheetName val="부록C-2"/>
      <x:sheetName val="합의서 별첨 (11년)"/>
      <x:sheetName val="합의서 별첨 (1년)"/>
      <x:sheetName val="99년 서비스료 산정근거"/>
      <x:sheetName val="99년 IT 투자비용"/>
      <x:sheetName val="99년 사용량(1~6월)"/>
      <x:sheetName val="Baseline_98"/>
      <x:sheetName val="유지보수현황"/>
      <x:sheetName val="요율산정"/>
      <x:sheetName val="Labor Amount"/>
      <x:sheetName val="Labor Amount(Details)"/>
      <x:sheetName val="Oper Amount"/>
      <x:sheetName val="Oper Amount(Details)"/>
      <x:sheetName val="Acq Amount"/>
      <x:sheetName val="Acq Amount(Details)"/>
      <x:sheetName val="Mount"/>
      <x:sheetName val="Weight"/>
      <x:sheetName val="세무감사결과자료"/>
      <x:sheetName val="Ctrl_Panel"/>
      <x:sheetName val="운영인건비WEIGHT"/>
      <x:sheetName val="MA"/>
      <x:sheetName val="Inventory Sum"/>
      <x:sheetName val="dsum_cond"/>
      <x:sheetName val="Projection_All"/>
      <x:sheetName val="Service Space"/>
      <x:sheetName val="HW_Projection"/>
      <x:sheetName val="NW_Projection"/>
      <x:sheetName val="Labor_Projection"/>
      <x:sheetName val="Item별 현보유량 list"/>
      <x:sheetName val="통제부(통합)"/>
      <x:sheetName val="가중치작업"/>
      <x:sheetName val="Datacenter가중치_backdata"/>
      <x:sheetName val="서버가중치_backdata"/>
      <x:sheetName val="PC가중치_backdata"/>
      <x:sheetName val="Network가중치_backdata"/>
      <x:sheetName val="Lábor_Projection"/>
      <x:sheetName val="서밄가중치_backdata"/>
      <x:sheetName val="DS_3Q"/>
      <x:sheetName val="OPT"/>
      <x:sheetName val="DS-최종"/>
      <x:sheetName val="유효성 검사용 Sheet (삭제금지)"/>
      <x:sheetName val="DS_2Q"/>
      <x:sheetName val="첨부4.NW첨부"/>
      <x:sheetName val="Supplement2"/>
      <x:sheetName val="1월 참고"/>
      <x:sheetName val="FTE"/>
      <x:sheetName val="차액보증"/>
      <x:sheetName val="MOTOR"/>
      <x:sheetName val="factor"/>
      <x:sheetName val="UX-Server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  <x:sheetData sheetId="36" refreshError="1"/>
      <x:sheetData sheetId="37" refreshError="1"/>
      <x:sheetData sheetId="38" refreshError="1"/>
      <x:sheetData sheetId="39" refreshError="1"/>
      <x:sheetData sheetId="40" refreshError="1"/>
      <x:sheetData sheetId="41" refreshError="1"/>
      <x:sheetData sheetId="42" refreshError="1"/>
      <x:sheetData sheetId="43" refreshError="1"/>
      <x:sheetData sheetId="44" refreshError="1"/>
      <x:sheetData sheetId="45" refreshError="1"/>
      <x:sheetData sheetId="46" refreshError="1"/>
      <x:sheetData sheetId="47" refreshError="1"/>
      <x:sheetData sheetId="48" refreshError="1"/>
      <x:sheetData sheetId="49" refreshError="1"/>
      <x:sheetData sheetId="50" refreshError="1"/>
      <x:sheetData sheetId="51" refreshError="1"/>
      <x:sheetData sheetId="52" refreshError="1"/>
      <x:sheetData sheetId="53" refreshError="1"/>
      <x:sheetData sheetId="54" refreshError="1"/>
    </x:sheetDataSet>
  </x:externalBook>
</x:externalLink>
</file>

<file path=xl/externalLinks/externalLink9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변압기"/>
      <x:sheetName val="부하집계"/>
      <x:sheetName val="부하LOAD"/>
      <x:sheetName val="발전기 부하"/>
      <x:sheetName val="발전기"/>
      <x:sheetName val="BATT"/>
      <x:sheetName val="동력제어반전기제원표"/>
      <x:sheetName val="간선 CABLE SIZE"/>
      <x:sheetName val="부하 CABLE SIZE"/>
      <x:sheetName val="차단기선정"/>
      <x:sheetName val="data"/>
      <x:sheetName val="Sheet10"/>
      <x:sheetName val="Sheet1"/>
      <x:sheetName val="조도계산서 (도서)"/>
      <x:sheetName val="조명율표"/>
      <x:sheetName val="내역서"/>
      <x:sheetName val="MOTOR"/>
      <x:sheetName val="정부노임단가"/>
      <x:sheetName val="D-RMIL"/>
      <x:sheetName val="수량산출"/>
      <x:sheetName val="IMP(MAIN)"/>
      <x:sheetName val="IMP (REACTOR)"/>
      <x:sheetName val="기성집계"/>
      <x:sheetName val="CAL_POH"/>
      <x:sheetName val="목차"/>
      <x:sheetName val="L-type"/>
      <x:sheetName val="중기일위대가"/>
      <x:sheetName val="설계조건"/>
      <x:sheetName val="일위대가목차"/>
      <x:sheetName val="본사업"/>
      <x:sheetName val="대가단최종"/>
      <x:sheetName val="노무비"/>
      <x:sheetName val="K1자재(3차등)"/>
      <x:sheetName val="cost"/>
      <x:sheetName val="BID"/>
      <x:sheetName val="U-TYPE(1)"/>
      <x:sheetName val="품목납기"/>
      <x:sheetName val="TRE TABLE"/>
      <x:sheetName val="쌍송교"/>
      <x:sheetName val="인건비"/>
      <x:sheetName val="WORK"/>
      <x:sheetName val="ITEM"/>
      <x:sheetName val="간선계산"/>
      <x:sheetName val="Macro(전선)"/>
      <x:sheetName val="TABLE"/>
      <x:sheetName val="기계경비(시간당)"/>
      <x:sheetName val="램머"/>
      <x:sheetName val="변압기 및 발전기 용량"/>
      <x:sheetName val="MACRO(MCC)"/>
      <x:sheetName val="배수지(관급)"/>
      <x:sheetName val="원가(수)"/>
      <x:sheetName val="기초견적가"/>
      <x:sheetName val="일위대가"/>
      <x:sheetName val="노임단가"/>
      <x:sheetName val="기초일위"/>
      <x:sheetName val="수목단가"/>
      <x:sheetName val="시설수량표"/>
      <x:sheetName val="시설일위"/>
      <x:sheetName val="식재수량표"/>
      <x:sheetName val="식재일위"/>
      <x:sheetName val="102역사"/>
      <x:sheetName val="다이꾸"/>
      <x:sheetName val="일반공사"/>
      <x:sheetName val="횡배위치"/>
      <x:sheetName val="전력구구조물산근"/>
      <x:sheetName val="수량집계"/>
      <x:sheetName val="참조"/>
      <x:sheetName val="건축내역"/>
      <x:sheetName val="기성금내역서"/>
      <x:sheetName val="2F 회의실견적(5_14 일대)"/>
      <x:sheetName val="DATA1"/>
      <x:sheetName val="조명율데이타"/>
      <x:sheetName val="조도계산(가로등NEW)"/>
      <x:sheetName val="다심-cable"/>
      <x:sheetName val="1C-cable"/>
      <x:sheetName val="허용전류-IEC"/>
      <x:sheetName val="허용전류-IEC DATA"/>
      <x:sheetName val="SRC-B3U2"/>
      <x:sheetName val="ABUT수량-A1"/>
      <x:sheetName val="노임"/>
      <x:sheetName val="L_RPTA05_목록"/>
      <x:sheetName val="hvac(제어동)"/>
      <x:sheetName val="조경"/>
      <x:sheetName val="1"/>
      <x:sheetName val="Y-WORK"/>
      <x:sheetName val="내역"/>
      <x:sheetName val="기본일위"/>
      <x:sheetName val="도체종-상수표"/>
      <x:sheetName val="손익분석"/>
      <x:sheetName val="안정검토(온1)"/>
      <x:sheetName val="단가산출"/>
      <x:sheetName val="데이타"/>
      <x:sheetName val="전기일위목록"/>
      <x:sheetName val="요율"/>
      <x:sheetName val="001"/>
      <x:sheetName val="표지 (2)"/>
      <x:sheetName val="설계예시"/>
      <x:sheetName val="수량산출(급식소)"/>
      <x:sheetName val="wall"/>
      <x:sheetName val="일위대가표"/>
      <x:sheetName val="주식"/>
      <x:sheetName val="#REF"/>
      <x:sheetName val="3련 BOX"/>
      <x:sheetName val="5차설계"/>
      <x:sheetName val="을"/>
      <x:sheetName val="일위(PN)"/>
      <x:sheetName val="견적대비 견적서"/>
      <x:sheetName val="내역서 "/>
      <x:sheetName val="Oper Amount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  <x:sheetData sheetId="36" refreshError="1"/>
      <x:sheetData sheetId="37" refreshError="1"/>
      <x:sheetData sheetId="38" refreshError="1"/>
      <x:sheetData sheetId="39" refreshError="1"/>
      <x:sheetData sheetId="40" refreshError="1"/>
      <x:sheetData sheetId="41" refreshError="1"/>
      <x:sheetData sheetId="42" refreshError="1"/>
      <x:sheetData sheetId="43" refreshError="1"/>
      <x:sheetData sheetId="44" refreshError="1"/>
      <x:sheetData sheetId="45" refreshError="1"/>
      <x:sheetData sheetId="46" refreshError="1"/>
      <x:sheetData sheetId="47" refreshError="1"/>
      <x:sheetData sheetId="48" refreshError="1"/>
      <x:sheetData sheetId="49" refreshError="1"/>
      <x:sheetData sheetId="50" refreshError="1"/>
      <x:sheetData sheetId="51" refreshError="1"/>
      <x:sheetData sheetId="52" refreshError="1"/>
      <x:sheetData sheetId="53" refreshError="1"/>
      <x:sheetData sheetId="54" refreshError="1"/>
      <x:sheetData sheetId="55" refreshError="1"/>
      <x:sheetData sheetId="56" refreshError="1"/>
      <x:sheetData sheetId="57" refreshError="1"/>
      <x:sheetData sheetId="58" refreshError="1"/>
      <x:sheetData sheetId="59" refreshError="1"/>
      <x:sheetData sheetId="60" refreshError="1"/>
      <x:sheetData sheetId="61" refreshError="1"/>
      <x:sheetData sheetId="62" refreshError="1"/>
      <x:sheetData sheetId="63" refreshError="1"/>
      <x:sheetData sheetId="64" refreshError="1"/>
      <x:sheetData sheetId="65" refreshError="1"/>
      <x:sheetData sheetId="66" refreshError="1"/>
      <x:sheetData sheetId="67" refreshError="1"/>
      <x:sheetData sheetId="68" refreshError="1"/>
      <x:sheetData sheetId="69" refreshError="1"/>
      <x:sheetData sheetId="70" refreshError="1"/>
      <x:sheetData sheetId="71" refreshError="1"/>
      <x:sheetData sheetId="72" refreshError="1"/>
      <x:sheetData sheetId="73" refreshError="1"/>
      <x:sheetData sheetId="74" refreshError="1"/>
      <x:sheetData sheetId="75" refreshError="1"/>
      <x:sheetData sheetId="76" refreshError="1"/>
      <x:sheetData sheetId="77" refreshError="1"/>
      <x:sheetData sheetId="78" refreshError="1"/>
      <x:sheetData sheetId="79" refreshError="1"/>
      <x:sheetData sheetId="80" refreshError="1"/>
      <x:sheetData sheetId="81" refreshError="1"/>
      <x:sheetData sheetId="82" refreshError="1"/>
      <x:sheetData sheetId="83" refreshError="1"/>
      <x:sheetData sheetId="84" refreshError="1"/>
      <x:sheetData sheetId="85" refreshError="1"/>
      <x:sheetData sheetId="86" refreshError="1"/>
      <x:sheetData sheetId="87" refreshError="1"/>
      <x:sheetData sheetId="88" refreshError="1"/>
      <x:sheetData sheetId="89" refreshError="1"/>
      <x:sheetData sheetId="90" refreshError="1"/>
      <x:sheetData sheetId="91" refreshError="1"/>
      <x:sheetData sheetId="92" refreshError="1"/>
      <x:sheetData sheetId="93" refreshError="1"/>
      <x:sheetData sheetId="94" refreshError="1"/>
      <x:sheetData sheetId="95" refreshError="1"/>
      <x:sheetData sheetId="96" refreshError="1"/>
      <x:sheetData sheetId="97" refreshError="1"/>
      <x:sheetData sheetId="98" refreshError="1"/>
      <x:sheetData sheetId="99" refreshError="1"/>
      <x:sheetData sheetId="100" refreshError="1"/>
      <x:sheetData sheetId="101" refreshError="1"/>
      <x:sheetData sheetId="102" refreshError="1"/>
      <x:sheetData sheetId="103" refreshError="1"/>
      <x:sheetData sheetId="104" refreshError="1"/>
      <x:sheetData sheetId="105" refreshError="1"/>
      <x:sheetData sheetId="106" refreshError="1"/>
      <x:sheetData sheetId="107" refreshError="1"/>
      <x:sheetData sheetId="108" refreshError="1"/>
    </x:sheetDataSet>
  </x:externalBook>
</x:externalLink>
</file>

<file path=xl/externalLinks/externalLink10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E4500"/>
      <x:sheetName val="11월가격"/>
      <x:sheetName val="부하LOAD"/>
    </x:sheetNames>
    <x:sheetDataSet>
      <x:sheetData sheetId="0" refreshError="1"/>
      <x:sheetData sheetId="1" refreshError="1"/>
      <x:sheetData sheetId="2" refreshError="1"/>
    </x:sheetDataSet>
  </x:externalBook>
</x:externalLink>
</file>

<file path=xl/externalLinks/externalLink1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laroux"/>
      <x:sheetName val="데이타"/>
      <x:sheetName val="조도"/>
      <x:sheetName val="DATA"/>
      <x:sheetName val="Sheet1"/>
      <x:sheetName val="Sheet2"/>
      <x:sheetName val="IN"/>
      <x:sheetName val="유효성 검사용 Sheet (삭제금지)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</x:sheetDataSet>
  </x:externalBook>
</x:externalLink>
</file>

<file path=xl/externalLinks/externalLink12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V"/>
      <x:sheetName val="OPT"/>
      <x:sheetName val="Carepaq"/>
      <x:sheetName val="RACK"/>
      <x:sheetName val="ML330G2ATA"/>
      <x:sheetName val="ML330G2SCSI"/>
      <x:sheetName val="ML350G3"/>
      <x:sheetName val="ML370G3"/>
      <x:sheetName val="ML530G2"/>
      <x:sheetName val="ML570G2"/>
      <x:sheetName val="DL320"/>
      <x:sheetName val="DL360G2"/>
      <x:sheetName val="DL360G3"/>
      <x:sheetName val="DL380G3"/>
      <x:sheetName val="DL560"/>
      <x:sheetName val="DL580G2"/>
      <x:sheetName val="DL740"/>
      <x:sheetName val="DL760"/>
      <x:sheetName val="DL760G2"/>
      <x:sheetName val="손익분석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</x:sheetDataSet>
  </x:externalBook>
</x:externalLink>
</file>

<file path=xl/externalLinks/externalLink13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Upgrades pricing"/>
      <x:sheetName val="2.1 Reg Part Numbers"/>
      <x:sheetName val="2.2 Reg Part Numbers"/>
      <x:sheetName val="2.3 Reg Part Numbers"/>
      <x:sheetName val="2.1  pricing"/>
      <x:sheetName val="2.2  pricing"/>
      <x:sheetName val="2.3  pricing"/>
      <x:sheetName val="Upgradespricing"/>
      <x:sheetName val="Start"/>
      <x:sheetName val="PriceMaster"/>
      <x:sheetName val="inputarea_ref"/>
      <x:sheetName val="Uplift"/>
      <x:sheetName val="ARC95PRC"/>
      <x:sheetName val="11월가격"/>
      <x:sheetName val="Option"/>
      <x:sheetName val="T진도"/>
      <x:sheetName val="9월가격"/>
      <x:sheetName val="과천MAIN"/>
      <x:sheetName val="Supplement2"/>
      <x:sheetName val="상담파트"/>
      <x:sheetName val="Sheet1"/>
      <x:sheetName val="경"/>
      <x:sheetName val="Server"/>
      <x:sheetName val="기본계획"/>
      <x:sheetName val="노임"/>
      <x:sheetName val="인건-측정"/>
      <x:sheetName val="Master"/>
      <x:sheetName val="GRACE"/>
      <x:sheetName val="COST"/>
      <x:sheetName val="DWDM 10M+SEC"/>
      <x:sheetName val="KASHTEO"/>
      <x:sheetName val="OPT"/>
      <x:sheetName val="SV"/>
      <x:sheetName val="list price"/>
      <x:sheetName val="수주월"/>
      <x:sheetName val="PSG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</x:sheetDataSet>
  </x:externalBook>
</x:externalLink>
</file>

<file path=xl/externalLinks/externalLink14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SV"/>
      <x:sheetName val="OPT"/>
      <x:sheetName val="Carepaq"/>
      <x:sheetName val="RACK"/>
      <x:sheetName val="ML330G2ATA"/>
      <x:sheetName val="ML330G2SCSI"/>
      <x:sheetName val="ML350G3"/>
      <x:sheetName val="ML370G3"/>
      <x:sheetName val="ML530G2"/>
      <x:sheetName val="ML570G2"/>
      <x:sheetName val="DL320"/>
      <x:sheetName val="DL360G2"/>
      <x:sheetName val="DL360G3"/>
      <x:sheetName val="DL380G3"/>
      <x:sheetName val="DL560"/>
      <x:sheetName val="DL580G2"/>
      <x:sheetName val="DL740"/>
      <x:sheetName val="DL760"/>
      <x:sheetName val="DL760G2"/>
      <x:sheetName val="2000"/>
      <x:sheetName val="2001"/>
      <x:sheetName val="2002"/>
      <x:sheetName val="유효성 검사용 Sheet(삭제금지)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</x:sheetDataSet>
  </x:externalBook>
</x:externalLink>
</file>

<file path=xl/externalLinks/externalLink15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표준견적서"/>
      <x:sheetName val="세부내역서"/>
      <x:sheetName val="공급사 견적서(표지및상세내역)"/>
      <x:sheetName val="데이터유효성검사자료"/>
    </x:sheetNames>
    <x:sheetDataSet>
      <x:sheetData sheetId="0" refreshError="0"/>
      <x:sheetData sheetId="1" refreshError="0"/>
      <x:sheetData sheetId="2" refreshError="0"/>
      <x:sheetData sheetId="3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8cb3e4"/>
  </x:sheetPr>
  <x:dimension ref="A1:M45"/>
  <x:sheetViews>
    <x:sheetView showGridLines="0" topLeftCell="A1" zoomScale="85" zoomScaleNormal="85" zoomScaleSheetLayoutView="75" workbookViewId="0">
      <x:pane xSplit="0" ySplit="4" topLeftCell="A11" activePane="bottomLeft" state="frozen"/>
      <x:selection pane="bottomLeft" activeCell="F38" activeCellId="0" sqref="F38:F38"/>
    </x:sheetView>
  </x:sheetViews>
  <x:sheetFormatPr defaultColWidth="9" defaultRowHeight="16.399999999999999"/>
  <x:cols>
    <x:col min="1" max="2" width="5.5" style="91" customWidth="1"/>
    <x:col min="3" max="9" width="20.5703125" style="55" customWidth="1"/>
    <x:col min="10" max="10" width="1.5" style="55" customWidth="1"/>
    <x:col min="11" max="11" width="23.5" style="55" customWidth="1"/>
    <x:col min="12" max="12" width="42.0703125" style="55" customWidth="1"/>
    <x:col min="13" max="13" width="11.5703125" style="55" bestFit="1" customWidth="1"/>
    <x:col min="14" max="14" width="12.0703125" style="55" bestFit="1" customWidth="1"/>
    <x:col min="15" max="15" width="13.92578125" style="55" bestFit="1" customWidth="1"/>
    <x:col min="16" max="16" width="12.0703125" style="55" bestFit="1" customWidth="1"/>
    <x:col min="17" max="17" width="24.42578125" style="55" bestFit="1" customWidth="1"/>
    <x:col min="18" max="18" width="14" style="55" bestFit="1" customWidth="1"/>
    <x:col min="19" max="19" width="14.5703125" style="55" bestFit="1" customWidth="1"/>
    <x:col min="20" max="20" width="14" style="55" bestFit="1" customWidth="1"/>
    <x:col min="21" max="16384" width="9" style="55"/>
  </x:cols>
  <x:sheetData>
    <x:row r="1" spans="1:2" ht="28.5" customHeight="1">
      <x:c r="A1" s="54" t="s">
        <x:v>288</x:v>
      </x:c>
      <x:c r="B1" s="54"/>
    </x:row>
    <x:row r="2" spans="1:13" ht="30.75" customHeight="1">
      <x:c r="A2" s="290" t="s">
        <x:v>699</x:v>
      </x:c>
      <x:c r="B2" s="290"/>
      <x:c r="C2" s="290"/>
      <x:c r="D2" s="290"/>
      <x:c r="E2" s="290"/>
      <x:c r="F2" s="290"/>
      <x:c r="G2" s="290"/>
      <x:c r="H2" s="290"/>
      <x:c r="I2" s="290"/>
      <x:c r="J2" s="56"/>
      <x:c r="K2" s="56"/>
      <x:c r="L2" s="56"/>
      <x:c r="M2" s="56"/>
    </x:row>
    <x:row r="3" spans="1:13" ht="23.399999999999999" customHeight="1">
      <x:c r="A3" s="57" t="s">
        <x:v>834</x:v>
      </x:c>
      <x:c r="B3" s="57"/>
      <x:c r="C3" s="58"/>
      <x:c r="D3" s="59"/>
      <x:c r="E3" s="60"/>
      <x:c r="F3" s="61"/>
      <x:c r="G3" s="62"/>
      <x:c r="H3" s="63" t="s">
        <x:v>21</x:v>
      </x:c>
      <x:c r="I3" s="64">
        <x:v>20</x:v>
      </x:c>
      <x:c r="J3" s="56"/>
      <x:c r="K3" s="65" t="e">
        <x:f>#REF!</x:f>
        <x:v>#REF!</x:v>
      </x:c>
      <x:c r="L3" s="56"/>
      <x:c r="M3" s="56"/>
    </x:row>
    <x:row r="4" spans="1:12" ht="21" customHeight="1">
      <x:c r="A4" s="66" t="s">
        <x:v>505</x:v>
      </x:c>
      <x:c r="B4" s="66"/>
      <x:c r="C4" s="66" t="s">
        <x:v>502</x:v>
      </x:c>
      <x:c r="D4" s="66" t="s">
        <x:v>508</x:v>
      </x:c>
      <x:c r="E4" s="66" t="s">
        <x:v>504</x:v>
      </x:c>
      <x:c r="F4" s="66" t="s">
        <x:v>510</x:v>
      </x:c>
      <x:c r="G4" s="66" t="s">
        <x:v>506</x:v>
      </x:c>
      <x:c r="H4" s="67" t="s">
        <x:v>507</x:v>
      </x:c>
      <x:c r="I4" s="67" t="s">
        <x:v>514</x:v>
      </x:c>
      <x:c r="K4" s="68" t="s">
        <x:v>681</x:v>
      </x:c>
      <x:c r="L4" s="68" t="s">
        <x:v>682</x:v>
      </x:c>
    </x:row>
    <x:row r="5" spans="1:12" hidden="1">
      <x:c r="A5" s="291"/>
      <x:c r="B5" s="69"/>
      <x:c r="C5" s="70"/>
      <x:c r="D5" s="70"/>
      <x:c r="E5" s="70"/>
      <x:c r="F5" s="70">
        <x:v>44287</x:v>
      </x:c>
      <x:c r="G5" s="70">
        <x:v>44288</x:v>
      </x:c>
      <x:c r="H5" s="71">
        <x:v>44289</x:v>
      </x:c>
      <x:c r="I5" s="71">
        <x:v>44290</x:v>
      </x:c>
      <x:c r="K5" s="72" t="s">
        <x:v>247</x:v>
      </x:c>
      <x:c r="L5" s="73" t="s">
        <x:v>378</x:v>
      </x:c>
    </x:row>
    <x:row r="6" spans="1:12" hidden="1">
      <x:c r="A6" s="292"/>
      <x:c r="B6" s="74"/>
      <x:c r="C6" s="75"/>
      <x:c r="D6" s="75"/>
      <x:c r="E6" s="75"/>
      <x:c r="F6" s="75"/>
      <x:c r="G6" s="75" t="s">
        <x:v>245</x:v>
      </x:c>
      <x:c r="H6" s="75"/>
      <x:c r="I6" s="75"/>
      <x:c r="K6" s="72" t="s">
        <x:v>511</x:v>
      </x:c>
      <x:c r="L6" s="76" t="s">
        <x:v>282</x:v>
      </x:c>
    </x:row>
    <x:row r="7" spans="1:12" hidden="1">
      <x:c r="A7" s="292"/>
      <x:c r="B7" s="74"/>
      <x:c r="C7" s="75"/>
      <x:c r="D7" s="75"/>
      <x:c r="E7" s="75"/>
      <x:c r="F7" s="75"/>
      <x:c r="G7" s="75"/>
      <x:c r="H7" s="75"/>
      <x:c r="I7" s="75"/>
      <x:c r="K7" s="72" t="s">
        <x:v>380</x:v>
      </x:c>
      <x:c r="L7" s="76" t="s">
        <x:v>855</x:v>
      </x:c>
    </x:row>
    <x:row r="8" spans="1:12" hidden="1">
      <x:c r="A8" s="292"/>
      <x:c r="B8" s="74"/>
      <x:c r="C8" s="75"/>
      <x:c r="D8" s="75"/>
      <x:c r="E8" s="75"/>
      <x:c r="F8" s="75"/>
      <x:c r="G8" s="75"/>
      <x:c r="H8" s="75"/>
      <x:c r="I8" s="75"/>
      <x:c r="K8" s="72" t="s">
        <x:v>246</x:v>
      </x:c>
      <x:c r="L8" s="76" t="s">
        <x:v>379</x:v>
      </x:c>
    </x:row>
    <x:row r="9" spans="1:12" hidden="1">
      <x:c r="A9" s="292"/>
      <x:c r="B9" s="74"/>
      <x:c r="C9" s="75"/>
      <x:c r="D9" s="75"/>
      <x:c r="E9" s="77"/>
      <x:c r="F9" s="78"/>
      <x:c r="G9" s="75"/>
      <x:c r="H9" s="75"/>
      <x:c r="I9" s="77"/>
      <x:c r="K9" s="72" t="s">
        <x:v>689</x:v>
      </x:c>
      <x:c r="L9" s="297" t="s">
        <x:v>259</x:v>
      </x:c>
    </x:row>
    <x:row r="10" spans="1:12" hidden="1">
      <x:c r="A10" s="292"/>
      <x:c r="B10" s="74"/>
      <x:c r="C10" s="77"/>
      <x:c r="D10" s="77"/>
      <x:c r="E10" s="77"/>
      <x:c r="F10" s="77"/>
      <x:c r="G10" s="77"/>
      <x:c r="H10" s="75"/>
      <x:c r="I10" s="75"/>
      <x:c r="K10" s="72" t="s">
        <x:v>695</x:v>
      </x:c>
      <x:c r="L10" s="298"/>
    </x:row>
    <x:row r="11" spans="1:9">
      <x:c r="A11" s="293" t="s">
        <x:v>513</x:v>
      </x:c>
      <x:c r="B11" s="85" t="s">
        <x:v>519</x:v>
      </x:c>
      <x:c r="C11" s="79">
        <x:v>45593</x:v>
      </x:c>
      <x:c r="D11" s="79">
        <x:f>C11+1</x:f>
        <x:v>45594</x:v>
      </x:c>
      <x:c r="E11" s="79">
        <x:f t="shared" ref="E11:I11" si="0">D11+1</x:f>
        <x:v>45595</x:v>
      </x:c>
      <x:c r="F11" s="79">
        <x:f t="shared" si="0"/>
        <x:v>45596</x:v>
      </x:c>
      <x:c r="G11" s="79">
        <x:f t="shared" si="0"/>
        <x:v>45597</x:v>
      </x:c>
      <x:c r="H11" s="80">
        <x:f t="shared" si="0"/>
        <x:v>45598</x:v>
      </x:c>
      <x:c r="I11" s="80">
        <x:f t="shared" si="0"/>
        <x:v>45599</x:v>
      </x:c>
    </x:row>
    <x:row r="12" spans="1:9">
      <x:c r="A12" s="293"/>
      <x:c r="B12" s="81" t="s">
        <x:v>500</x:v>
      </x:c>
      <x:c r="C12" s="82"/>
      <x:c r="D12" s="299" t="s">
        <x:v>607</x:v>
      </x:c>
      <x:c r="E12" s="82"/>
      <x:c r="F12" s="82"/>
      <x:c r="G12" s="299" t="s">
        <x:v>249</x:v>
      </x:c>
      <x:c r="H12" s="83"/>
      <x:c r="I12" s="83"/>
    </x:row>
    <x:row r="13" spans="1:9">
      <x:c r="A13" s="293"/>
      <x:c r="B13" s="81" t="s">
        <x:v>517</x:v>
      </x:c>
      <x:c r="C13" s="82"/>
      <x:c r="D13" s="300"/>
      <x:c r="E13" s="82"/>
      <x:c r="F13" s="82"/>
      <x:c r="G13" s="300"/>
      <x:c r="H13" s="83"/>
      <x:c r="I13" s="83"/>
    </x:row>
    <x:row r="14" spans="1:9">
      <x:c r="A14" s="293"/>
      <x:c r="B14" s="81" t="s">
        <x:v>503</x:v>
      </x:c>
      <x:c r="C14" s="82"/>
      <x:c r="D14" s="301"/>
      <x:c r="E14" s="82"/>
      <x:c r="F14" s="82"/>
      <x:c r="G14" s="301"/>
      <x:c r="H14" s="83"/>
      <x:c r="I14" s="83"/>
    </x:row>
    <x:row r="15" spans="1:9">
      <x:c r="A15" s="293"/>
      <x:c r="B15" s="81" t="s">
        <x:v>498</x:v>
      </x:c>
      <x:c r="C15" s="82"/>
      <x:c r="D15" s="82"/>
      <x:c r="E15" s="82"/>
      <x:c r="F15" s="82"/>
      <x:c r="G15" s="82"/>
      <x:c r="H15" s="83"/>
      <x:c r="I15" s="84"/>
    </x:row>
    <x:row r="16" spans="1:9">
      <x:c r="A16" s="293" t="s">
        <x:v>540</x:v>
      </x:c>
      <x:c r="B16" s="85" t="s">
        <x:v>519</x:v>
      </x:c>
      <x:c r="C16" s="79">
        <x:f>I11+1</x:f>
        <x:v>45600</x:v>
      </x:c>
      <x:c r="D16" s="79">
        <x:f>C16+1</x:f>
        <x:v>45601</x:v>
      </x:c>
      <x:c r="E16" s="79">
        <x:f t="shared" ref="E16:I16" si="1">D16+1</x:f>
        <x:v>45602</x:v>
      </x:c>
      <x:c r="F16" s="79">
        <x:f t="shared" si="1"/>
        <x:v>45603</x:v>
      </x:c>
      <x:c r="G16" s="79">
        <x:f t="shared" si="1"/>
        <x:v>45604</x:v>
      </x:c>
      <x:c r="H16" s="80">
        <x:f t="shared" si="1"/>
        <x:v>45605</x:v>
      </x:c>
      <x:c r="I16" s="80">
        <x:f t="shared" si="1"/>
        <x:v>45606</x:v>
      </x:c>
    </x:row>
    <x:row r="17" spans="1:9" ht="17.600000000000001" customHeight="1">
      <x:c r="A17" s="293"/>
      <x:c r="B17" s="81" t="s">
        <x:v>500</x:v>
      </x:c>
      <x:c r="C17" s="82"/>
      <x:c r="D17" s="299" t="s">
        <x:v>602</x:v>
      </x:c>
      <x:c r="E17" s="302" t="s">
        <x:v>771</x:v>
      </x:c>
      <x:c r="F17" s="82"/>
      <x:c r="G17" s="82"/>
      <x:c r="H17" s="83"/>
      <x:c r="I17" s="83"/>
    </x:row>
    <x:row r="18" spans="1:9">
      <x:c r="A18" s="293"/>
      <x:c r="B18" s="81" t="s">
        <x:v>517</x:v>
      </x:c>
      <x:c r="C18" s="82"/>
      <x:c r="D18" s="300"/>
      <x:c r="E18" s="303"/>
      <x:c r="F18" s="82"/>
      <x:c r="G18" s="82" t="s">
        <x:v>625</x:v>
      </x:c>
      <x:c r="H18" s="86"/>
      <x:c r="I18" s="83"/>
    </x:row>
    <x:row r="19" spans="1:9">
      <x:c r="A19" s="293"/>
      <x:c r="B19" s="81" t="s">
        <x:v>503</x:v>
      </x:c>
      <x:c r="C19" s="82"/>
      <x:c r="D19" s="301"/>
      <x:c r="E19" s="304"/>
      <x:c r="F19" s="82"/>
      <x:c r="G19" s="82"/>
      <x:c r="H19" s="83"/>
      <x:c r="I19" s="83"/>
    </x:row>
    <x:row r="20" spans="1:9">
      <x:c r="A20" s="293"/>
      <x:c r="B20" s="81" t="s">
        <x:v>498</x:v>
      </x:c>
      <x:c r="C20" s="82"/>
      <x:c r="D20" s="82"/>
      <x:c r="E20" s="82" t="s">
        <x:v>600</x:v>
      </x:c>
      <x:c r="F20" s="82"/>
      <x:c r="G20" s="82" t="s">
        <x:v>396</x:v>
      </x:c>
      <x:c r="H20" s="83"/>
      <x:c r="I20" s="84"/>
    </x:row>
    <x:row r="21" spans="1:9">
      <x:c r="A21" s="293" t="s">
        <x:v>543</x:v>
      </x:c>
      <x:c r="B21" s="85" t="s">
        <x:v>519</x:v>
      </x:c>
      <x:c r="C21" s="79">
        <x:f>I16+1</x:f>
        <x:v>45607</x:v>
      </x:c>
      <x:c r="D21" s="79">
        <x:f>C21+1</x:f>
        <x:v>45608</x:v>
      </x:c>
      <x:c r="E21" s="79">
        <x:f t="shared" ref="E21:I21" si="2">D21+1</x:f>
        <x:v>45609</x:v>
      </x:c>
      <x:c r="F21" s="79">
        <x:f t="shared" si="2"/>
        <x:v>45610</x:v>
      </x:c>
      <x:c r="G21" s="79">
        <x:f t="shared" si="2"/>
        <x:v>45611</x:v>
      </x:c>
      <x:c r="H21" s="80">
        <x:f t="shared" si="2"/>
        <x:v>45612</x:v>
      </x:c>
      <x:c r="I21" s="80">
        <x:f t="shared" si="2"/>
        <x:v>45613</x:v>
      </x:c>
    </x:row>
    <x:row r="22" spans="1:9" ht="17.600000000000001" customHeight="1">
      <x:c r="A22" s="293"/>
      <x:c r="B22" s="81" t="s">
        <x:v>500</x:v>
      </x:c>
      <x:c r="C22" s="82" t="s">
        <x:v>608</x:v>
      </x:c>
      <x:c r="D22" s="82"/>
      <x:c r="E22" s="305" t="s">
        <x:v>760</x:v>
      </x:c>
      <x:c r="F22" s="82"/>
      <x:c r="G22" s="82"/>
      <x:c r="H22" s="83"/>
      <x:c r="I22" s="83"/>
    </x:row>
    <x:row r="23" spans="1:9">
      <x:c r="A23" s="293"/>
      <x:c r="B23" s="81" t="s">
        <x:v>517</x:v>
      </x:c>
      <x:c r="C23" s="82"/>
      <x:c r="D23" s="82"/>
      <x:c r="E23" s="300"/>
      <x:c r="F23" s="82"/>
      <x:c r="G23" s="82"/>
      <x:c r="H23" s="86"/>
      <x:c r="I23" s="83"/>
    </x:row>
    <x:row r="24" spans="1:9">
      <x:c r="A24" s="293"/>
      <x:c r="B24" s="81" t="s">
        <x:v>503</x:v>
      </x:c>
      <x:c r="C24" s="82"/>
      <x:c r="D24" s="82"/>
      <x:c r="E24" s="301"/>
      <x:c r="F24" s="82"/>
      <x:c r="G24" s="82"/>
      <x:c r="H24" s="83"/>
      <x:c r="I24" s="83"/>
    </x:row>
    <x:row r="25" spans="1:9">
      <x:c r="A25" s="293"/>
      <x:c r="B25" s="81" t="s">
        <x:v>498</x:v>
      </x:c>
      <x:c r="C25" s="82"/>
      <x:c r="D25" s="75"/>
      <x:c r="E25" s="82" t="s">
        <x:v>41</x:v>
      </x:c>
      <x:c r="F25" s="82"/>
      <x:c r="G25" s="82"/>
      <x:c r="H25" s="83"/>
      <x:c r="I25" s="84"/>
    </x:row>
    <x:row r="26" spans="1:9">
      <x:c r="A26" s="294" t="s">
        <x:v>532</x:v>
      </x:c>
      <x:c r="B26" s="85" t="s">
        <x:v>519</x:v>
      </x:c>
      <x:c r="C26" s="79">
        <x:f>I21+1</x:f>
        <x:v>45614</x:v>
      </x:c>
      <x:c r="D26" s="79">
        <x:f>C26+1</x:f>
        <x:v>45615</x:v>
      </x:c>
      <x:c r="E26" s="79">
        <x:f t="shared" ref="E26:I26" si="3">D26+1</x:f>
        <x:v>45616</x:v>
      </x:c>
      <x:c r="F26" s="79">
        <x:f t="shared" si="3"/>
        <x:v>45617</x:v>
      </x:c>
      <x:c r="G26" s="79">
        <x:f t="shared" si="3"/>
        <x:v>45618</x:v>
      </x:c>
      <x:c r="H26" s="80">
        <x:f t="shared" si="3"/>
        <x:v>45619</x:v>
      </x:c>
      <x:c r="I26" s="80">
        <x:f t="shared" si="3"/>
        <x:v>45620</x:v>
      </x:c>
    </x:row>
    <x:row r="27" spans="1:9">
      <x:c r="A27" s="295"/>
      <x:c r="B27" s="81" t="s">
        <x:v>500</x:v>
      </x:c>
      <x:c r="C27" s="87" t="s">
        <x:v>248</x:v>
      </x:c>
      <x:c r="D27" s="88" t="s">
        <x:v>604</x:v>
      </x:c>
      <x:c r="E27" s="305" t="s">
        <x:v>850</x:v>
      </x:c>
      <x:c r="F27" s="82"/>
      <x:c r="G27" s="82"/>
      <x:c r="H27" s="83"/>
      <x:c r="I27" s="83"/>
    </x:row>
    <x:row r="28" spans="1:9">
      <x:c r="A28" s="295"/>
      <x:c r="B28" s="81" t="s">
        <x:v>517</x:v>
      </x:c>
      <x:c r="C28" s="82"/>
      <x:c r="D28" s="89" t="s">
        <x:v>597</x:v>
      </x:c>
      <x:c r="E28" s="300"/>
      <x:c r="F28" s="82"/>
      <x:c r="G28" s="82"/>
      <x:c r="H28" s="86"/>
      <x:c r="I28" s="83"/>
    </x:row>
    <x:row r="29" spans="1:9">
      <x:c r="A29" s="295"/>
      <x:c r="B29" s="81" t="s">
        <x:v>503</x:v>
      </x:c>
      <x:c r="C29" s="82"/>
      <x:c r="D29" s="82"/>
      <x:c r="E29" s="301"/>
      <x:c r="F29" s="82"/>
      <x:c r="G29" s="82"/>
      <x:c r="H29" s="83"/>
      <x:c r="I29" s="83"/>
    </x:row>
    <x:row r="30" spans="1:9">
      <x:c r="A30" s="296"/>
      <x:c r="B30" s="81" t="s">
        <x:v>498</x:v>
      </x:c>
      <x:c r="C30" s="82" t="s">
        <x:v>26</x:v>
      </x:c>
      <x:c r="D30" s="82"/>
      <x:c r="E30" s="82"/>
      <x:c r="F30" s="82"/>
      <x:c r="G30" s="82"/>
      <x:c r="H30" s="83"/>
      <x:c r="I30" s="84"/>
    </x:row>
    <x:row r="31" spans="1:9">
      <x:c r="A31" s="294" t="s">
        <x:v>538</x:v>
      </x:c>
      <x:c r="B31" s="85" t="s">
        <x:v>519</x:v>
      </x:c>
      <x:c r="C31" s="79">
        <x:f>I26+1</x:f>
        <x:v>45621</x:v>
      </x:c>
      <x:c r="D31" s="79">
        <x:f>C31+1</x:f>
        <x:v>45622</x:v>
      </x:c>
      <x:c r="E31" s="79">
        <x:f t="shared" ref="E31:I31" si="4">D31+1</x:f>
        <x:v>45623</x:v>
      </x:c>
      <x:c r="F31" s="79">
        <x:f t="shared" si="4"/>
        <x:v>45624</x:v>
      </x:c>
      <x:c r="G31" s="79">
        <x:f t="shared" si="4"/>
        <x:v>45625</x:v>
      </x:c>
      <x:c r="H31" s="80">
        <x:f t="shared" si="4"/>
        <x:v>45626</x:v>
      </x:c>
      <x:c r="I31" s="80">
        <x:f t="shared" si="4"/>
        <x:v>45627</x:v>
      </x:c>
    </x:row>
    <x:row r="32" spans="1:9">
      <x:c r="A32" s="295"/>
      <x:c r="B32" s="81" t="s">
        <x:v>500</x:v>
      </x:c>
      <x:c r="C32" s="87" t="s">
        <x:v>606</x:v>
      </x:c>
      <x:c r="D32" s="88" t="s">
        <x:v>598</x:v>
      </x:c>
      <x:c r="E32" s="82"/>
      <x:c r="F32" s="82"/>
      <x:c r="G32" s="88" t="s">
        <x:v>251</x:v>
      </x:c>
      <x:c r="H32" s="83"/>
      <x:c r="I32" s="83"/>
    </x:row>
    <x:row r="33" spans="1:9">
      <x:c r="A33" s="295"/>
      <x:c r="B33" s="81" t="s">
        <x:v>517</x:v>
      </x:c>
      <x:c r="C33" s="82"/>
      <x:c r="D33" s="89" t="s">
        <x:v>596</x:v>
      </x:c>
      <x:c r="E33" s="82"/>
      <x:c r="F33" s="82"/>
      <x:c r="G33" s="89" t="s">
        <x:v>252</x:v>
      </x:c>
      <x:c r="H33" s="86"/>
      <x:c r="I33" s="83"/>
    </x:row>
    <x:row r="34" spans="1:9">
      <x:c r="A34" s="295"/>
      <x:c r="B34" s="81" t="s">
        <x:v>503</x:v>
      </x:c>
      <x:c r="C34" s="82"/>
      <x:c r="D34" s="82"/>
      <x:c r="E34" s="82"/>
      <x:c r="F34" s="82"/>
      <x:c r="G34" s="82"/>
      <x:c r="H34" s="83"/>
      <x:c r="I34" s="83"/>
    </x:row>
    <x:row r="35" spans="1:9">
      <x:c r="A35" s="296"/>
      <x:c r="B35" s="81" t="s">
        <x:v>498</x:v>
      </x:c>
      <x:c r="C35" s="82"/>
      <x:c r="D35" s="82"/>
      <x:c r="E35" s="82"/>
      <x:c r="F35" s="82"/>
      <x:c r="G35" s="90" t="s">
        <x:v>688</x:v>
      </x:c>
      <x:c r="H35" s="83"/>
      <x:c r="I35" s="84"/>
    </x:row>
    <x:row r="36" spans="1:9">
      <x:c r="A36" s="294" t="s">
        <x:v>521</x:v>
      </x:c>
      <x:c r="B36" s="85" t="s">
        <x:v>519</x:v>
      </x:c>
      <x:c r="C36" s="79">
        <x:f>I31+1</x:f>
        <x:v>45628</x:v>
      </x:c>
      <x:c r="D36" s="79">
        <x:f>C36+1</x:f>
        <x:v>45629</x:v>
      </x:c>
      <x:c r="E36" s="79">
        <x:f t="shared" ref="E36:I36" si="5">D36+1</x:f>
        <x:v>45630</x:v>
      </x:c>
      <x:c r="F36" s="79">
        <x:f t="shared" si="5"/>
        <x:v>45631</x:v>
      </x:c>
      <x:c r="G36" s="79">
        <x:f t="shared" si="5"/>
        <x:v>45632</x:v>
      </x:c>
      <x:c r="H36" s="80">
        <x:f t="shared" si="5"/>
        <x:v>45633</x:v>
      </x:c>
      <x:c r="I36" s="80">
        <x:f t="shared" si="5"/>
        <x:v>45634</x:v>
      </x:c>
    </x:row>
    <x:row r="37" spans="1:9">
      <x:c r="A37" s="295"/>
      <x:c r="B37" s="81" t="s">
        <x:v>500</x:v>
      </x:c>
      <x:c r="C37" s="82"/>
      <x:c r="D37" s="82"/>
      <x:c r="E37" s="82"/>
      <x:c r="F37" s="82"/>
      <x:c r="G37" s="82"/>
      <x:c r="H37" s="83"/>
      <x:c r="I37" s="83"/>
    </x:row>
    <x:row r="38" spans="1:9">
      <x:c r="A38" s="295"/>
      <x:c r="B38" s="81" t="s">
        <x:v>517</x:v>
      </x:c>
      <x:c r="C38" s="82"/>
      <x:c r="D38" s="82"/>
      <x:c r="E38" s="82"/>
      <x:c r="F38" s="82"/>
      <x:c r="G38" s="82"/>
      <x:c r="H38" s="86"/>
      <x:c r="I38" s="83"/>
    </x:row>
    <x:row r="39" spans="1:9">
      <x:c r="A39" s="295"/>
      <x:c r="B39" s="81" t="s">
        <x:v>503</x:v>
      </x:c>
      <x:c r="C39" s="82"/>
      <x:c r="D39" s="82"/>
      <x:c r="E39" s="82"/>
      <x:c r="F39" s="82"/>
      <x:c r="G39" s="82"/>
      <x:c r="H39" s="83"/>
      <x:c r="I39" s="83"/>
    </x:row>
    <x:row r="40" spans="1:9">
      <x:c r="A40" s="296"/>
      <x:c r="B40" s="81" t="s">
        <x:v>498</x:v>
      </x:c>
      <x:c r="C40" s="90" t="s">
        <x:v>37</x:v>
      </x:c>
      <x:c r="D40" s="90" t="s">
        <x:v>22</x:v>
      </x:c>
      <x:c r="E40" s="82"/>
      <x:c r="F40" s="82"/>
      <x:c r="G40" s="82"/>
      <x:c r="H40" s="83"/>
      <x:c r="I40" s="84"/>
    </x:row>
    <x:row r="41" spans="1:9">
      <x:c r="A41" s="294" t="s">
        <x:v>531</x:v>
      </x:c>
      <x:c r="B41" s="85" t="s">
        <x:v>519</x:v>
      </x:c>
      <x:c r="C41" s="79">
        <x:f>I36+1</x:f>
        <x:v>45635</x:v>
      </x:c>
      <x:c r="D41" s="79">
        <x:f>C41+1</x:f>
        <x:v>45636</x:v>
      </x:c>
      <x:c r="E41" s="79">
        <x:f>D41+1</x:f>
        <x:v>45637</x:v>
      </x:c>
      <x:c r="F41" s="79">
        <x:f>E41+1</x:f>
        <x:v>45638</x:v>
      </x:c>
      <x:c r="G41" s="79">
        <x:f>F41+1</x:f>
        <x:v>45639</x:v>
      </x:c>
      <x:c r="H41" s="80">
        <x:f>G41+1</x:f>
        <x:v>45640</x:v>
      </x:c>
      <x:c r="I41" s="80">
        <x:f>H41+1</x:f>
        <x:v>45641</x:v>
      </x:c>
    </x:row>
    <x:row r="42" spans="1:9">
      <x:c r="A42" s="295"/>
      <x:c r="B42" s="81" t="s">
        <x:v>500</x:v>
      </x:c>
      <x:c r="C42" s="82"/>
      <x:c r="D42" s="82"/>
      <x:c r="E42" s="82"/>
      <x:c r="F42" s="82"/>
      <x:c r="G42" s="82"/>
      <x:c r="H42" s="83"/>
      <x:c r="I42" s="83"/>
    </x:row>
    <x:row r="43" spans="1:9">
      <x:c r="A43" s="295"/>
      <x:c r="B43" s="81" t="s">
        <x:v>517</x:v>
      </x:c>
      <x:c r="C43" s="89" t="s">
        <x:v>375</x:v>
      </x:c>
      <x:c r="D43" s="82"/>
      <x:c r="E43" s="82"/>
      <x:c r="F43" s="82"/>
      <x:c r="G43" s="82"/>
      <x:c r="H43" s="86"/>
      <x:c r="I43" s="83"/>
    </x:row>
    <x:row r="44" spans="1:9">
      <x:c r="A44" s="295"/>
      <x:c r="B44" s="81" t="s">
        <x:v>503</x:v>
      </x:c>
      <x:c r="C44" s="82"/>
      <x:c r="D44" s="82"/>
      <x:c r="E44" s="82"/>
      <x:c r="F44" s="82"/>
      <x:c r="G44" s="82"/>
      <x:c r="H44" s="83"/>
      <x:c r="I44" s="83"/>
    </x:row>
    <x:row r="45" spans="1:9">
      <x:c r="A45" s="296"/>
      <x:c r="B45" s="81" t="s">
        <x:v>498</x:v>
      </x:c>
      <x:c r="C45" s="82"/>
      <x:c r="D45" s="90" t="s">
        <x:v>93</x:v>
      </x:c>
      <x:c r="E45" s="82"/>
      <x:c r="F45" s="82"/>
      <x:c r="G45" s="82"/>
      <x:c r="H45" s="83"/>
      <x:c r="I45" s="84"/>
    </x:row>
  </x:sheetData>
  <x:sheetProtection sheet="0" objects="0" scenarios="0" formatCells="0" formatColumns="0" formatRows="0" insertColumns="0" insertRows="0" insertHyperlinks="1" deleteColumns="0" deleteRows="0" selectLockedCells="0" sort="1" autoFilter="1" pivotTables="1" selectUnlockedCells="0"/>
  <x:mergeCells count="16">
    <x:mergeCell ref="A2:I2"/>
    <x:mergeCell ref="A5:A10"/>
    <x:mergeCell ref="A16:A20"/>
    <x:mergeCell ref="A41:A45"/>
    <x:mergeCell ref="A36:A40"/>
    <x:mergeCell ref="L9:L10"/>
    <x:mergeCell ref="A11:A15"/>
    <x:mergeCell ref="A21:A25"/>
    <x:mergeCell ref="A26:A30"/>
    <x:mergeCell ref="A31:A35"/>
    <x:mergeCell ref="D17:D19"/>
    <x:mergeCell ref="D12:D14"/>
    <x:mergeCell ref="G12:G14"/>
    <x:mergeCell ref="E17:E19"/>
    <x:mergeCell ref="E27:E29"/>
    <x:mergeCell ref="E22:E24"/>
  </x:mergeCells>
  <x:dataValidations count="1">
    <x:dataValidation allowBlank="1" showInputMessage="1" showErrorMessage="1" prompt="필수일정 선택" sqref="C6:I7"/>
  </x:dataValidations>
  <x:pageMargins left="0.69999998807907104" right="0.69999998807907104" top="0.75" bottom="0.75" header="0.30000001192092896" footer="0.30000001192092896"/>
  <x:pageSetup paperSize="9" scale="52" firstPageNumber="1" fitToWidth="1" fitToHeight="1" orientation="portrait" usePrinterDefaults="1" blackAndWhite="0" draft="0" useFirstPageNumber="0" horizontalDpi="600" verticalDpi="600" copies="1"/>
  <x:colBreaks count="1" manualBreakCount="1">
    <x:brk id="10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ffff00"/>
    <x:pageSetUpPr autoPageBreaks="1" fitToPage="1"/>
  </x:sheetPr>
  <x:dimension ref="A1:R423"/>
  <x:sheetViews>
    <x:sheetView tabSelected="1" topLeftCell="A1" zoomScale="70" zoomScaleNormal="70" zoomScaleSheetLayoutView="85" workbookViewId="0">
      <x:pane xSplit="7" ySplit="9" topLeftCell="H391" activePane="bottomRight" state="frozen"/>
      <x:selection pane="bottomRight" activeCell="F201" activeCellId="0" sqref="F201:F201"/>
    </x:sheetView>
  </x:sheetViews>
  <x:sheetFormatPr defaultColWidth="9" defaultRowHeight="20.149999999999999" customHeight="1"/>
  <x:cols>
    <x:col min="1" max="1" width="3.5703125" style="99" customWidth="1"/>
    <x:col min="2" max="2" width="3.5703125" style="10" customWidth="1"/>
    <x:col min="3" max="3" width="5" style="99" customWidth="1"/>
    <x:col min="4" max="4" width="6.2109375" style="99" customWidth="1"/>
    <x:col min="5" max="5" width="5.2109375" style="10" customWidth="1"/>
    <x:col min="6" max="6" width="54.7109375" style="10" customWidth="1"/>
    <x:col min="7" max="7" width="25.92578125" style="9" customWidth="1"/>
    <x:col min="8" max="8" width="47.7109375" style="10" customWidth="1"/>
    <x:col min="9" max="9" width="10" style="9" customWidth="1"/>
    <x:col min="10" max="10" width="11.7109375" style="9" customWidth="1"/>
    <x:col min="11" max="11" width="19.5703125" style="9" customWidth="1"/>
    <x:col min="12" max="12" width="15.92578125" style="9" bestFit="1" customWidth="1"/>
    <x:col min="13" max="14" width="13.5" style="9" bestFit="1" customWidth="1"/>
    <x:col min="15" max="15" width="62.42578125" style="9" customWidth="1"/>
    <x:col min="16" max="16384" width="9" style="10"/>
  </x:cols>
  <x:sheetData>
    <x:row r="1" spans="2:15" ht="33.649999999999999" customHeight="1">
      <x:c r="B1" s="283" t="s">
        <x:v>830</x:v>
      </x:c>
      <x:c r="C1" s="284"/>
      <x:c r="D1" s="284"/>
      <x:c r="E1" s="284"/>
      <x:c r="F1" s="284"/>
      <x:c r="G1" s="284"/>
      <x:c r="H1" s="284"/>
      <x:c r="I1" s="284"/>
      <x:c r="J1" s="284"/>
      <x:c r="K1" s="284"/>
      <x:c r="L1" s="284"/>
      <x:c r="M1" s="284"/>
      <x:c r="N1" s="284"/>
      <x:c r="O1" s="284"/>
    </x:row>
    <x:row r="2" spans="2:18" ht="16.399999999999999" hidden="1" outlineLevel="1">
      <x:c r="B2" s="285" t="s">
        <x:v>831</x:v>
      </x:c>
      <x:c r="C2" s="282"/>
      <x:c r="D2" s="282"/>
      <x:c r="E2" s="282"/>
      <x:c r="F2" s="282"/>
      <x:c r="G2" s="282"/>
      <x:c r="H2" s="282"/>
      <x:c r="I2" s="282"/>
      <x:c r="J2" s="282"/>
      <x:c r="K2" s="282"/>
      <x:c r="L2" s="282"/>
      <x:c r="M2" s="282"/>
      <x:c r="N2" s="282"/>
      <x:c r="O2" s="6"/>
      <x:c r="P2" s="7"/>
      <x:c r="Q2" s="7"/>
      <x:c r="R2" s="7"/>
    </x:row>
    <x:row r="3" spans="2:18" ht="18" hidden="1" customHeight="1" outlineLevel="1">
      <x:c r="B3" s="285" t="s">
        <x:v>264</x:v>
      </x:c>
      <x:c r="C3" s="282"/>
      <x:c r="D3" s="282"/>
      <x:c r="E3" s="282"/>
      <x:c r="F3" s="282"/>
      <x:c r="G3" s="282"/>
      <x:c r="H3" s="282"/>
      <x:c r="I3" s="282"/>
      <x:c r="J3" s="282"/>
      <x:c r="K3" s="282"/>
      <x:c r="L3" s="282"/>
      <x:c r="M3" s="282"/>
      <x:c r="N3" s="282"/>
      <x:c r="O3" s="6"/>
      <x:c r="P3" s="7"/>
      <x:c r="Q3" s="7"/>
      <x:c r="R3" s="7"/>
    </x:row>
    <x:row r="4" spans="2:18" ht="18.75" hidden="1" customHeight="1" outlineLevel="1">
      <x:c r="B4" s="285" t="s">
        <x:v>201</x:v>
      </x:c>
      <x:c r="C4" s="282"/>
      <x:c r="D4" s="282"/>
      <x:c r="E4" s="282"/>
      <x:c r="F4" s="282"/>
      <x:c r="G4" s="282"/>
      <x:c r="H4" s="282"/>
      <x:c r="I4" s="282"/>
      <x:c r="J4" s="282"/>
      <x:c r="K4" s="282"/>
      <x:c r="L4" s="282"/>
      <x:c r="M4" s="282"/>
      <x:c r="N4" s="282"/>
      <x:c r="O4" s="6"/>
      <x:c r="P4" s="7"/>
      <x:c r="Q4" s="7"/>
      <x:c r="R4" s="7"/>
    </x:row>
    <x:row r="5" spans="2:18" ht="18" hidden="1" customHeight="1" outlineLevel="1">
      <x:c r="B5" s="281" t="s">
        <x:v>832</x:v>
      </x:c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6"/>
      <x:c r="P5" s="7"/>
      <x:c r="Q5" s="7"/>
      <x:c r="R5" s="7"/>
    </x:row>
    <x:row r="6" spans="2:18" ht="16.399999999999999" hidden="1" outlineLevel="1">
      <x:c r="B6" s="281" t="s">
        <x:v>217</x:v>
      </x:c>
      <x:c r="C6" s="282"/>
      <x:c r="D6" s="282"/>
      <x:c r="E6" s="282"/>
      <x:c r="F6" s="282"/>
      <x:c r="G6" s="282"/>
      <x:c r="H6" s="282"/>
      <x:c r="I6" s="282"/>
      <x:c r="J6" s="282"/>
      <x:c r="K6" s="282"/>
      <x:c r="L6" s="282"/>
      <x:c r="M6" s="282"/>
      <x:c r="N6" s="282"/>
      <x:c r="O6" s="8"/>
      <x:c r="P6" s="8"/>
      <x:c r="Q6" s="8"/>
      <x:c r="R6" s="8"/>
    </x:row>
    <x:row r="7" spans="2:18" ht="36" hidden="1" customHeight="1" outlineLevel="1">
      <x:c r="B7" s="286" t="s">
        <x:v>4</x:v>
      </x:c>
      <x:c r="C7" s="282"/>
      <x:c r="D7" s="282"/>
      <x:c r="E7" s="282"/>
      <x:c r="F7" s="282"/>
      <x:c r="G7" s="282"/>
      <x:c r="H7" s="282"/>
      <x:c r="I7" s="282"/>
      <x:c r="J7" s="282"/>
      <x:c r="K7" s="282"/>
      <x:c r="L7" s="282"/>
      <x:c r="M7" s="282"/>
      <x:c r="N7" s="282"/>
      <x:c r="O7" s="7"/>
      <x:c r="P7" s="7"/>
      <x:c r="Q7" s="7"/>
      <x:c r="R7" s="7"/>
    </x:row>
    <x:row r="8" spans="1:15" customHeight="1" collapsed="1">
      <x:c r="A8" s="192" t="s">
        <x:v>509</x:v>
      </x:c>
      <x:c r="B8" s="193" t="s">
        <x:v>515</x:v>
      </x:c>
      <x:c r="C8" s="11" t="s">
        <x:v>568</x:v>
      </x:c>
      <x:c r="D8" s="11" t="s">
        <x:v>576</x:v>
      </x:c>
      <x:c r="E8" s="194" t="s">
        <x:v>553</x:v>
      </x:c>
      <x:c r="F8" s="194" t="s">
        <x:v>501</x:v>
      </x:c>
      <x:c r="G8" s="11" t="s">
        <x:v>243</x:v>
      </x:c>
      <x:c r="H8" s="11" t="s">
        <x:v>652</x:v>
      </x:c>
      <x:c r="I8" s="11" t="s">
        <x:v>494</x:v>
      </x:c>
      <x:c r="J8" s="11" t="s">
        <x:v>493</x:v>
      </x:c>
      <x:c r="K8" s="11" t="s">
        <x:v>687</x:v>
      </x:c>
      <x:c r="L8" s="11" t="s">
        <x:v>512</x:v>
      </x:c>
      <x:c r="M8" s="11" t="s">
        <x:v>516</x:v>
      </x:c>
      <x:c r="N8" s="11" t="s">
        <x:v>497</x:v>
      </x:c>
      <x:c r="O8" s="195" t="s">
        <x:v>653</x:v>
      </x:c>
    </x:row>
    <x:row r="9" spans="1:15" s="203" customFormat="1" customHeight="1">
      <x:c r="A9" s="196"/>
      <x:c r="B9" s="197"/>
      <x:c r="C9" s="198"/>
      <x:c r="D9" s="198"/>
      <x:c r="E9" s="199"/>
      <x:c r="F9" s="199"/>
      <x:c r="G9" s="12"/>
      <x:c r="H9" s="12"/>
      <x:c r="I9" s="12">
        <x:f>SUM(I10,I52,I76,I213,I323,I375)</x:f>
        <x:v>100</x:v>
      </x:c>
      <x:c r="J9" s="200">
        <x:f>SUM(J10,J52,J76,J213,J323,J375)</x:f>
        <x:v>336</x:v>
      </x:c>
      <x:c r="K9" s="12"/>
      <x:c r="L9" s="12"/>
      <x:c r="M9" s="201">
        <x:f>AVERAGE(M10,M52,M76,M213,M323,M375)</x:f>
        <x:v>0</x:v>
      </x:c>
      <x:c r="N9" s="12"/>
      <x:c r="O9" s="202"/>
    </x:row>
    <x:row r="10" spans="1:15" s="17" customFormat="1" customHeight="1">
      <x:c r="A10" s="276" t="s">
        <x:v>690</x:v>
      </x:c>
      <x:c r="B10" s="277"/>
      <x:c r="C10" s="277"/>
      <x:c r="D10" s="277"/>
      <x:c r="E10" s="277"/>
      <x:c r="F10" s="277"/>
      <x:c r="G10" s="13"/>
      <x:c r="H10" s="14"/>
      <x:c r="I10" s="13">
        <x:f>SUM(I12:I51)</x:f>
        <x:v>25</x:v>
      </x:c>
      <x:c r="J10" s="15">
        <x:f>SUM(J11:J51)</x:f>
        <x:v>46</x:v>
      </x:c>
      <x:c r="K10" s="15"/>
      <x:c r="L10" s="15"/>
      <x:c r="M10" s="52">
        <x:f>AVERAGE(M11:M51)</x:f>
        <x:v>0</x:v>
      </x:c>
      <x:c r="N10" s="15"/>
      <x:c r="O10" s="16"/>
    </x:row>
    <x:row r="11" spans="1:15" s="17" customFormat="1" hidden="1" customHeight="1" outlineLevel="1">
      <x:c r="A11" s="18"/>
      <x:c r="B11" s="19" t="s">
        <x:v>499</x:v>
      </x:c>
      <x:c r="C11" s="19"/>
      <x:c r="D11" s="19"/>
      <x:c r="E11" s="20"/>
      <x:c r="F11" s="287"/>
      <x:c r="G11" s="288"/>
      <x:c r="H11" s="289"/>
      <x:c r="I11" s="148"/>
      <x:c r="J11" s="21"/>
      <x:c r="K11" s="21"/>
      <x:c r="L11" s="21"/>
      <x:c r="M11" s="42">
        <x:v>0</x:v>
      </x:c>
      <x:c r="N11" s="21"/>
      <x:c r="O11" s="53"/>
    </x:row>
    <x:row r="12" spans="1:15" s="17" customFormat="1" ht="20.25" hidden="1" customHeight="1" outlineLevel="1">
      <x:c r="A12" s="22"/>
      <x:c r="B12" s="49" t="s">
        <x:v>601</x:v>
      </x:c>
      <x:c r="C12" s="19"/>
      <x:c r="D12" s="19"/>
      <x:c r="E12" s="20"/>
      <x:c r="F12" s="20"/>
      <x:c r="G12" s="41"/>
      <x:c r="H12" s="278" t="s">
        <x:v>242</x:v>
      </x:c>
      <x:c r="I12" s="275">
        <x:v>5</x:v>
      </x:c>
      <x:c r="J12" s="21"/>
      <x:c r="K12" s="21"/>
      <x:c r="L12" s="21"/>
      <x:c r="M12" s="21"/>
      <x:c r="N12" s="21"/>
      <x:c r="O12" s="53"/>
    </x:row>
    <x:row r="13" spans="1:15" s="17" customFormat="1" hidden="1" customHeight="1" outlineLevel="1">
      <x:c r="A13" s="22"/>
      <x:c r="B13" s="23"/>
      <x:c r="C13" s="24" t="s">
        <x:v>654</x:v>
      </x:c>
      <x:c r="D13" s="24"/>
      <x:c r="E13" s="24"/>
      <x:c r="F13" s="204"/>
      <x:c r="G13" s="180"/>
      <x:c r="H13" s="279"/>
      <x:c r="I13" s="275"/>
      <x:c r="J13" s="21">
        <x:v>1</x:v>
      </x:c>
      <x:c r="K13" s="236" t="s">
        <x:v>554</x:v>
      </x:c>
      <x:c r="L13" s="236" t="s">
        <x:v>559</x:v>
      </x:c>
      <x:c r="M13" s="42"/>
      <x:c r="N13" s="21"/>
      <x:c r="O13" s="261" t="s">
        <x:v>195</x:v>
      </x:c>
    </x:row>
    <x:row r="14" spans="1:15" s="17" customFormat="1" hidden="1" customHeight="1" outlineLevel="1">
      <x:c r="A14" s="22"/>
      <x:c r="B14" s="23"/>
      <x:c r="C14" s="24" t="s">
        <x:v>650</x:v>
      </x:c>
      <x:c r="D14" s="24"/>
      <x:c r="E14" s="24"/>
      <x:c r="F14" s="204"/>
      <x:c r="G14" s="180"/>
      <x:c r="H14" s="279"/>
      <x:c r="I14" s="275"/>
      <x:c r="J14" s="21">
        <x:v>5</x:v>
      </x:c>
      <x:c r="K14" s="237"/>
      <x:c r="L14" s="237"/>
      <x:c r="M14" s="42"/>
      <x:c r="N14" s="21"/>
      <x:c r="O14" s="262"/>
    </x:row>
    <x:row r="15" spans="1:15" s="17" customFormat="1" hidden="1" customHeight="1" outlineLevel="1">
      <x:c r="A15" s="22"/>
      <x:c r="B15" s="23"/>
      <x:c r="C15" s="24" t="s">
        <x:v>649</x:v>
      </x:c>
      <x:c r="D15" s="24"/>
      <x:c r="E15" s="24"/>
      <x:c r="F15" s="204"/>
      <x:c r="G15" s="180"/>
      <x:c r="H15" s="279"/>
      <x:c r="I15" s="275"/>
      <x:c r="J15" s="21">
        <x:v>1</x:v>
      </x:c>
      <x:c r="K15" s="237"/>
      <x:c r="L15" s="237"/>
      <x:c r="M15" s="42"/>
      <x:c r="N15" s="21"/>
      <x:c r="O15" s="262"/>
    </x:row>
    <x:row r="16" spans="1:15" s="17" customFormat="1" hidden="1" customHeight="1" outlineLevel="1">
      <x:c r="A16" s="22"/>
      <x:c r="B16" s="23"/>
      <x:c r="C16" s="24" t="s">
        <x:v>651</x:v>
      </x:c>
      <x:c r="D16" s="24"/>
      <x:c r="E16" s="24"/>
      <x:c r="F16" s="204"/>
      <x:c r="G16" s="180"/>
      <x:c r="H16" s="279"/>
      <x:c r="I16" s="275"/>
      <x:c r="J16" s="21">
        <x:v>1</x:v>
      </x:c>
      <x:c r="K16" s="237"/>
      <x:c r="L16" s="237"/>
      <x:c r="M16" s="42"/>
      <x:c r="N16" s="21"/>
      <x:c r="O16" s="262"/>
    </x:row>
    <x:row r="17" spans="1:15" s="17" customFormat="1" hidden="1" customHeight="1" outlineLevel="1">
      <x:c r="A17" s="22"/>
      <x:c r="B17" s="23"/>
      <x:c r="C17" s="24" t="s">
        <x:v>658</x:v>
      </x:c>
      <x:c r="D17" s="24"/>
      <x:c r="E17" s="24"/>
      <x:c r="F17" s="204"/>
      <x:c r="G17" s="180"/>
      <x:c r="H17" s="279"/>
      <x:c r="I17" s="275"/>
      <x:c r="J17" s="21">
        <x:v>2</x:v>
      </x:c>
      <x:c r="K17" s="237"/>
      <x:c r="L17" s="237"/>
      <x:c r="M17" s="42"/>
      <x:c r="N17" s="21"/>
      <x:c r="O17" s="262"/>
    </x:row>
    <x:row r="18" spans="1:15" s="17" customFormat="1" hidden="1" customHeight="1" outlineLevel="1">
      <x:c r="A18" s="22"/>
      <x:c r="B18" s="23"/>
      <x:c r="C18" s="24" t="s">
        <x:v>655</x:v>
      </x:c>
      <x:c r="D18" s="24"/>
      <x:c r="E18" s="24"/>
      <x:c r="F18" s="204"/>
      <x:c r="G18" s="180"/>
      <x:c r="H18" s="279"/>
      <x:c r="I18" s="275"/>
      <x:c r="J18" s="21">
        <x:v>1</x:v>
      </x:c>
      <x:c r="K18" s="237"/>
      <x:c r="L18" s="237"/>
      <x:c r="M18" s="42"/>
      <x:c r="N18" s="21"/>
      <x:c r="O18" s="262"/>
    </x:row>
    <x:row r="19" spans="1:15" s="17" customFormat="1" hidden="1" customHeight="1" outlineLevel="1">
      <x:c r="A19" s="22"/>
      <x:c r="B19" s="23"/>
      <x:c r="C19" s="24" t="s">
        <x:v>33</x:v>
      </x:c>
      <x:c r="D19" s="24"/>
      <x:c r="E19" s="24"/>
      <x:c r="F19" s="204"/>
      <x:c r="G19" s="180"/>
      <x:c r="H19" s="279"/>
      <x:c r="I19" s="275"/>
      <x:c r="J19" s="21">
        <x:v>2</x:v>
      </x:c>
      <x:c r="K19" s="237"/>
      <x:c r="L19" s="237"/>
      <x:c r="M19" s="42"/>
      <x:c r="N19" s="21"/>
      <x:c r="O19" s="262"/>
    </x:row>
    <x:row r="20" spans="1:15" s="17" customFormat="1" hidden="1" customHeight="1" outlineLevel="1">
      <x:c r="A20" s="22"/>
      <x:c r="B20" s="23"/>
      <x:c r="C20" s="150" t="s">
        <x:v>799</x:v>
      </x:c>
      <x:c r="D20" s="24"/>
      <x:c r="E20" s="24"/>
      <x:c r="F20" s="204"/>
      <x:c r="G20" s="180"/>
      <x:c r="H20" s="280"/>
      <x:c r="I20" s="275"/>
      <x:c r="J20" s="21">
        <x:v>1</x:v>
      </x:c>
      <x:c r="K20" s="238"/>
      <x:c r="L20" s="238"/>
      <x:c r="M20" s="42"/>
      <x:c r="N20" s="21"/>
      <x:c r="O20" s="262"/>
    </x:row>
    <x:row r="21" spans="1:15" s="17" customFormat="1" hidden="1" customHeight="1" outlineLevel="1">
      <x:c r="A21" s="22"/>
      <x:c r="B21" s="49" t="s">
        <x:v>603</x:v>
      </x:c>
      <x:c r="C21" s="19"/>
      <x:c r="D21" s="19"/>
      <x:c r="E21" s="19"/>
      <x:c r="F21" s="20"/>
      <x:c r="G21" s="41"/>
      <x:c r="H21" s="278" t="s">
        <x:v>205</x:v>
      </x:c>
      <x:c r="I21" s="241">
        <x:v>5</x:v>
      </x:c>
      <x:c r="J21" s="21"/>
      <x:c r="K21" s="21"/>
      <x:c r="L21" s="21"/>
      <x:c r="M21" s="42"/>
      <x:c r="N21" s="21"/>
      <x:c r="O21" s="262"/>
    </x:row>
    <x:row r="22" spans="1:15" s="17" customFormat="1" hidden="1" customHeight="1" outlineLevel="1">
      <x:c r="A22" s="22"/>
      <x:c r="B22" s="49"/>
      <x:c r="C22" s="19" t="s">
        <x:v>28</x:v>
      </x:c>
      <x:c r="D22" s="19"/>
      <x:c r="E22" s="19"/>
      <x:c r="F22" s="20"/>
      <x:c r="G22" s="41"/>
      <x:c r="H22" s="279"/>
      <x:c r="I22" s="244"/>
      <x:c r="J22" s="21">
        <x:v>1</x:v>
      </x:c>
      <x:c r="K22" s="21" t="s">
        <x:v>554</x:v>
      </x:c>
      <x:c r="L22" s="21" t="s">
        <x:v>559</x:v>
      </x:c>
      <x:c r="M22" s="42"/>
      <x:c r="N22" s="21"/>
      <x:c r="O22" s="262"/>
    </x:row>
    <x:row r="23" spans="1:15" s="17" customFormat="1" hidden="1" customHeight="1" outlineLevel="1">
      <x:c r="A23" s="22"/>
      <x:c r="B23" s="23"/>
      <x:c r="C23" s="24" t="s">
        <x:v>659</x:v>
      </x:c>
      <x:c r="D23" s="24"/>
      <x:c r="E23" s="24"/>
      <x:c r="F23" s="204"/>
      <x:c r="G23" s="180"/>
      <x:c r="H23" s="279"/>
      <x:c r="I23" s="244"/>
      <x:c r="J23" s="21">
        <x:v>1</x:v>
      </x:c>
      <x:c r="K23" s="21" t="s">
        <x:v>554</x:v>
      </x:c>
      <x:c r="L23" s="21" t="s">
        <x:v>559</x:v>
      </x:c>
      <x:c r="M23" s="42"/>
      <x:c r="N23" s="21"/>
      <x:c r="O23" s="262"/>
    </x:row>
    <x:row r="24" spans="1:15" s="17" customFormat="1" hidden="1" customHeight="1" outlineLevel="1">
      <x:c r="A24" s="22"/>
      <x:c r="B24" s="23"/>
      <x:c r="C24" s="24" t="s">
        <x:v>405</x:v>
      </x:c>
      <x:c r="D24" s="24"/>
      <x:c r="E24" s="24"/>
      <x:c r="F24" s="204"/>
      <x:c r="G24" s="180"/>
      <x:c r="H24" s="279"/>
      <x:c r="I24" s="244"/>
      <x:c r="J24" s="21">
        <x:v>1</x:v>
      </x:c>
      <x:c r="K24" s="21" t="s">
        <x:v>554</x:v>
      </x:c>
      <x:c r="L24" s="21" t="s">
        <x:v>559</x:v>
      </x:c>
      <x:c r="M24" s="42"/>
      <x:c r="N24" s="21"/>
      <x:c r="O24" s="262"/>
    </x:row>
    <x:row r="25" spans="1:15" s="17" customFormat="1" hidden="1" customHeight="1" outlineLevel="1">
      <x:c r="A25" s="22"/>
      <x:c r="B25" s="49"/>
      <x:c r="C25" s="39" t="s">
        <x:v>29</x:v>
      </x:c>
      <x:c r="D25" s="39"/>
      <x:c r="E25" s="39"/>
      <x:c r="F25" s="40"/>
      <x:c r="G25" s="180"/>
      <x:c r="H25" s="279"/>
      <x:c r="I25" s="244"/>
      <x:c r="J25" s="21">
        <x:v>1</x:v>
      </x:c>
      <x:c r="K25" s="21" t="s">
        <x:v>723</x:v>
      </x:c>
      <x:c r="L25" s="21" t="s">
        <x:v>800</x:v>
      </x:c>
      <x:c r="M25" s="42"/>
      <x:c r="N25" s="21"/>
      <x:c r="O25" s="262"/>
    </x:row>
    <x:row r="26" spans="1:15" s="17" customFormat="1" hidden="1" customHeight="1" outlineLevel="1">
      <x:c r="A26" s="22"/>
      <x:c r="B26" s="49"/>
      <x:c r="C26" s="39" t="s">
        <x:v>657</x:v>
      </x:c>
      <x:c r="D26" s="39"/>
      <x:c r="E26" s="39"/>
      <x:c r="F26" s="40"/>
      <x:c r="G26" s="180"/>
      <x:c r="H26" s="280"/>
      <x:c r="I26" s="242"/>
      <x:c r="J26" s="21">
        <x:v>2</x:v>
      </x:c>
      <x:c r="K26" s="21" t="s">
        <x:v>723</x:v>
      </x:c>
      <x:c r="L26" s="21" t="s">
        <x:v>800</x:v>
      </x:c>
      <x:c r="M26" s="42"/>
      <x:c r="N26" s="21"/>
      <x:c r="O26" s="263"/>
    </x:row>
    <x:row r="27" spans="1:15" s="17" customFormat="1" hidden="1" customHeight="1" outlineLevel="1">
      <x:c r="A27" s="22"/>
      <x:c r="B27" s="49" t="s">
        <x:v>599</x:v>
      </x:c>
      <x:c r="C27" s="19"/>
      <x:c r="D27" s="19"/>
      <x:c r="E27" s="19"/>
      <x:c r="F27" s="20"/>
      <x:c r="G27" s="41"/>
      <x:c r="H27" s="278" t="s">
        <x:v>203</x:v>
      </x:c>
      <x:c r="I27" s="241">
        <x:v>5</x:v>
      </x:c>
      <x:c r="J27" s="21"/>
      <x:c r="K27" s="21"/>
      <x:c r="L27" s="21"/>
      <x:c r="M27" s="42"/>
      <x:c r="N27" s="21"/>
      <x:c r="O27" s="53"/>
    </x:row>
    <x:row r="28" spans="1:15" s="17" customFormat="1" hidden="1" customHeight="1" outlineLevel="1">
      <x:c r="A28" s="22"/>
      <x:c r="B28" s="49"/>
      <x:c r="C28" s="19" t="s">
        <x:v>30</x:v>
      </x:c>
      <x:c r="D28" s="19"/>
      <x:c r="E28" s="19"/>
      <x:c r="F28" s="20"/>
      <x:c r="G28" s="41"/>
      <x:c r="H28" s="279"/>
      <x:c r="I28" s="244"/>
      <x:c r="J28" s="21">
        <x:v>1</x:v>
      </x:c>
      <x:c r="K28" s="21" t="s">
        <x:v>554</x:v>
      </x:c>
      <x:c r="L28" s="21" t="s">
        <x:v>559</x:v>
      </x:c>
      <x:c r="M28" s="42"/>
      <x:c r="N28" s="21"/>
      <x:c r="O28" s="53"/>
    </x:row>
    <x:row r="29" spans="1:15" s="17" customFormat="1" hidden="1" customHeight="1" outlineLevel="1">
      <x:c r="A29" s="22"/>
      <x:c r="B29" s="49"/>
      <x:c r="C29" s="19" t="s">
        <x:v>34</x:v>
      </x:c>
      <x:c r="D29" s="19"/>
      <x:c r="E29" s="19"/>
      <x:c r="F29" s="20"/>
      <x:c r="G29" s="41"/>
      <x:c r="H29" s="279"/>
      <x:c r="I29" s="244"/>
      <x:c r="J29" s="21">
        <x:v>1</x:v>
      </x:c>
      <x:c r="K29" s="21" t="s">
        <x:v>554</x:v>
      </x:c>
      <x:c r="L29" s="21" t="s">
        <x:v>559</x:v>
      </x:c>
      <x:c r="M29" s="42"/>
      <x:c r="N29" s="21"/>
      <x:c r="O29" s="53"/>
    </x:row>
    <x:row r="30" spans="1:15" s="17" customFormat="1" hidden="1" customHeight="1" outlineLevel="1">
      <x:c r="A30" s="22"/>
      <x:c r="B30" s="49"/>
      <x:c r="C30" s="19" t="s">
        <x:v>35</x:v>
      </x:c>
      <x:c r="D30" s="19"/>
      <x:c r="E30" s="19"/>
      <x:c r="F30" s="20"/>
      <x:c r="G30" s="41"/>
      <x:c r="H30" s="279"/>
      <x:c r="I30" s="244"/>
      <x:c r="J30" s="21">
        <x:v>1</x:v>
      </x:c>
      <x:c r="K30" s="21" t="s">
        <x:v>554</x:v>
      </x:c>
      <x:c r="L30" s="21" t="s">
        <x:v>559</x:v>
      </x:c>
      <x:c r="M30" s="42"/>
      <x:c r="N30" s="21"/>
      <x:c r="O30" s="53"/>
    </x:row>
    <x:row r="31" spans="1:15" s="17" customFormat="1" hidden="1" customHeight="1" outlineLevel="1">
      <x:c r="A31" s="22"/>
      <x:c r="B31" s="49"/>
      <x:c r="C31" s="39" t="s">
        <x:v>36</x:v>
      </x:c>
      <x:c r="D31" s="39"/>
      <x:c r="E31" s="39"/>
      <x:c r="F31" s="40"/>
      <x:c r="G31" s="41"/>
      <x:c r="H31" s="279"/>
      <x:c r="I31" s="244"/>
      <x:c r="J31" s="21">
        <x:v>1</x:v>
      </x:c>
      <x:c r="K31" s="21" t="s">
        <x:v>723</x:v>
      </x:c>
      <x:c r="L31" s="21" t="s">
        <x:v>800</x:v>
      </x:c>
      <x:c r="M31" s="42"/>
      <x:c r="N31" s="21"/>
      <x:c r="O31" s="53"/>
    </x:row>
    <x:row r="32" spans="1:15" s="17" customFormat="1" hidden="1" customHeight="1" outlineLevel="1">
      <x:c r="A32" s="22"/>
      <x:c r="B32" s="49"/>
      <x:c r="C32" s="19" t="s">
        <x:v>382</x:v>
      </x:c>
      <x:c r="D32" s="19"/>
      <x:c r="E32" s="19"/>
      <x:c r="F32" s="20"/>
      <x:c r="G32" s="41"/>
      <x:c r="H32" s="279"/>
      <x:c r="I32" s="244"/>
      <x:c r="J32" s="21">
        <x:v>1</x:v>
      </x:c>
      <x:c r="K32" s="21" t="s">
        <x:v>554</x:v>
      </x:c>
      <x:c r="L32" s="21" t="s">
        <x:v>559</x:v>
      </x:c>
      <x:c r="M32" s="42"/>
      <x:c r="N32" s="21"/>
      <x:c r="O32" s="53"/>
    </x:row>
    <x:row r="33" spans="1:15" s="17" customFormat="1" hidden="1" customHeight="1" outlineLevel="1">
      <x:c r="A33" s="22"/>
      <x:c r="B33" s="49"/>
      <x:c r="C33" s="19" t="s">
        <x:v>841</x:v>
      </x:c>
      <x:c r="D33" s="19"/>
      <x:c r="E33" s="19"/>
      <x:c r="F33" s="20"/>
      <x:c r="G33" s="41"/>
      <x:c r="H33" s="279"/>
      <x:c r="I33" s="244"/>
      <x:c r="J33" s="21">
        <x:v>1</x:v>
      </x:c>
      <x:c r="K33" s="21" t="s">
        <x:v>554</x:v>
      </x:c>
      <x:c r="L33" s="21" t="s">
        <x:v>559</x:v>
      </x:c>
      <x:c r="M33" s="42"/>
      <x:c r="N33" s="21"/>
      <x:c r="O33" s="53"/>
    </x:row>
    <x:row r="34" spans="1:15" s="17" customFormat="1" hidden="1" customHeight="1" outlineLevel="1">
      <x:c r="A34" s="22"/>
      <x:c r="B34" s="49"/>
      <x:c r="C34" s="19" t="s">
        <x:v>399</x:v>
      </x:c>
      <x:c r="D34" s="19"/>
      <x:c r="E34" s="19"/>
      <x:c r="F34" s="20"/>
      <x:c r="G34" s="41"/>
      <x:c r="H34" s="280"/>
      <x:c r="I34" s="242"/>
      <x:c r="J34" s="21">
        <x:v>1</x:v>
      </x:c>
      <x:c r="K34" s="21" t="s">
        <x:v>554</x:v>
      </x:c>
      <x:c r="L34" s="21" t="s">
        <x:v>559</x:v>
      </x:c>
      <x:c r="M34" s="42"/>
      <x:c r="N34" s="21"/>
      <x:c r="O34" s="53"/>
    </x:row>
    <x:row r="35" spans="1:15" s="17" customFormat="1" hidden="1" customHeight="1" outlineLevel="1">
      <x:c r="A35" s="22"/>
      <x:c r="B35" s="49"/>
      <x:c r="C35" s="19" t="s">
        <x:v>62</x:v>
      </x:c>
      <x:c r="D35" s="19"/>
      <x:c r="E35" s="19"/>
      <x:c r="F35" s="20"/>
      <x:c r="G35" s="41"/>
      <x:c r="H35" s="278" t="s">
        <x:v>369</x:v>
      </x:c>
      <x:c r="I35" s="241">
        <x:v>5</x:v>
      </x:c>
      <x:c r="J35" s="21"/>
      <x:c r="K35" s="21"/>
      <x:c r="L35" s="21"/>
      <x:c r="M35" s="42"/>
      <x:c r="N35" s="21"/>
      <x:c r="O35" s="53"/>
    </x:row>
    <x:row r="36" spans="1:15" s="17" customFormat="1" hidden="1" customHeight="1" outlineLevel="1">
      <x:c r="A36" s="22"/>
      <x:c r="B36" s="49"/>
      <x:c r="C36" s="19"/>
      <x:c r="D36" s="19" t="s">
        <x:v>656</x:v>
      </x:c>
      <x:c r="E36" s="19"/>
      <x:c r="F36" s="20"/>
      <x:c r="G36" s="41"/>
      <x:c r="H36" s="279"/>
      <x:c r="I36" s="244"/>
      <x:c r="J36" s="21">
        <x:v>1</x:v>
      </x:c>
      <x:c r="K36" s="21" t="s">
        <x:v>554</x:v>
      </x:c>
      <x:c r="L36" s="21" t="s">
        <x:v>559</x:v>
      </x:c>
      <x:c r="M36" s="42"/>
      <x:c r="N36" s="21"/>
      <x:c r="O36" s="53"/>
    </x:row>
    <x:row r="37" spans="1:15" s="17" customFormat="1" hidden="1" customHeight="1" outlineLevel="1">
      <x:c r="A37" s="22"/>
      <x:c r="B37" s="49"/>
      <x:c r="C37" s="19"/>
      <x:c r="D37" s="19" t="s">
        <x:v>664</x:v>
      </x:c>
      <x:c r="E37" s="19"/>
      <x:c r="F37" s="20"/>
      <x:c r="G37" s="41"/>
      <x:c r="H37" s="279"/>
      <x:c r="I37" s="244"/>
      <x:c r="J37" s="21">
        <x:v>2</x:v>
      </x:c>
      <x:c r="K37" s="21" t="s">
        <x:v>554</x:v>
      </x:c>
      <x:c r="L37" s="21" t="s">
        <x:v>559</x:v>
      </x:c>
      <x:c r="M37" s="42"/>
      <x:c r="N37" s="21"/>
      <x:c r="O37" s="53"/>
    </x:row>
    <x:row r="38" spans="1:15" s="17" customFormat="1" hidden="1" customHeight="1" outlineLevel="1">
      <x:c r="A38" s="22"/>
      <x:c r="B38" s="49"/>
      <x:c r="C38" s="19"/>
      <x:c r="D38" s="19" t="s">
        <x:v>870</x:v>
      </x:c>
      <x:c r="E38" s="19"/>
      <x:c r="F38" s="20"/>
      <x:c r="G38" s="41"/>
      <x:c r="H38" s="279"/>
      <x:c r="I38" s="244"/>
      <x:c r="J38" s="21">
        <x:v>1</x:v>
      </x:c>
      <x:c r="K38" s="21" t="s">
        <x:v>554</x:v>
      </x:c>
      <x:c r="L38" s="21" t="s">
        <x:v>559</x:v>
      </x:c>
      <x:c r="M38" s="42"/>
      <x:c r="N38" s="21"/>
      <x:c r="O38" s="53"/>
    </x:row>
    <x:row r="39" spans="1:15" s="17" customFormat="1" hidden="1" customHeight="1" outlineLevel="1">
      <x:c r="A39" s="22"/>
      <x:c r="B39" s="49"/>
      <x:c r="C39" s="19"/>
      <x:c r="D39" s="39" t="s">
        <x:v>58</x:v>
      </x:c>
      <x:c r="E39" s="39"/>
      <x:c r="F39" s="40"/>
      <x:c r="G39" s="41"/>
      <x:c r="H39" s="280"/>
      <x:c r="I39" s="242"/>
      <x:c r="J39" s="21">
        <x:v>1</x:v>
      </x:c>
      <x:c r="K39" s="21" t="s">
        <x:v>554</x:v>
      </x:c>
      <x:c r="L39" s="21" t="s">
        <x:v>559</x:v>
      </x:c>
      <x:c r="M39" s="42"/>
      <x:c r="N39" s="21"/>
      <x:c r="O39" s="53"/>
    </x:row>
    <x:row r="40" spans="1:15" s="17" customFormat="1" hidden="1" customHeight="1" outlineLevel="1">
      <x:c r="A40" s="22"/>
      <x:c r="B40" s="49" t="s">
        <x:v>45</x:v>
      </x:c>
      <x:c r="C40" s="19"/>
      <x:c r="D40" s="19"/>
      <x:c r="E40" s="19"/>
      <x:c r="F40" s="20"/>
      <x:c r="G40" s="41"/>
      <x:c r="H40" s="239" t="s">
        <x:v>577</x:v>
      </x:c>
      <x:c r="I40" s="241">
        <x:v>5</x:v>
      </x:c>
      <x:c r="J40" s="21"/>
      <x:c r="K40" s="21"/>
      <x:c r="L40" s="21"/>
      <x:c r="M40" s="42"/>
      <x:c r="N40" s="21"/>
      <x:c r="O40" s="53"/>
    </x:row>
    <x:row r="41" spans="1:15" s="17" customFormat="1" hidden="1" customHeight="1" outlineLevel="1">
      <x:c r="A41" s="22"/>
      <x:c r="B41" s="49"/>
      <x:c r="C41" s="19" t="s">
        <x:v>662</x:v>
      </x:c>
      <x:c r="D41" s="19"/>
      <x:c r="E41" s="19"/>
      <x:c r="F41" s="20"/>
      <x:c r="G41" s="41"/>
      <x:c r="H41" s="243"/>
      <x:c r="I41" s="244"/>
      <x:c r="J41" s="21">
        <x:v>1</x:v>
      </x:c>
      <x:c r="K41" s="236" t="s">
        <x:v>554</x:v>
      </x:c>
      <x:c r="L41" s="236" t="s">
        <x:v>559</x:v>
      </x:c>
      <x:c r="M41" s="42"/>
      <x:c r="N41" s="21"/>
      <x:c r="O41" s="53"/>
    </x:row>
    <x:row r="42" spans="1:15" s="17" customFormat="1" hidden="1" customHeight="1" outlineLevel="1">
      <x:c r="A42" s="22"/>
      <x:c r="B42" s="49"/>
      <x:c r="C42" s="19" t="s">
        <x:v>660</x:v>
      </x:c>
      <x:c r="D42" s="19"/>
      <x:c r="E42" s="19"/>
      <x:c r="F42" s="20"/>
      <x:c r="G42" s="41"/>
      <x:c r="H42" s="243"/>
      <x:c r="I42" s="244"/>
      <x:c r="J42" s="21">
        <x:v>1</x:v>
      </x:c>
      <x:c r="K42" s="237"/>
      <x:c r="L42" s="237"/>
      <x:c r="M42" s="42"/>
      <x:c r="N42" s="21"/>
      <x:c r="O42" s="53"/>
    </x:row>
    <x:row r="43" spans="1:15" s="17" customFormat="1" hidden="1" customHeight="1" outlineLevel="1">
      <x:c r="A43" s="22"/>
      <x:c r="B43" s="49"/>
      <x:c r="C43" s="19" t="s">
        <x:v>78</x:v>
      </x:c>
      <x:c r="D43" s="19"/>
      <x:c r="E43" s="19"/>
      <x:c r="F43" s="20"/>
      <x:c r="G43" s="41"/>
      <x:c r="H43" s="243"/>
      <x:c r="I43" s="244"/>
      <x:c r="J43" s="21">
        <x:v>2</x:v>
      </x:c>
      <x:c r="K43" s="237"/>
      <x:c r="L43" s="237"/>
      <x:c r="M43" s="42"/>
      <x:c r="N43" s="21"/>
      <x:c r="O43" s="53"/>
    </x:row>
    <x:row r="44" spans="1:15" s="17" customFormat="1" hidden="1" customHeight="1" outlineLevel="1">
      <x:c r="A44" s="22"/>
      <x:c r="B44" s="49"/>
      <x:c r="C44" s="19" t="s">
        <x:v>404</x:v>
      </x:c>
      <x:c r="D44" s="19"/>
      <x:c r="E44" s="19"/>
      <x:c r="F44" s="20"/>
      <x:c r="G44" s="41"/>
      <x:c r="H44" s="243"/>
      <x:c r="I44" s="244"/>
      <x:c r="J44" s="21">
        <x:v>2</x:v>
      </x:c>
      <x:c r="K44" s="237"/>
      <x:c r="L44" s="237"/>
      <x:c r="M44" s="42"/>
      <x:c r="N44" s="21"/>
      <x:c r="O44" s="53"/>
    </x:row>
    <x:row r="45" spans="1:15" s="17" customFormat="1" hidden="1" customHeight="1" outlineLevel="1">
      <x:c r="A45" s="22"/>
      <x:c r="B45" s="49"/>
      <x:c r="C45" s="19" t="s">
        <x:v>394</x:v>
      </x:c>
      <x:c r="D45" s="19"/>
      <x:c r="E45" s="19"/>
      <x:c r="F45" s="20"/>
      <x:c r="G45" s="233" t="s">
        <x:v>796</x:v>
      </x:c>
      <x:c r="H45" s="243"/>
      <x:c r="I45" s="244"/>
      <x:c r="J45" s="21"/>
      <x:c r="K45" s="237"/>
      <x:c r="L45" s="237"/>
      <x:c r="M45" s="42"/>
      <x:c r="N45" s="21"/>
      <x:c r="O45" s="53"/>
    </x:row>
    <x:row r="46" spans="1:15" s="17" customFormat="1" hidden="1" customHeight="1" outlineLevel="1">
      <x:c r="A46" s="22"/>
      <x:c r="B46" s="49"/>
      <x:c r="C46" s="19"/>
      <x:c r="D46" s="19" t="s">
        <x:v>48</x:v>
      </x:c>
      <x:c r="E46" s="19"/>
      <x:c r="F46" s="20"/>
      <x:c r="G46" s="234"/>
      <x:c r="H46" s="243"/>
      <x:c r="I46" s="244"/>
      <x:c r="J46" s="21">
        <x:v>1</x:v>
      </x:c>
      <x:c r="K46" s="237"/>
      <x:c r="L46" s="237"/>
      <x:c r="M46" s="42"/>
      <x:c r="N46" s="21"/>
      <x:c r="O46" s="53"/>
    </x:row>
    <x:row r="47" spans="1:15" s="17" customFormat="1" hidden="1" customHeight="1" outlineLevel="1">
      <x:c r="A47" s="22"/>
      <x:c r="B47" s="49"/>
      <x:c r="C47" s="19"/>
      <x:c r="D47" s="19" t="s">
        <x:v>387</x:v>
      </x:c>
      <x:c r="E47" s="19"/>
      <x:c r="F47" s="20"/>
      <x:c r="G47" s="234"/>
      <x:c r="H47" s="243"/>
      <x:c r="I47" s="244"/>
      <x:c r="J47" s="21">
        <x:v>1</x:v>
      </x:c>
      <x:c r="K47" s="237"/>
      <x:c r="L47" s="237"/>
      <x:c r="M47" s="42"/>
      <x:c r="N47" s="21"/>
      <x:c r="O47" s="53"/>
    </x:row>
    <x:row r="48" spans="1:15" s="17" customFormat="1" hidden="1" customHeight="1" outlineLevel="1">
      <x:c r="A48" s="22"/>
      <x:c r="B48" s="49"/>
      <x:c r="C48" s="19"/>
      <x:c r="D48" s="19" t="s">
        <x:v>384</x:v>
      </x:c>
      <x:c r="E48" s="19"/>
      <x:c r="F48" s="20"/>
      <x:c r="G48" s="234"/>
      <x:c r="H48" s="243"/>
      <x:c r="I48" s="244"/>
      <x:c r="J48" s="21">
        <x:v>1</x:v>
      </x:c>
      <x:c r="K48" s="237"/>
      <x:c r="L48" s="237"/>
      <x:c r="M48" s="42"/>
      <x:c r="N48" s="21"/>
      <x:c r="O48" s="53"/>
    </x:row>
    <x:row r="49" spans="1:15" s="17" customFormat="1" hidden="1" customHeight="1" outlineLevel="1">
      <x:c r="A49" s="22"/>
      <x:c r="B49" s="49"/>
      <x:c r="C49" s="19"/>
      <x:c r="D49" s="19" t="s">
        <x:v>56</x:v>
      </x:c>
      <x:c r="E49" s="19"/>
      <x:c r="F49" s="20"/>
      <x:c r="G49" s="234"/>
      <x:c r="H49" s="243"/>
      <x:c r="I49" s="244"/>
      <x:c r="J49" s="21">
        <x:v>2</x:v>
      </x:c>
      <x:c r="K49" s="237"/>
      <x:c r="L49" s="237"/>
      <x:c r="M49" s="42"/>
      <x:c r="N49" s="21"/>
      <x:c r="O49" s="53"/>
    </x:row>
    <x:row r="50" spans="1:15" s="17" customFormat="1" hidden="1" customHeight="1" outlineLevel="1">
      <x:c r="A50" s="22"/>
      <x:c r="B50" s="49"/>
      <x:c r="C50" s="19"/>
      <x:c r="D50" s="19" t="s">
        <x:v>877</x:v>
      </x:c>
      <x:c r="E50" s="19"/>
      <x:c r="F50" s="20"/>
      <x:c r="G50" s="235"/>
      <x:c r="H50" s="243"/>
      <x:c r="I50" s="244"/>
      <x:c r="J50" s="21">
        <x:v>1</x:v>
      </x:c>
      <x:c r="K50" s="237"/>
      <x:c r="L50" s="237"/>
      <x:c r="M50" s="42"/>
      <x:c r="N50" s="21"/>
      <x:c r="O50" s="53"/>
    </x:row>
    <x:row r="51" spans="1:15" s="17" customFormat="1" hidden="1" customHeight="1" outlineLevel="1">
      <x:c r="A51" s="22"/>
      <x:c r="B51" s="49"/>
      <x:c r="C51" s="19" t="s">
        <x:v>407</x:v>
      </x:c>
      <x:c r="D51" s="19"/>
      <x:c r="E51" s="19"/>
      <x:c r="F51" s="20"/>
      <x:c r="G51" s="41"/>
      <x:c r="H51" s="243"/>
      <x:c r="I51" s="244"/>
      <x:c r="J51" s="21">
        <x:v>2</x:v>
      </x:c>
      <x:c r="K51" s="238"/>
      <x:c r="L51" s="238"/>
      <x:c r="M51" s="42"/>
      <x:c r="N51" s="21"/>
      <x:c r="O51" s="53" t="s">
        <x:v>353</x:v>
      </x:c>
    </x:row>
    <x:row r="52" spans="1:15" s="17" customFormat="1" customHeight="1" collapsed="1">
      <x:c r="A52" s="276" t="s">
        <x:v>616</x:v>
      </x:c>
      <x:c r="B52" s="277"/>
      <x:c r="C52" s="277"/>
      <x:c r="D52" s="277"/>
      <x:c r="E52" s="277"/>
      <x:c r="F52" s="277"/>
      <x:c r="G52" s="13"/>
      <x:c r="H52" s="14"/>
      <x:c r="I52" s="13">
        <x:f>SUM(I53:I75)</x:f>
        <x:v>10</x:v>
      </x:c>
      <x:c r="J52" s="15">
        <x:f>SUM(J53:J75)</x:f>
        <x:v>0</x:v>
      </x:c>
      <x:c r="K52" s="13" t="s">
        <x:v>555</x:v>
      </x:c>
      <x:c r="L52" s="15"/>
      <x:c r="M52" s="52">
        <x:f>AVERAGE(M53:M75)</x:f>
        <x:v>0</x:v>
      </x:c>
      <x:c r="N52" s="15"/>
      <x:c r="O52" s="16"/>
    </x:row>
    <x:row r="53" spans="1:15" s="17" customFormat="1" customHeight="1" outlineLevel="1">
      <x:c r="A53" s="18"/>
      <x:c r="B53" s="19" t="s">
        <x:v>499</x:v>
      </x:c>
      <x:c r="C53" s="19"/>
      <x:c r="D53" s="19"/>
      <x:c r="E53" s="20"/>
      <x:c r="F53" s="20"/>
      <x:c r="G53" s="21"/>
      <x:c r="H53" s="151"/>
      <x:c r="I53" s="148"/>
      <x:c r="J53" s="21"/>
      <x:c r="K53" s="21"/>
      <x:c r="L53" s="21"/>
      <x:c r="M53" s="42">
        <x:v>0</x:v>
      </x:c>
      <x:c r="N53" s="21"/>
      <x:c r="O53" s="53"/>
    </x:row>
    <x:row r="54" spans="1:15" s="17" customFormat="1" customHeight="1" outlineLevel="1">
      <x:c r="A54" s="18"/>
      <x:c r="B54" s="49" t="s">
        <x:v>736</x:v>
      </x:c>
      <x:c r="C54" s="19"/>
      <x:c r="D54" s="19"/>
      <x:c r="E54" s="19"/>
      <x:c r="F54" s="20"/>
      <x:c r="G54" s="41"/>
      <x:c r="H54" s="239" t="s">
        <x:v>491</x:v>
      </x:c>
      <x:c r="I54" s="241">
        <x:v>5</x:v>
      </x:c>
      <x:c r="J54" s="21"/>
      <x:c r="K54" s="21"/>
      <x:c r="L54" s="21"/>
      <x:c r="M54" s="21"/>
      <x:c r="N54" s="21"/>
      <x:c r="O54" s="53" t="s">
        <x:v>823</x:v>
      </x:c>
    </x:row>
    <x:row r="55" spans="1:15" s="17" customFormat="1" customHeight="1" outlineLevel="1">
      <x:c r="A55" s="18"/>
      <x:c r="B55" s="49"/>
      <x:c r="C55" s="19" t="s">
        <x:v>408</x:v>
      </x:c>
      <x:c r="D55" s="19"/>
      <x:c r="E55" s="19"/>
      <x:c r="F55" s="20"/>
      <x:c r="G55" s="41"/>
      <x:c r="H55" s="243"/>
      <x:c r="I55" s="244"/>
      <x:c r="J55" s="21"/>
      <x:c r="K55" s="21"/>
      <x:c r="L55" s="21"/>
      <x:c r="M55" s="42"/>
      <x:c r="N55" s="21"/>
      <x:c r="O55" s="53"/>
    </x:row>
    <x:row r="56" spans="1:15" s="17" customFormat="1" customHeight="1" outlineLevel="1">
      <x:c r="A56" s="18"/>
      <x:c r="B56" s="49"/>
      <x:c r="C56" s="19"/>
      <x:c r="D56" s="19" t="s">
        <x:v>67</x:v>
      </x:c>
      <x:c r="E56" s="19"/>
      <x:c r="F56" s="20"/>
      <x:c r="G56" s="41"/>
      <x:c r="H56" s="243"/>
      <x:c r="I56" s="244"/>
      <x:c r="J56" s="21"/>
      <x:c r="K56" s="21"/>
      <x:c r="L56" s="21"/>
      <x:c r="M56" s="42"/>
      <x:c r="N56" s="21" t="s">
        <x:v>612</x:v>
      </x:c>
      <x:c r="O56" s="53"/>
    </x:row>
    <x:row r="57" spans="1:15" s="17" customFormat="1" customHeight="1" outlineLevel="1">
      <x:c r="A57" s="18"/>
      <x:c r="B57" s="49"/>
      <x:c r="C57" s="19"/>
      <x:c r="D57" s="19" t="s">
        <x:v>890</x:v>
      </x:c>
      <x:c r="E57" s="19"/>
      <x:c r="F57" s="20"/>
      <x:c r="G57" s="41"/>
      <x:c r="H57" s="243"/>
      <x:c r="I57" s="244"/>
      <x:c r="J57" s="21"/>
      <x:c r="K57" s="21"/>
      <x:c r="L57" s="21"/>
      <x:c r="M57" s="42"/>
      <x:c r="N57" s="21" t="s">
        <x:v>611</x:v>
      </x:c>
      <x:c r="O57" s="53"/>
    </x:row>
    <x:row r="58" spans="1:15" s="17" customFormat="1" customHeight="1" outlineLevel="1">
      <x:c r="A58" s="18"/>
      <x:c r="B58" s="49"/>
      <x:c r="C58" s="19"/>
      <x:c r="D58" s="19" t="s">
        <x:v>393</x:v>
      </x:c>
      <x:c r="E58" s="19"/>
      <x:c r="F58" s="20"/>
      <x:c r="G58" s="41"/>
      <x:c r="H58" s="243"/>
      <x:c r="I58" s="244"/>
      <x:c r="J58" s="21"/>
      <x:c r="K58" s="21"/>
      <x:c r="L58" s="21"/>
      <x:c r="M58" s="42"/>
      <x:c r="N58" s="21"/>
      <x:c r="O58" s="53"/>
    </x:row>
    <x:row r="59" spans="1:15" s="17" customFormat="1" customHeight="1" outlineLevel="1">
      <x:c r="A59" s="18"/>
      <x:c r="B59" s="49"/>
      <x:c r="C59" s="19" t="s">
        <x:v>395</x:v>
      </x:c>
      <x:c r="D59" s="19"/>
      <x:c r="E59" s="19"/>
      <x:c r="F59" s="20"/>
      <x:c r="G59" s="41"/>
      <x:c r="H59" s="243"/>
      <x:c r="I59" s="244"/>
      <x:c r="J59" s="21"/>
      <x:c r="K59" s="21"/>
      <x:c r="L59" s="21"/>
      <x:c r="M59" s="42"/>
      <x:c r="N59" s="21"/>
      <x:c r="O59" s="53"/>
    </x:row>
    <x:row r="60" spans="1:15" s="17" customFormat="1" customHeight="1" outlineLevel="1">
      <x:c r="A60" s="18"/>
      <x:c r="B60" s="49"/>
      <x:c r="C60" s="19"/>
      <x:c r="D60" s="19" t="s">
        <x:v>67</x:v>
      </x:c>
      <x:c r="E60" s="19"/>
      <x:c r="F60" s="20"/>
      <x:c r="G60" s="41"/>
      <x:c r="H60" s="243"/>
      <x:c r="I60" s="244"/>
      <x:c r="J60" s="21"/>
      <x:c r="K60" s="21"/>
      <x:c r="L60" s="21"/>
      <x:c r="M60" s="42"/>
      <x:c r="N60" s="21" t="s">
        <x:v>612</x:v>
      </x:c>
      <x:c r="O60" s="53"/>
    </x:row>
    <x:row r="61" spans="1:15" s="17" customFormat="1" customHeight="1" outlineLevel="1">
      <x:c r="A61" s="18"/>
      <x:c r="B61" s="49"/>
      <x:c r="C61" s="19"/>
      <x:c r="D61" s="19" t="s">
        <x:v>890</x:v>
      </x:c>
      <x:c r="E61" s="19"/>
      <x:c r="F61" s="20"/>
      <x:c r="G61" s="41"/>
      <x:c r="H61" s="243"/>
      <x:c r="I61" s="244"/>
      <x:c r="J61" s="21"/>
      <x:c r="K61" s="21"/>
      <x:c r="L61" s="21"/>
      <x:c r="M61" s="42"/>
      <x:c r="N61" s="21" t="s">
        <x:v>611</x:v>
      </x:c>
      <x:c r="O61" s="53"/>
    </x:row>
    <x:row r="62" spans="1:15" s="17" customFormat="1" customHeight="1" outlineLevel="1">
      <x:c r="A62" s="18"/>
      <x:c r="B62" s="49"/>
      <x:c r="C62" s="19"/>
      <x:c r="D62" s="19" t="s">
        <x:v>393</x:v>
      </x:c>
      <x:c r="E62" s="19"/>
      <x:c r="F62" s="20"/>
      <x:c r="G62" s="41"/>
      <x:c r="H62" s="243"/>
      <x:c r="I62" s="244"/>
      <x:c r="J62" s="21"/>
      <x:c r="K62" s="21"/>
      <x:c r="L62" s="21"/>
      <x:c r="M62" s="42"/>
      <x:c r="N62" s="21"/>
      <x:c r="O62" s="53"/>
    </x:row>
    <x:row r="63" spans="1:15" s="17" customFormat="1" customHeight="1" outlineLevel="1">
      <x:c r="A63" s="18"/>
      <x:c r="B63" s="49" t="s">
        <x:v>614</x:v>
      </x:c>
      <x:c r="C63" s="19"/>
      <x:c r="D63" s="19"/>
      <x:c r="E63" s="20"/>
      <x:c r="F63" s="20"/>
      <x:c r="G63" s="41"/>
      <x:c r="H63" s="209"/>
      <x:c r="I63" s="148"/>
      <x:c r="J63" s="21"/>
      <x:c r="K63" s="21"/>
      <x:c r="L63" s="21"/>
      <x:c r="M63" s="21"/>
      <x:c r="N63" s="21"/>
      <x:c r="O63" s="53" t="s">
        <x:v>863</x:v>
      </x:c>
    </x:row>
    <x:row r="64" spans="1:15" s="17" customFormat="1" customHeight="1" outlineLevel="1">
      <x:c r="A64" s="18"/>
      <x:c r="B64" s="49"/>
      <x:c r="C64" s="19" t="s">
        <x:v>638</x:v>
      </x:c>
      <x:c r="D64" s="19"/>
      <x:c r="E64" s="20"/>
      <x:c r="F64" s="20"/>
      <x:c r="G64" s="41"/>
      <x:c r="H64" s="209"/>
      <x:c r="I64" s="148"/>
      <x:c r="J64" s="21"/>
      <x:c r="K64" s="21"/>
      <x:c r="L64" s="21"/>
      <x:c r="M64" s="21"/>
      <x:c r="N64" s="21"/>
      <x:c r="O64" s="53"/>
    </x:row>
    <x:row r="65" spans="1:15" s="17" customFormat="1" customHeight="1" outlineLevel="1">
      <x:c r="A65" s="18"/>
      <x:c r="B65" s="49"/>
      <x:c r="C65" s="19"/>
      <x:c r="D65" s="19" t="s">
        <x:v>663</x:v>
      </x:c>
      <x:c r="E65" s="20"/>
      <x:c r="F65" s="20"/>
      <x:c r="G65" s="41"/>
      <x:c r="H65" s="209"/>
      <x:c r="I65" s="148"/>
      <x:c r="J65" s="21"/>
      <x:c r="K65" s="21"/>
      <x:c r="L65" s="21"/>
      <x:c r="M65" s="21"/>
      <x:c r="N65" s="21"/>
      <x:c r="O65" s="53"/>
    </x:row>
    <x:row r="66" spans="1:15" s="17" customFormat="1" customHeight="1" outlineLevel="1">
      <x:c r="A66" s="18"/>
      <x:c r="B66" s="49"/>
      <x:c r="C66" s="19"/>
      <x:c r="D66" s="19" t="s">
        <x:v>661</x:v>
      </x:c>
      <x:c r="E66" s="20"/>
      <x:c r="F66" s="20"/>
      <x:c r="G66" s="41"/>
      <x:c r="H66" s="209"/>
      <x:c r="I66" s="148"/>
      <x:c r="J66" s="21"/>
      <x:c r="K66" s="21"/>
      <x:c r="L66" s="21"/>
      <x:c r="M66" s="21"/>
      <x:c r="N66" s="21"/>
      <x:c r="O66" s="53"/>
    </x:row>
    <x:row r="67" spans="1:15" s="17" customFormat="1" customHeight="1" outlineLevel="1">
      <x:c r="A67" s="18"/>
      <x:c r="B67" s="49"/>
      <x:c r="C67" s="19" t="s">
        <x:v>639</x:v>
      </x:c>
      <x:c r="D67" s="19"/>
      <x:c r="E67" s="20"/>
      <x:c r="F67" s="20"/>
      <x:c r="G67" s="41"/>
      <x:c r="H67" s="209"/>
      <x:c r="I67" s="148"/>
      <x:c r="J67" s="21"/>
      <x:c r="K67" s="21"/>
      <x:c r="L67" s="21"/>
      <x:c r="M67" s="21"/>
      <x:c r="N67" s="21"/>
      <x:c r="O67" s="53"/>
    </x:row>
    <x:row r="68" spans="1:15" s="17" customFormat="1" customHeight="1" outlineLevel="1">
      <x:c r="A68" s="18"/>
      <x:c r="B68" s="49"/>
      <x:c r="C68" s="19"/>
      <x:c r="D68" s="19" t="s">
        <x:v>663</x:v>
      </x:c>
      <x:c r="E68" s="20"/>
      <x:c r="F68" s="20"/>
      <x:c r="G68" s="41"/>
      <x:c r="H68" s="209"/>
      <x:c r="I68" s="148"/>
      <x:c r="J68" s="21"/>
      <x:c r="K68" s="21"/>
      <x:c r="L68" s="21"/>
      <x:c r="M68" s="42"/>
      <x:c r="N68" s="21"/>
      <x:c r="O68" s="53"/>
    </x:row>
    <x:row r="69" spans="1:15" s="17" customFormat="1" customHeight="1" outlineLevel="1">
      <x:c r="A69" s="18"/>
      <x:c r="B69" s="49"/>
      <x:c r="C69" s="19"/>
      <x:c r="D69" s="19" t="s">
        <x:v>661</x:v>
      </x:c>
      <x:c r="E69" s="20"/>
      <x:c r="F69" s="20"/>
      <x:c r="G69" s="41"/>
      <x:c r="H69" s="209"/>
      <x:c r="I69" s="148"/>
      <x:c r="J69" s="21"/>
      <x:c r="K69" s="21"/>
      <x:c r="L69" s="21"/>
      <x:c r="M69" s="21"/>
      <x:c r="N69" s="21"/>
      <x:c r="O69" s="53"/>
    </x:row>
    <x:row r="70" spans="1:15" s="17" customFormat="1" customHeight="1" outlineLevel="1">
      <x:c r="A70" s="18"/>
      <x:c r="B70" s="49" t="s">
        <x:v>609</x:v>
      </x:c>
      <x:c r="C70" s="19"/>
      <x:c r="D70" s="19"/>
      <x:c r="E70" s="20"/>
      <x:c r="F70" s="20"/>
      <x:c r="G70" s="41"/>
      <x:c r="H70" s="209"/>
      <x:c r="I70" s="148"/>
      <x:c r="J70" s="21"/>
      <x:c r="K70" s="21"/>
      <x:c r="L70" s="21"/>
      <x:c r="M70" s="42"/>
      <x:c r="N70" s="21"/>
      <x:c r="O70" s="53" t="s">
        <x:v>291</x:v>
      </x:c>
    </x:row>
    <x:row r="71" spans="1:15" s="17" customFormat="1" customHeight="1" outlineLevel="1">
      <x:c r="A71" s="18"/>
      <x:c r="B71" s="49"/>
      <x:c r="C71" s="19" t="s">
        <x:v>881</x:v>
      </x:c>
      <x:c r="D71" s="19"/>
      <x:c r="E71" s="20"/>
      <x:c r="F71" s="20"/>
      <x:c r="G71" s="41"/>
      <x:c r="H71" s="209"/>
      <x:c r="I71" s="148"/>
      <x:c r="J71" s="21"/>
      <x:c r="K71" s="21"/>
      <x:c r="L71" s="21"/>
      <x:c r="M71" s="42"/>
      <x:c r="N71" s="21"/>
      <x:c r="O71" s="53"/>
    </x:row>
    <x:row r="72" spans="1:15" s="17" customFormat="1" customHeight="1" outlineLevel="1">
      <x:c r="A72" s="18"/>
      <x:c r="B72" s="49"/>
      <x:c r="C72" s="19" t="s">
        <x:v>888</x:v>
      </x:c>
      <x:c r="D72" s="19"/>
      <x:c r="E72" s="20"/>
      <x:c r="F72" s="20"/>
      <x:c r="G72" s="41"/>
      <x:c r="H72" s="209"/>
      <x:c r="I72" s="148"/>
      <x:c r="J72" s="21"/>
      <x:c r="K72" s="21"/>
      <x:c r="L72" s="21"/>
      <x:c r="M72" s="42"/>
      <x:c r="N72" s="21"/>
      <x:c r="O72" s="53"/>
    </x:row>
    <x:row r="73" spans="1:15" s="17" customFormat="1" customHeight="1" outlineLevel="1">
      <x:c r="A73" s="18"/>
      <x:c r="B73" s="49" t="s">
        <x:v>613</x:v>
      </x:c>
      <x:c r="C73" s="19"/>
      <x:c r="D73" s="19"/>
      <x:c r="E73" s="20"/>
      <x:c r="F73" s="20"/>
      <x:c r="G73" s="41"/>
      <x:c r="H73" s="239" t="s">
        <x:v>196</x:v>
      </x:c>
      <x:c r="I73" s="241">
        <x:v>5</x:v>
      </x:c>
      <x:c r="J73" s="21"/>
      <x:c r="K73" s="21"/>
      <x:c r="L73" s="21"/>
      <x:c r="M73" s="42"/>
      <x:c r="N73" s="236" t="s">
        <x:v>610</x:v>
      </x:c>
      <x:c r="O73" s="212" t="s">
        <x:v>857</x:v>
      </x:c>
    </x:row>
    <x:row r="74" spans="1:15" s="17" customFormat="1" customHeight="1" outlineLevel="1">
      <x:c r="A74" s="18"/>
      <x:c r="B74" s="49"/>
      <x:c r="C74" s="19" t="s">
        <x:v>891</x:v>
      </x:c>
      <x:c r="D74" s="19"/>
      <x:c r="E74" s="20"/>
      <x:c r="F74" s="20"/>
      <x:c r="G74" s="41"/>
      <x:c r="H74" s="243"/>
      <x:c r="I74" s="244"/>
      <x:c r="J74" s="21"/>
      <x:c r="K74" s="21"/>
      <x:c r="L74" s="21"/>
      <x:c r="M74" s="42"/>
      <x:c r="N74" s="237"/>
      <x:c r="O74" s="53"/>
    </x:row>
    <x:row r="75" spans="1:15" s="17" customFormat="1" customHeight="1" outlineLevel="1">
      <x:c r="A75" s="18"/>
      <x:c r="B75" s="49"/>
      <x:c r="C75" s="19" t="s">
        <x:v>893</x:v>
      </x:c>
      <x:c r="D75" s="19"/>
      <x:c r="E75" s="20"/>
      <x:c r="F75" s="20"/>
      <x:c r="G75" s="41"/>
      <x:c r="H75" s="243"/>
      <x:c r="I75" s="244"/>
      <x:c r="J75" s="21"/>
      <x:c r="K75" s="21"/>
      <x:c r="L75" s="21"/>
      <x:c r="M75" s="42"/>
      <x:c r="N75" s="237"/>
      <x:c r="O75" s="53"/>
    </x:row>
    <x:row r="76" spans="1:15" s="32" customFormat="1" customHeight="1">
      <x:c r="A76" s="25" t="s">
        <x:v>615</x:v>
      </x:c>
      <x:c r="B76" s="26"/>
      <x:c r="C76" s="27"/>
      <x:c r="D76" s="27"/>
      <x:c r="E76" s="26"/>
      <x:c r="F76" s="26"/>
      <x:c r="G76" s="28"/>
      <x:c r="H76" s="29"/>
      <x:c r="I76" s="28">
        <x:f>SUM(I77:I212)</x:f>
        <x:v>35</x:v>
      </x:c>
      <x:c r="J76" s="30">
        <x:f>SUM(J77:J212)</x:f>
        <x:v>145</x:v>
      </x:c>
      <x:c r="K76" s="28" t="s">
        <x:v>364</x:v>
      </x:c>
      <x:c r="L76" s="28"/>
      <x:c r="M76" s="52">
        <x:f>AVERAGE(M77:M212)</x:f>
        <x:v>0</x:v>
      </x:c>
      <x:c r="N76" s="28"/>
      <x:c r="O76" s="31"/>
    </x:row>
    <x:row r="77" spans="1:15" s="17" customFormat="1" customHeight="1" outlineLevel="1">
      <x:c r="A77" s="18"/>
      <x:c r="B77" s="19" t="s">
        <x:v>499</x:v>
      </x:c>
      <x:c r="C77" s="19"/>
      <x:c r="D77" s="19"/>
      <x:c r="E77" s="20"/>
      <x:c r="F77" s="20"/>
      <x:c r="G77" s="21"/>
      <x:c r="H77" s="21"/>
      <x:c r="I77" s="148"/>
      <x:c r="J77" s="152"/>
      <x:c r="K77" s="21"/>
      <x:c r="L77" s="21"/>
      <x:c r="M77" s="42">
        <x:v>0</x:v>
      </x:c>
      <x:c r="N77" s="21"/>
      <x:c r="O77" s="149"/>
    </x:row>
    <x:row r="78" spans="1:15" s="17" customFormat="1" ht="22.399999999999999" customHeight="1" outlineLevel="1">
      <x:c r="A78" s="18"/>
      <x:c r="B78" s="50" t="s">
        <x:v>763</x:v>
      </x:c>
      <x:c r="C78" s="39"/>
      <x:c r="D78" s="39"/>
      <x:c r="E78" s="40"/>
      <x:c r="F78" s="40"/>
      <x:c r="G78" s="41"/>
      <x:c r="H78" s="211"/>
      <x:c r="I78" s="153"/>
      <x:c r="J78" s="41"/>
      <x:c r="K78" s="41"/>
      <x:c r="L78" s="41"/>
      <x:c r="M78" s="21"/>
      <x:c r="N78" s="21"/>
      <x:c r="O78" s="53" t="s">
        <x:v>864</x:v>
      </x:c>
    </x:row>
    <x:row r="79" spans="1:15" s="17" customFormat="1" customHeight="1" outlineLevel="1">
      <x:c r="A79" s="22"/>
      <x:c r="B79" s="43"/>
      <x:c r="C79" s="44" t="s">
        <x:v>68</x:v>
      </x:c>
      <x:c r="D79" s="44"/>
      <x:c r="E79" s="44"/>
      <x:c r="F79" s="205"/>
      <x:c r="G79" s="180" t="s">
        <x:v>747</x:v>
      </x:c>
      <x:c r="H79" s="239" t="s">
        <x:v>198</x:v>
      </x:c>
      <x:c r="I79" s="264">
        <x:v>10</x:v>
      </x:c>
      <x:c r="J79" s="41"/>
      <x:c r="K79" s="41"/>
      <x:c r="L79" s="41"/>
      <x:c r="M79" s="42"/>
      <x:c r="N79" s="21"/>
      <x:c r="O79" s="149"/>
    </x:row>
    <x:row r="80" spans="1:15" s="17" customFormat="1" customHeight="1" outlineLevel="1">
      <x:c r="A80" s="22"/>
      <x:c r="B80" s="43"/>
      <x:c r="C80" s="44"/>
      <x:c r="D80" s="44" t="s">
        <x:v>667</x:v>
      </x:c>
      <x:c r="E80" s="44"/>
      <x:c r="F80" s="205"/>
      <x:c r="G80" s="180"/>
      <x:c r="H80" s="243"/>
      <x:c r="I80" s="245"/>
      <x:c r="J80" s="21">
        <x:v>1</x:v>
      </x:c>
      <x:c r="K80" s="236" t="s">
        <x:v>554</x:v>
      </x:c>
      <x:c r="L80" s="236" t="s">
        <x:v>559</x:v>
      </x:c>
      <x:c r="M80" s="42"/>
      <x:c r="N80" s="21"/>
      <x:c r="O80" s="149"/>
    </x:row>
    <x:row r="81" spans="1:15" s="17" customFormat="1" customHeight="1" outlineLevel="1">
      <x:c r="A81" s="22"/>
      <x:c r="B81" s="43"/>
      <x:c r="C81" s="44"/>
      <x:c r="D81" s="44" t="s">
        <x:v>666</x:v>
      </x:c>
      <x:c r="E81" s="44"/>
      <x:c r="F81" s="205"/>
      <x:c r="G81" s="180"/>
      <x:c r="H81" s="243"/>
      <x:c r="I81" s="245"/>
      <x:c r="J81" s="21">
        <x:v>1</x:v>
      </x:c>
      <x:c r="K81" s="237"/>
      <x:c r="L81" s="237"/>
      <x:c r="M81" s="42"/>
      <x:c r="N81" s="21"/>
      <x:c r="O81" s="149"/>
    </x:row>
    <x:row r="82" spans="1:15" s="17" customFormat="1" customHeight="1" outlineLevel="1">
      <x:c r="A82" s="22"/>
      <x:c r="B82" s="43"/>
      <x:c r="C82" s="44"/>
      <x:c r="D82" s="44" t="s">
        <x:v>57</x:v>
      </x:c>
      <x:c r="E82" s="44"/>
      <x:c r="F82" s="205"/>
      <x:c r="G82" s="180"/>
      <x:c r="H82" s="243"/>
      <x:c r="I82" s="245"/>
      <x:c r="J82" s="21">
        <x:v>4</x:v>
      </x:c>
      <x:c r="K82" s="237"/>
      <x:c r="L82" s="237"/>
      <x:c r="M82" s="42"/>
      <x:c r="N82" s="21"/>
      <x:c r="O82" s="149"/>
    </x:row>
    <x:row r="83" spans="1:15" s="17" customFormat="1" customHeight="1" outlineLevel="1">
      <x:c r="A83" s="22"/>
      <x:c r="B83" s="43"/>
      <x:c r="C83" s="44"/>
      <x:c r="D83" s="44" t="s">
        <x:v>59</x:v>
      </x:c>
      <x:c r="E83" s="44"/>
      <x:c r="F83" s="205"/>
      <x:c r="G83" s="180"/>
      <x:c r="H83" s="243"/>
      <x:c r="I83" s="245"/>
      <x:c r="J83" s="41">
        <x:v>1</x:v>
      </x:c>
      <x:c r="K83" s="237"/>
      <x:c r="L83" s="237"/>
      <x:c r="M83" s="42"/>
      <x:c r="N83" s="21"/>
      <x:c r="O83" s="149"/>
    </x:row>
    <x:row r="84" spans="1:15" s="17" customFormat="1" customHeight="1" outlineLevel="1">
      <x:c r="A84" s="22"/>
      <x:c r="B84" s="43"/>
      <x:c r="C84" s="44"/>
      <x:c r="D84" s="44" t="s">
        <x:v>63</x:v>
      </x:c>
      <x:c r="E84" s="44"/>
      <x:c r="F84" s="205"/>
      <x:c r="G84" s="180"/>
      <x:c r="H84" s="243"/>
      <x:c r="I84" s="245"/>
      <x:c r="J84" s="41">
        <x:v>1</x:v>
      </x:c>
      <x:c r="K84" s="237"/>
      <x:c r="L84" s="237"/>
      <x:c r="M84" s="42"/>
      <x:c r="N84" s="21"/>
      <x:c r="O84" s="149"/>
    </x:row>
    <x:row r="85" spans="1:15" s="17" customFormat="1" customHeight="1" outlineLevel="1">
      <x:c r="A85" s="22"/>
      <x:c r="B85" s="43"/>
      <x:c r="C85" s="44"/>
      <x:c r="D85" s="44" t="s">
        <x:v>64</x:v>
      </x:c>
      <x:c r="E85" s="44"/>
      <x:c r="F85" s="205"/>
      <x:c r="G85" s="180"/>
      <x:c r="H85" s="243"/>
      <x:c r="I85" s="245"/>
      <x:c r="J85" s="41">
        <x:v>3</x:v>
      </x:c>
      <x:c r="K85" s="237"/>
      <x:c r="L85" s="237"/>
      <x:c r="M85" s="42"/>
      <x:c r="N85" s="21"/>
      <x:c r="O85" s="149"/>
    </x:row>
    <x:row r="86" spans="1:15" s="17" customFormat="1" customHeight="1" outlineLevel="1">
      <x:c r="A86" s="33"/>
      <x:c r="B86" s="51"/>
      <x:c r="C86" s="45" t="s">
        <x:v>385</x:v>
      </x:c>
      <x:c r="D86" s="45"/>
      <x:c r="E86" s="45"/>
      <x:c r="F86" s="45"/>
      <x:c r="G86" s="46"/>
      <x:c r="H86" s="243"/>
      <x:c r="I86" s="245"/>
      <x:c r="J86" s="46"/>
      <x:c r="K86" s="237"/>
      <x:c r="L86" s="237"/>
      <x:c r="M86" s="42"/>
      <x:c r="N86" s="206"/>
      <x:c r="O86" s="149"/>
    </x:row>
    <x:row r="87" spans="1:15" s="17" customFormat="1" customHeight="1" outlineLevel="1">
      <x:c r="A87" s="33"/>
      <x:c r="B87" s="51"/>
      <x:c r="C87" s="45"/>
      <x:c r="D87" s="20" t="s">
        <x:v>665</x:v>
      </x:c>
      <x:c r="E87" s="45"/>
      <x:c r="F87" s="45"/>
      <x:c r="G87" s="46"/>
      <x:c r="H87" s="243"/>
      <x:c r="I87" s="245"/>
      <x:c r="J87" s="46">
        <x:v>1</x:v>
      </x:c>
      <x:c r="K87" s="237"/>
      <x:c r="L87" s="237"/>
      <x:c r="M87" s="42"/>
      <x:c r="N87" s="206"/>
      <x:c r="O87" s="207"/>
    </x:row>
    <x:row r="88" spans="1:15" s="17" customFormat="1" customHeight="1" outlineLevel="1">
      <x:c r="A88" s="33"/>
      <x:c r="B88" s="51"/>
      <x:c r="C88" s="45"/>
      <x:c r="D88" s="17" t="s">
        <x:v>670</x:v>
      </x:c>
      <x:c r="E88" s="45"/>
      <x:c r="F88" s="45"/>
      <x:c r="G88" s="46"/>
      <x:c r="H88" s="243"/>
      <x:c r="I88" s="245"/>
      <x:c r="J88" s="46">
        <x:v>1</x:v>
      </x:c>
      <x:c r="K88" s="237"/>
      <x:c r="L88" s="237"/>
      <x:c r="M88" s="42"/>
      <x:c r="N88" s="206"/>
      <x:c r="O88" s="207"/>
    </x:row>
    <x:row r="89" spans="1:15" s="17" customFormat="1" customHeight="1" outlineLevel="1">
      <x:c r="A89" s="33"/>
      <x:c r="B89" s="51"/>
      <x:c r="C89" s="45"/>
      <x:c r="D89" s="45" t="s">
        <x:v>668</x:v>
      </x:c>
      <x:c r="E89" s="45"/>
      <x:c r="F89" s="45"/>
      <x:c r="G89" s="46"/>
      <x:c r="H89" s="243"/>
      <x:c r="I89" s="245"/>
      <x:c r="J89" s="46">
        <x:v>2</x:v>
      </x:c>
      <x:c r="K89" s="237"/>
      <x:c r="L89" s="237"/>
      <x:c r="M89" s="42"/>
      <x:c r="N89" s="206"/>
      <x:c r="O89" s="207"/>
    </x:row>
    <x:row r="90" spans="1:15" s="17" customFormat="1" customHeight="1" outlineLevel="1">
      <x:c r="A90" s="33"/>
      <x:c r="B90" s="51"/>
      <x:c r="C90" s="45"/>
      <x:c r="D90" s="45" t="s">
        <x:v>673</x:v>
      </x:c>
      <x:c r="E90" s="45"/>
      <x:c r="F90" s="45"/>
      <x:c r="G90" s="46"/>
      <x:c r="H90" s="243"/>
      <x:c r="I90" s="245"/>
      <x:c r="J90" s="46">
        <x:v>2</x:v>
      </x:c>
      <x:c r="K90" s="237"/>
      <x:c r="L90" s="237"/>
      <x:c r="M90" s="42"/>
      <x:c r="N90" s="206"/>
      <x:c r="O90" s="207"/>
    </x:row>
    <x:row r="91" spans="1:15" s="17" customFormat="1" customHeight="1" outlineLevel="1">
      <x:c r="A91" s="33"/>
      <x:c r="B91" s="51"/>
      <x:c r="C91" s="45"/>
      <x:c r="D91" s="45" t="s">
        <x:v>671</x:v>
      </x:c>
      <x:c r="E91" s="45"/>
      <x:c r="F91" s="45"/>
      <x:c r="G91" s="46"/>
      <x:c r="H91" s="243"/>
      <x:c r="I91" s="245"/>
      <x:c r="J91" s="46">
        <x:v>1</x:v>
      </x:c>
      <x:c r="K91" s="237"/>
      <x:c r="L91" s="237"/>
      <x:c r="M91" s="42"/>
      <x:c r="N91" s="206"/>
      <x:c r="O91" s="207"/>
    </x:row>
    <x:row r="92" spans="1:15" s="17" customFormat="1" customHeight="1" outlineLevel="1">
      <x:c r="A92" s="33"/>
      <x:c r="B92" s="51"/>
      <x:c r="C92" s="45"/>
      <x:c r="D92" s="45" t="s">
        <x:v>674</x:v>
      </x:c>
      <x:c r="E92" s="45"/>
      <x:c r="F92" s="45"/>
      <x:c r="G92" s="46"/>
      <x:c r="H92" s="243"/>
      <x:c r="I92" s="245"/>
      <x:c r="J92" s="46">
        <x:v>1</x:v>
      </x:c>
      <x:c r="K92" s="237"/>
      <x:c r="L92" s="237"/>
      <x:c r="M92" s="42"/>
      <x:c r="N92" s="206"/>
      <x:c r="O92" s="207"/>
    </x:row>
    <x:row r="93" spans="1:15" s="17" customFormat="1" customHeight="1" outlineLevel="1">
      <x:c r="A93" s="33"/>
      <x:c r="B93" s="51"/>
      <x:c r="C93" s="45"/>
      <x:c r="D93" s="45" t="s">
        <x:v>53</x:v>
      </x:c>
      <x:c r="E93" s="45"/>
      <x:c r="F93" s="45"/>
      <x:c r="G93" s="46"/>
      <x:c r="H93" s="243"/>
      <x:c r="I93" s="245"/>
      <x:c r="J93" s="46">
        <x:v>1</x:v>
      </x:c>
      <x:c r="K93" s="237"/>
      <x:c r="L93" s="237"/>
      <x:c r="M93" s="42"/>
      <x:c r="N93" s="206"/>
      <x:c r="O93" s="207"/>
    </x:row>
    <x:row r="94" spans="1:15" s="17" customFormat="1" customHeight="1" outlineLevel="1">
      <x:c r="A94" s="22"/>
      <x:c r="B94" s="43"/>
      <x:c r="C94" s="47" t="s">
        <x:v>409</x:v>
      </x:c>
      <x:c r="D94" s="44"/>
      <x:c r="E94" s="44"/>
      <x:c r="F94" s="205"/>
      <x:c r="G94" s="180"/>
      <x:c r="H94" s="243"/>
      <x:c r="I94" s="245"/>
      <x:c r="J94" s="41"/>
      <x:c r="K94" s="237"/>
      <x:c r="L94" s="237"/>
      <x:c r="M94" s="42"/>
      <x:c r="N94" s="21"/>
      <x:c r="O94" s="149"/>
    </x:row>
    <x:row r="95" spans="1:15" s="17" customFormat="1" customHeight="1" outlineLevel="1">
      <x:c r="A95" s="22"/>
      <x:c r="B95" s="43"/>
      <x:c r="C95" s="47"/>
      <x:c r="D95" s="44" t="s">
        <x:v>676</x:v>
      </x:c>
      <x:c r="E95" s="44"/>
      <x:c r="F95" s="205"/>
      <x:c r="G95" s="180"/>
      <x:c r="H95" s="243"/>
      <x:c r="I95" s="245"/>
      <x:c r="J95" s="41">
        <x:v>1</x:v>
      </x:c>
      <x:c r="K95" s="237"/>
      <x:c r="L95" s="237"/>
      <x:c r="M95" s="42"/>
      <x:c r="N95" s="21"/>
      <x:c r="O95" s="149"/>
    </x:row>
    <x:row r="96" spans="1:15" s="17" customFormat="1" customHeight="1" outlineLevel="1">
      <x:c r="A96" s="22"/>
      <x:c r="B96" s="43"/>
      <x:c r="C96" s="47"/>
      <x:c r="D96" s="44" t="s">
        <x:v>74</x:v>
      </x:c>
      <x:c r="E96" s="44"/>
      <x:c r="F96" s="205"/>
      <x:c r="G96" s="180"/>
      <x:c r="H96" s="243"/>
      <x:c r="I96" s="245"/>
      <x:c r="J96" s="41">
        <x:v>1</x:v>
      </x:c>
      <x:c r="K96" s="237"/>
      <x:c r="L96" s="237"/>
      <x:c r="M96" s="42"/>
      <x:c r="N96" s="21"/>
      <x:c r="O96" s="149"/>
    </x:row>
    <x:row r="97" spans="1:15" s="17" customFormat="1" customHeight="1" outlineLevel="1">
      <x:c r="A97" s="22"/>
      <x:c r="B97" s="43"/>
      <x:c r="C97" s="47"/>
      <x:c r="D97" s="44" t="s">
        <x:v>49</x:v>
      </x:c>
      <x:c r="E97" s="44"/>
      <x:c r="F97" s="205"/>
      <x:c r="G97" s="180"/>
      <x:c r="H97" s="243"/>
      <x:c r="I97" s="245"/>
      <x:c r="J97" s="41">
        <x:v>1</x:v>
      </x:c>
      <x:c r="K97" s="237"/>
      <x:c r="L97" s="237"/>
      <x:c r="M97" s="42"/>
      <x:c r="N97" s="21"/>
      <x:c r="O97" s="149"/>
    </x:row>
    <x:row r="98" spans="1:15" s="17" customFormat="1" customHeight="1" outlineLevel="1">
      <x:c r="A98" s="22"/>
      <x:c r="B98" s="43"/>
      <x:c r="C98" s="47"/>
      <x:c r="D98" s="47" t="s">
        <x:v>60</x:v>
      </x:c>
      <x:c r="E98" s="44"/>
      <x:c r="F98" s="205"/>
      <x:c r="G98" s="180"/>
      <x:c r="H98" s="243"/>
      <x:c r="I98" s="245"/>
      <x:c r="J98" s="41">
        <x:v>1</x:v>
      </x:c>
      <x:c r="K98" s="238"/>
      <x:c r="L98" s="238"/>
      <x:c r="M98" s="42"/>
      <x:c r="N98" s="21"/>
      <x:c r="O98" s="149"/>
    </x:row>
    <x:row r="99" spans="1:15" s="359" customFormat="1" customHeight="1" outlineLevel="1">
      <x:c r="A99" s="360"/>
      <x:c r="B99" s="361"/>
      <x:c r="C99" s="362" t="s">
        <x:v>61</x:v>
      </x:c>
      <x:c r="D99" s="363"/>
      <x:c r="E99" s="363"/>
      <x:c r="F99" s="364"/>
      <x:c r="G99" s="365" t="s">
        <x:v>778</x:v>
      </x:c>
      <x:c r="H99" s="243"/>
      <x:c r="I99" s="245"/>
      <x:c r="J99" s="366"/>
      <x:c r="K99" s="367" t="s">
        <x:v>772</x:v>
      </x:c>
      <x:c r="L99" s="366"/>
      <x:c r="M99" s="368"/>
      <x:c r="N99" s="366"/>
      <x:c r="O99" s="369"/>
    </x:row>
    <x:row r="100" spans="1:15" s="359" customFormat="1" customHeight="1" outlineLevel="1">
      <x:c r="A100" s="360"/>
      <x:c r="B100" s="361"/>
      <x:c r="C100" s="362"/>
      <x:c r="D100" s="363" t="s">
        <x:v>73</x:v>
      </x:c>
      <x:c r="E100" s="363"/>
      <x:c r="F100" s="364"/>
      <x:c r="G100" s="370"/>
      <x:c r="H100" s="243"/>
      <x:c r="I100" s="245"/>
      <x:c r="J100" s="366">
        <x:v>1</x:v>
      </x:c>
      <x:c r="K100" s="371"/>
      <x:c r="L100" s="366"/>
      <x:c r="M100" s="368"/>
      <x:c r="N100" s="366"/>
      <x:c r="O100" s="369"/>
    </x:row>
    <x:row r="101" spans="1:15" s="359" customFormat="1" customHeight="1" outlineLevel="1">
      <x:c r="A101" s="360"/>
      <x:c r="B101" s="361"/>
      <x:c r="C101" s="362"/>
      <x:c r="D101" s="363" t="s">
        <x:v>50</x:v>
      </x:c>
      <x:c r="E101" s="363"/>
      <x:c r="F101" s="364"/>
      <x:c r="G101" s="370"/>
      <x:c r="H101" s="243"/>
      <x:c r="I101" s="245"/>
      <x:c r="J101" s="366">
        <x:v>1</x:v>
      </x:c>
      <x:c r="K101" s="371"/>
      <x:c r="L101" s="366"/>
      <x:c r="M101" s="368"/>
      <x:c r="N101" s="366"/>
      <x:c r="O101" s="369"/>
    </x:row>
    <x:row r="102" spans="1:15" s="359" customFormat="1" customHeight="1" outlineLevel="1">
      <x:c r="A102" s="360"/>
      <x:c r="B102" s="361"/>
      <x:c r="C102" s="362"/>
      <x:c r="D102" s="363" t="s">
        <x:v>76</x:v>
      </x:c>
      <x:c r="E102" s="363"/>
      <x:c r="F102" s="364"/>
      <x:c r="G102" s="370"/>
      <x:c r="H102" s="243"/>
      <x:c r="I102" s="245"/>
      <x:c r="J102" s="366">
        <x:v>1</x:v>
      </x:c>
      <x:c r="K102" s="371"/>
      <x:c r="L102" s="366"/>
      <x:c r="M102" s="368"/>
      <x:c r="N102" s="366"/>
      <x:c r="O102" s="369"/>
    </x:row>
    <x:row r="103" spans="1:15" s="359" customFormat="1" customHeight="1" outlineLevel="1">
      <x:c r="A103" s="360"/>
      <x:c r="B103" s="361"/>
      <x:c r="C103" s="362"/>
      <x:c r="D103" s="363" t="s">
        <x:v>65</x:v>
      </x:c>
      <x:c r="E103" s="363"/>
      <x:c r="F103" s="364"/>
      <x:c r="G103" s="370"/>
      <x:c r="H103" s="243"/>
      <x:c r="I103" s="245"/>
      <x:c r="J103" s="366">
        <x:v>1</x:v>
      </x:c>
      <x:c r="K103" s="371"/>
      <x:c r="L103" s="366"/>
      <x:c r="M103" s="368"/>
      <x:c r="N103" s="366"/>
      <x:c r="O103" s="369"/>
    </x:row>
    <x:row r="104" spans="1:15" s="359" customFormat="1" customHeight="1" outlineLevel="1">
      <x:c r="A104" s="360"/>
      <x:c r="B104" s="361"/>
      <x:c r="C104" s="362"/>
      <x:c r="D104" s="363" t="s">
        <x:v>887</x:v>
      </x:c>
      <x:c r="E104" s="363"/>
      <x:c r="F104" s="364"/>
      <x:c r="G104" s="370"/>
      <x:c r="H104" s="243"/>
      <x:c r="I104" s="245"/>
      <x:c r="J104" s="366">
        <x:v>1</x:v>
      </x:c>
      <x:c r="K104" s="371"/>
      <x:c r="L104" s="366"/>
      <x:c r="M104" s="368"/>
      <x:c r="N104" s="366"/>
      <x:c r="O104" s="369"/>
    </x:row>
    <x:row r="105" spans="1:15" s="359" customFormat="1" customHeight="1" outlineLevel="1">
      <x:c r="A105" s="360"/>
      <x:c r="B105" s="361"/>
      <x:c r="C105" s="362"/>
      <x:c r="D105" s="363" t="s">
        <x:v>66</x:v>
      </x:c>
      <x:c r="E105" s="363"/>
      <x:c r="F105" s="364"/>
      <x:c r="G105" s="370"/>
      <x:c r="H105" s="243"/>
      <x:c r="I105" s="245"/>
      <x:c r="J105" s="366">
        <x:v>3</x:v>
      </x:c>
      <x:c r="K105" s="371"/>
      <x:c r="L105" s="366"/>
      <x:c r="M105" s="368"/>
      <x:c r="N105" s="366"/>
      <x:c r="O105" s="369"/>
    </x:row>
    <x:row r="106" spans="1:15" s="359" customFormat="1" customHeight="1" outlineLevel="1">
      <x:c r="A106" s="360"/>
      <x:c r="B106" s="361"/>
      <x:c r="C106" s="362"/>
      <x:c r="D106" s="363" t="s">
        <x:v>69</x:v>
      </x:c>
      <x:c r="E106" s="363"/>
      <x:c r="F106" s="364"/>
      <x:c r="G106" s="370"/>
      <x:c r="H106" s="243"/>
      <x:c r="I106" s="245"/>
      <x:c r="J106" s="366">
        <x:v>3</x:v>
      </x:c>
      <x:c r="K106" s="371"/>
      <x:c r="L106" s="366"/>
      <x:c r="M106" s="368"/>
      <x:c r="N106" s="366"/>
      <x:c r="O106" s="369"/>
    </x:row>
    <x:row r="107" spans="1:15" s="359" customFormat="1" customHeight="1" outlineLevel="1">
      <x:c r="A107" s="360"/>
      <x:c r="B107" s="361"/>
      <x:c r="C107" s="362"/>
      <x:c r="D107" s="363" t="s">
        <x:v>70</x:v>
      </x:c>
      <x:c r="E107" s="363"/>
      <x:c r="F107" s="364"/>
      <x:c r="G107" s="370"/>
      <x:c r="H107" s="243"/>
      <x:c r="I107" s="245"/>
      <x:c r="J107" s="366">
        <x:v>1</x:v>
      </x:c>
      <x:c r="K107" s="372"/>
      <x:c r="L107" s="366"/>
      <x:c r="M107" s="368"/>
      <x:c r="N107" s="366"/>
      <x:c r="O107" s="369"/>
    </x:row>
    <x:row r="108" spans="1:15" s="17" customFormat="1" customHeight="1" outlineLevel="1">
      <x:c r="A108" s="22"/>
      <x:c r="B108" s="43"/>
      <x:c r="C108" s="47" t="s">
        <x:v>410</x:v>
      </x:c>
      <x:c r="D108" s="44"/>
      <x:c r="E108" s="44"/>
      <x:c r="F108" s="205"/>
      <x:c r="G108" s="46" t="s">
        <x:v>46</x:v>
      </x:c>
      <x:c r="H108" s="243"/>
      <x:c r="I108" s="245"/>
      <x:c r="J108" s="41"/>
      <x:c r="K108" s="233" t="s">
        <x:v>723</x:v>
      </x:c>
      <x:c r="L108" s="41"/>
      <x:c r="M108" s="42"/>
      <x:c r="N108" s="21"/>
      <x:c r="O108" s="149"/>
    </x:row>
    <x:row r="109" spans="1:15" s="17" customFormat="1" customHeight="1" outlineLevel="1">
      <x:c r="A109" s="22"/>
      <x:c r="B109" s="43"/>
      <x:c r="C109" s="47"/>
      <x:c r="D109" s="154" t="s">
        <x:v>411</x:v>
      </x:c>
      <x:c r="E109" s="44"/>
      <x:c r="F109" s="205"/>
      <x:c r="G109" s="180"/>
      <x:c r="H109" s="243"/>
      <x:c r="I109" s="245"/>
      <x:c r="J109" s="41">
        <x:v>1</x:v>
      </x:c>
      <x:c r="K109" s="234"/>
      <x:c r="L109" s="21"/>
      <x:c r="M109" s="42"/>
      <x:c r="N109" s="21"/>
      <x:c r="O109" s="149"/>
    </x:row>
    <x:row r="110" spans="1:15" s="17" customFormat="1" customHeight="1" outlineLevel="1">
      <x:c r="A110" s="22"/>
      <x:c r="B110" s="43"/>
      <x:c r="C110" s="47"/>
      <x:c r="D110" s="154" t="s">
        <x:v>50</x:v>
      </x:c>
      <x:c r="E110" s="44"/>
      <x:c r="F110" s="205"/>
      <x:c r="G110" s="180"/>
      <x:c r="H110" s="243"/>
      <x:c r="I110" s="245"/>
      <x:c r="J110" s="41">
        <x:v>1</x:v>
      </x:c>
      <x:c r="K110" s="234"/>
      <x:c r="L110" s="21"/>
      <x:c r="M110" s="42"/>
      <x:c r="N110" s="21"/>
      <x:c r="O110" s="149"/>
    </x:row>
    <x:row r="111" spans="1:15" s="17" customFormat="1" customHeight="1" outlineLevel="1">
      <x:c r="A111" s="22"/>
      <x:c r="B111" s="43"/>
      <x:c r="C111" s="47"/>
      <x:c r="D111" s="154" t="s">
        <x:v>412</x:v>
      </x:c>
      <x:c r="E111" s="44"/>
      <x:c r="F111" s="205"/>
      <x:c r="G111" s="180"/>
      <x:c r="H111" s="243"/>
      <x:c r="I111" s="245"/>
      <x:c r="J111" s="41">
        <x:v>2</x:v>
      </x:c>
      <x:c r="K111" s="234"/>
      <x:c r="L111" s="21"/>
      <x:c r="M111" s="42"/>
      <x:c r="N111" s="21"/>
      <x:c r="O111" s="149"/>
    </x:row>
    <x:row r="112" spans="1:15" s="17" customFormat="1" customHeight="1" outlineLevel="1">
      <x:c r="A112" s="22"/>
      <x:c r="B112" s="43"/>
      <x:c r="C112" s="47"/>
      <x:c r="D112" s="154" t="s">
        <x:v>386</x:v>
      </x:c>
      <x:c r="E112" s="44"/>
      <x:c r="F112" s="205"/>
      <x:c r="G112" s="180"/>
      <x:c r="H112" s="243"/>
      <x:c r="I112" s="245"/>
      <x:c r="J112" s="41">
        <x:v>1</x:v>
      </x:c>
      <x:c r="K112" s="234"/>
      <x:c r="L112" s="21"/>
      <x:c r="M112" s="42"/>
      <x:c r="N112" s="21"/>
      <x:c r="O112" s="149"/>
    </x:row>
    <x:row r="113" spans="1:15" s="17" customFormat="1" customHeight="1" outlineLevel="1">
      <x:c r="A113" s="22"/>
      <x:c r="B113" s="43"/>
      <x:c r="C113" s="47"/>
      <x:c r="D113" s="154" t="s">
        <x:v>71</x:v>
      </x:c>
      <x:c r="E113" s="44"/>
      <x:c r="F113" s="205"/>
      <x:c r="G113" s="180"/>
      <x:c r="H113" s="243"/>
      <x:c r="I113" s="245"/>
      <x:c r="J113" s="41">
        <x:v>4</x:v>
      </x:c>
      <x:c r="K113" s="234"/>
      <x:c r="L113" s="21"/>
      <x:c r="M113" s="42"/>
      <x:c r="N113" s="21"/>
      <x:c r="O113" s="149"/>
    </x:row>
    <x:row r="114" spans="1:15" s="17" customFormat="1" customHeight="1" outlineLevel="1">
      <x:c r="A114" s="22"/>
      <x:c r="B114" s="43"/>
      <x:c r="C114" s="47"/>
      <x:c r="D114" s="154" t="s">
        <x:v>388</x:v>
      </x:c>
      <x:c r="E114" s="44"/>
      <x:c r="F114" s="205"/>
      <x:c r="G114" s="180"/>
      <x:c r="H114" s="243"/>
      <x:c r="I114" s="245"/>
      <x:c r="J114" s="41">
        <x:v>2</x:v>
      </x:c>
      <x:c r="K114" s="234"/>
      <x:c r="L114" s="21"/>
      <x:c r="M114" s="42"/>
      <x:c r="N114" s="21"/>
      <x:c r="O114" s="149"/>
    </x:row>
    <x:row r="115" spans="1:15" s="17" customFormat="1" customHeight="1" outlineLevel="1">
      <x:c r="A115" s="22"/>
      <x:c r="B115" s="43"/>
      <x:c r="C115" s="47"/>
      <x:c r="D115" s="45" t="s">
        <x:v>72</x:v>
      </x:c>
      <x:c r="E115" s="44"/>
      <x:c r="F115" s="205"/>
      <x:c r="G115" s="180"/>
      <x:c r="H115" s="243"/>
      <x:c r="I115" s="245"/>
      <x:c r="J115" s="41">
        <x:v>1</x:v>
      </x:c>
      <x:c r="K115" s="235"/>
      <x:c r="L115" s="21"/>
      <x:c r="M115" s="42"/>
      <x:c r="N115" s="21"/>
      <x:c r="O115" s="149"/>
    </x:row>
    <x:row r="116" spans="1:15" s="17" customFormat="1" customHeight="1" outlineLevel="1">
      <x:c r="A116" s="22"/>
      <x:c r="B116" s="43"/>
      <x:c r="C116" s="44" t="s">
        <x:v>902</x:v>
      </x:c>
      <x:c r="D116" s="44"/>
      <x:c r="E116" s="44"/>
      <x:c r="F116" s="205"/>
      <x:c r="G116" s="46" t="s">
        <x:v>39</x:v>
      </x:c>
      <x:c r="H116" s="243"/>
      <x:c r="I116" s="245"/>
      <x:c r="J116" s="41"/>
      <x:c r="K116" s="41" t="s">
        <x:v>723</x:v>
      </x:c>
      <x:c r="L116" s="41"/>
      <x:c r="M116" s="42"/>
      <x:c r="N116" s="21"/>
      <x:c r="O116" s="149"/>
    </x:row>
    <x:row r="117" spans="1:15" s="17" customFormat="1" customHeight="1" outlineLevel="1">
      <x:c r="A117" s="22"/>
      <x:c r="B117" s="43"/>
      <x:c r="C117" s="44" t="s">
        <x:v>903</x:v>
      </x:c>
      <x:c r="D117" s="44"/>
      <x:c r="E117" s="44"/>
      <x:c r="F117" s="205"/>
      <x:c r="G117" s="46" t="s">
        <x:v>789</x:v>
      </x:c>
      <x:c r="H117" s="243"/>
      <x:c r="I117" s="245"/>
      <x:c r="J117" s="41"/>
      <x:c r="K117" s="41" t="s">
        <x:v>551</x:v>
      </x:c>
      <x:c r="L117" s="41"/>
      <x:c r="M117" s="42"/>
      <x:c r="N117" s="21"/>
      <x:c r="O117" s="149"/>
    </x:row>
    <x:row r="118" spans="1:15" s="17" customFormat="1" customHeight="1" outlineLevel="1">
      <x:c r="A118" s="22"/>
      <x:c r="B118" s="43"/>
      <x:c r="C118" s="231" t="s">
        <x:v>899</x:v>
      </x:c>
      <x:c r="D118" s="232"/>
      <x:c r="E118" s="228"/>
      <x:c r="F118" s="229"/>
      <x:c r="G118" s="46" t="s">
        <x:v>789</x:v>
      </x:c>
      <x:c r="H118" s="243"/>
      <x:c r="I118" s="245"/>
      <x:c r="J118" s="41"/>
      <x:c r="K118" s="41" t="s">
        <x:v>723</x:v>
      </x:c>
      <x:c r="L118" s="21"/>
      <x:c r="M118" s="42"/>
      <x:c r="N118" s="21"/>
      <x:c r="O118" s="149" t="s">
        <x:v>362</x:v>
      </x:c>
    </x:row>
    <x:row r="119" spans="1:15" s="359" customFormat="1" customHeight="1" outlineLevel="1">
      <x:c r="A119" s="360"/>
      <x:c r="B119" s="361"/>
      <x:c r="C119" s="362" t="s">
        <x:v>478</x:v>
      </x:c>
      <x:c r="D119" s="363"/>
      <x:c r="E119" s="363"/>
      <x:c r="F119" s="364"/>
      <x:c r="G119" s="365" t="s">
        <x:v>762</x:v>
      </x:c>
      <x:c r="H119" s="243"/>
      <x:c r="I119" s="245"/>
      <x:c r="J119" s="366"/>
      <x:c r="K119" s="367" t="s">
        <x:v>772</x:v>
      </x:c>
      <x:c r="L119" s="366"/>
      <x:c r="M119" s="368"/>
      <x:c r="N119" s="366"/>
      <x:c r="O119" s="369"/>
    </x:row>
    <x:row r="120" spans="1:15" s="359" customFormat="1" customHeight="1" outlineLevel="1">
      <x:c r="A120" s="360"/>
      <x:c r="B120" s="361"/>
      <x:c r="C120" s="362"/>
      <x:c r="D120" s="363" t="s">
        <x:v>675</x:v>
      </x:c>
      <x:c r="E120" s="363"/>
      <x:c r="F120" s="364"/>
      <x:c r="G120" s="370"/>
      <x:c r="H120" s="243"/>
      <x:c r="I120" s="245"/>
      <x:c r="J120" s="366">
        <x:v>1</x:v>
      </x:c>
      <x:c r="K120" s="371"/>
      <x:c r="L120" s="366"/>
      <x:c r="M120" s="368"/>
      <x:c r="N120" s="366"/>
      <x:c r="O120" s="369"/>
    </x:row>
    <x:row r="121" spans="1:15" s="359" customFormat="1" customHeight="1" outlineLevel="1">
      <x:c r="A121" s="360"/>
      <x:c r="B121" s="361"/>
      <x:c r="C121" s="362"/>
      <x:c r="D121" s="363" t="s">
        <x:v>75</x:v>
      </x:c>
      <x:c r="E121" s="363"/>
      <x:c r="F121" s="364"/>
      <x:c r="G121" s="370"/>
      <x:c r="H121" s="243"/>
      <x:c r="I121" s="245"/>
      <x:c r="J121" s="366">
        <x:v>1</x:v>
      </x:c>
      <x:c r="K121" s="371"/>
      <x:c r="L121" s="366"/>
      <x:c r="M121" s="368"/>
      <x:c r="N121" s="366"/>
      <x:c r="O121" s="369"/>
    </x:row>
    <x:row r="122" spans="1:15" s="359" customFormat="1" customHeight="1" outlineLevel="1">
      <x:c r="A122" s="360"/>
      <x:c r="B122" s="361"/>
      <x:c r="C122" s="362"/>
      <x:c r="D122" s="363" t="s">
        <x:v>51</x:v>
      </x:c>
      <x:c r="E122" s="363"/>
      <x:c r="F122" s="364"/>
      <x:c r="G122" s="365"/>
      <x:c r="H122" s="243"/>
      <x:c r="I122" s="245"/>
      <x:c r="J122" s="366">
        <x:v>1</x:v>
      </x:c>
      <x:c r="K122" s="371"/>
      <x:c r="L122" s="366"/>
      <x:c r="M122" s="368"/>
      <x:c r="N122" s="366"/>
      <x:c r="O122" s="369"/>
    </x:row>
    <x:row r="123" spans="1:15" s="359" customFormat="1" customHeight="1" outlineLevel="1">
      <x:c r="A123" s="360"/>
      <x:c r="B123" s="361"/>
      <x:c r="D123" s="363" t="s">
        <x:v>677</x:v>
      </x:c>
      <x:c r="E123" s="363"/>
      <x:c r="F123" s="364"/>
      <x:c r="G123" s="370"/>
      <x:c r="H123" s="243"/>
      <x:c r="I123" s="245"/>
      <x:c r="J123" s="366">
        <x:v>2</x:v>
      </x:c>
      <x:c r="K123" s="371"/>
      <x:c r="L123" s="366"/>
      <x:c r="M123" s="368"/>
      <x:c r="N123" s="366"/>
      <x:c r="O123" s="369"/>
    </x:row>
    <x:row r="124" spans="1:15" s="359" customFormat="1" customHeight="1" outlineLevel="1">
      <x:c r="A124" s="360"/>
      <x:c r="B124" s="361"/>
      <x:c r="C124" s="362" t="s">
        <x:v>486</x:v>
      </x:c>
      <x:c r="D124" s="363"/>
      <x:c r="E124" s="363"/>
      <x:c r="F124" s="364"/>
      <x:c r="G124" s="365" t="s">
        <x:v>774</x:v>
      </x:c>
      <x:c r="H124" s="243"/>
      <x:c r="I124" s="245"/>
      <x:c r="J124" s="366"/>
      <x:c r="K124" s="371"/>
      <x:c r="L124" s="366"/>
      <x:c r="M124" s="368"/>
      <x:c r="N124" s="366"/>
      <x:c r="O124" s="369"/>
    </x:row>
    <x:row r="125" spans="1:15" s="359" customFormat="1" customHeight="1" outlineLevel="1">
      <x:c r="A125" s="360"/>
      <x:c r="B125" s="361"/>
      <x:c r="C125" s="362"/>
      <x:c r="D125" s="363" t="s">
        <x:v>678</x:v>
      </x:c>
      <x:c r="E125" s="363"/>
      <x:c r="F125" s="364"/>
      <x:c r="G125" s="370"/>
      <x:c r="H125" s="243"/>
      <x:c r="I125" s="245"/>
      <x:c r="J125" s="366">
        <x:v>1</x:v>
      </x:c>
      <x:c r="K125" s="371"/>
      <x:c r="L125" s="366"/>
      <x:c r="M125" s="368"/>
      <x:c r="N125" s="366"/>
      <x:c r="O125" s="369"/>
    </x:row>
    <x:row r="126" spans="1:15" s="359" customFormat="1" customHeight="1" outlineLevel="1">
      <x:c r="A126" s="360"/>
      <x:c r="B126" s="361"/>
      <x:c r="C126" s="362"/>
      <x:c r="D126" s="363" t="s">
        <x:v>679</x:v>
      </x:c>
      <x:c r="E126" s="363"/>
      <x:c r="F126" s="364"/>
      <x:c r="G126" s="370"/>
      <x:c r="H126" s="243"/>
      <x:c r="I126" s="245"/>
      <x:c r="J126" s="366">
        <x:v>2</x:v>
      </x:c>
      <x:c r="K126" s="372"/>
      <x:c r="L126" s="366"/>
      <x:c r="M126" s="368"/>
      <x:c r="N126" s="366"/>
      <x:c r="O126" s="369"/>
    </x:row>
    <x:row r="127" spans="1:15" s="17" customFormat="1" customHeight="1" outlineLevel="1">
      <x:c r="A127" s="22"/>
      <x:c r="B127" s="43"/>
      <x:c r="C127" s="39" t="s">
        <x:v>901</x:v>
      </x:c>
      <x:c r="D127" s="44"/>
      <x:c r="E127" s="24"/>
      <x:c r="F127" s="204"/>
      <x:c r="G127" s="180" t="s">
        <x:v>783</x:v>
      </x:c>
      <x:c r="H127" s="243"/>
      <x:c r="I127" s="245"/>
      <x:c r="J127" s="41"/>
      <x:c r="K127" s="233" t="s">
        <x:v>723</x:v>
      </x:c>
      <x:c r="L127" s="41"/>
      <x:c r="M127" s="42"/>
      <x:c r="N127" s="21"/>
      <x:c r="O127" s="149"/>
    </x:row>
    <x:row r="128" spans="1:15" s="17" customFormat="1" customHeight="1" outlineLevel="1">
      <x:c r="A128" s="22"/>
      <x:c r="B128" s="43"/>
      <x:c r="C128" s="39"/>
      <x:c r="D128" s="44" t="s">
        <x:v>389</x:v>
      </x:c>
      <x:c r="E128" s="24"/>
      <x:c r="F128" s="204"/>
      <x:c r="G128" s="180"/>
      <x:c r="H128" s="243"/>
      <x:c r="I128" s="245"/>
      <x:c r="J128" s="155">
        <x:v>1</x:v>
      </x:c>
      <x:c r="K128" s="234"/>
      <x:c r="L128" s="21"/>
      <x:c r="M128" s="42"/>
      <x:c r="N128" s="21"/>
      <x:c r="O128" s="149"/>
    </x:row>
    <x:row r="129" spans="1:15" s="17" customFormat="1" customHeight="1" outlineLevel="1">
      <x:c r="A129" s="22"/>
      <x:c r="B129" s="43"/>
      <x:c r="C129" s="39"/>
      <x:c r="D129" s="44" t="s">
        <x:v>77</x:v>
      </x:c>
      <x:c r="E129" s="24"/>
      <x:c r="F129" s="204"/>
      <x:c r="G129" s="180"/>
      <x:c r="H129" s="243"/>
      <x:c r="I129" s="245"/>
      <x:c r="J129" s="155">
        <x:v>1</x:v>
      </x:c>
      <x:c r="K129" s="234"/>
      <x:c r="L129" s="21"/>
      <x:c r="M129" s="42"/>
      <x:c r="N129" s="21"/>
      <x:c r="O129" s="149"/>
    </x:row>
    <x:row r="130" spans="1:15" s="17" customFormat="1" customHeight="1" outlineLevel="1">
      <x:c r="A130" s="22"/>
      <x:c r="B130" s="43"/>
      <x:c r="C130" s="39"/>
      <x:c r="D130" s="44" t="s">
        <x:v>52</x:v>
      </x:c>
      <x:c r="E130" s="24"/>
      <x:c r="F130" s="204"/>
      <x:c r="G130" s="180"/>
      <x:c r="H130" s="243"/>
      <x:c r="I130" s="245"/>
      <x:c r="J130" s="155">
        <x:v>1</x:v>
      </x:c>
      <x:c r="K130" s="234"/>
      <x:c r="L130" s="21"/>
      <x:c r="M130" s="42"/>
      <x:c r="N130" s="21"/>
      <x:c r="O130" s="149"/>
    </x:row>
    <x:row r="131" spans="1:15" s="17" customFormat="1" customHeight="1" outlineLevel="1">
      <x:c r="A131" s="22"/>
      <x:c r="B131" s="43"/>
      <x:c r="C131" s="39"/>
      <x:c r="D131" s="44" t="s">
        <x:v>47</x:v>
      </x:c>
      <x:c r="E131" s="24"/>
      <x:c r="F131" s="204"/>
      <x:c r="G131" s="180"/>
      <x:c r="H131" s="243"/>
      <x:c r="I131" s="245"/>
      <x:c r="J131" s="155">
        <x:v>1</x:v>
      </x:c>
      <x:c r="K131" s="235"/>
      <x:c r="L131" s="21"/>
      <x:c r="M131" s="42"/>
      <x:c r="N131" s="21"/>
      <x:c r="O131" s="149"/>
    </x:row>
    <x:row r="132" spans="1:15" s="17" customFormat="1" customHeight="1" outlineLevel="1">
      <x:c r="A132" s="22"/>
      <x:c r="B132" s="43"/>
      <x:c r="C132" s="47" t="s">
        <x:v>480</x:v>
      </x:c>
      <x:c r="D132" s="44"/>
      <x:c r="E132" s="205"/>
      <x:c r="G132" s="180"/>
      <x:c r="H132" s="210"/>
      <x:c r="I132" s="156"/>
      <x:c r="J132" s="41"/>
      <x:c r="K132" s="233" t="s">
        <x:v>723</x:v>
      </x:c>
      <x:c r="L132" s="41"/>
      <x:c r="M132" s="42"/>
      <x:c r="N132" s="21"/>
      <x:c r="O132" s="149"/>
    </x:row>
    <x:row r="133" spans="1:15" s="17" customFormat="1" customHeight="1" outlineLevel="1">
      <x:c r="A133" s="22"/>
      <x:c r="B133" s="43"/>
      <x:c r="C133" s="47"/>
      <x:c r="D133" s="47" t="s">
        <x:v>54</x:v>
      </x:c>
      <x:c r="E133" s="44"/>
      <x:c r="F133" s="204"/>
      <x:c r="G133" s="180"/>
      <x:c r="H133" s="239" t="s">
        <x:v>255</x:v>
      </x:c>
      <x:c r="I133" s="264">
        <x:v>2</x:v>
      </x:c>
      <x:c r="J133" s="41"/>
      <x:c r="K133" s="234"/>
      <x:c r="L133" s="41"/>
      <x:c r="M133" s="42"/>
      <x:c r="N133" s="21"/>
      <x:c r="O133" s="149"/>
    </x:row>
    <x:row r="134" spans="1:15" s="17" customFormat="1" customHeight="1" outlineLevel="1">
      <x:c r="A134" s="22"/>
      <x:c r="B134" s="43"/>
      <x:c r="C134" s="47"/>
      <x:c r="D134" s="157"/>
      <x:c r="E134" s="157" t="s">
        <x:v>413</x:v>
      </x:c>
      <x:c r="F134" s="205"/>
      <x:c r="G134" s="180"/>
      <x:c r="H134" s="243"/>
      <x:c r="I134" s="245"/>
      <x:c r="J134" s="41">
        <x:v>1</x:v>
      </x:c>
      <x:c r="K134" s="234"/>
      <x:c r="L134" s="21"/>
      <x:c r="M134" s="42"/>
      <x:c r="N134" s="21"/>
      <x:c r="O134" s="149"/>
    </x:row>
    <x:row r="135" spans="1:15" s="17" customFormat="1" customHeight="1" outlineLevel="1">
      <x:c r="A135" s="22"/>
      <x:c r="B135" s="43"/>
      <x:c r="C135" s="47"/>
      <x:c r="D135" s="157"/>
      <x:c r="E135" s="157" t="s">
        <x:v>905</x:v>
      </x:c>
      <x:c r="F135" s="157"/>
      <x:c r="G135" s="180"/>
      <x:c r="H135" s="243"/>
      <x:c r="I135" s="245"/>
      <x:c r="J135" s="41">
        <x:v>2</x:v>
      </x:c>
      <x:c r="K135" s="234"/>
      <x:c r="L135" s="21"/>
      <x:c r="M135" s="42"/>
      <x:c r="N135" s="21"/>
      <x:c r="O135" s="149"/>
    </x:row>
    <x:row r="136" spans="1:15" s="17" customFormat="1" customHeight="1" outlineLevel="1">
      <x:c r="A136" s="22"/>
      <x:c r="B136" s="43"/>
      <x:c r="C136" s="47"/>
      <x:c r="D136" s="157"/>
      <x:c r="E136" s="157" t="s">
        <x:v>176</x:v>
      </x:c>
      <x:c r="F136" s="157"/>
      <x:c r="G136" s="180"/>
      <x:c r="H136" s="243"/>
      <x:c r="I136" s="246"/>
      <x:c r="J136" s="41">
        <x:v>8</x:v>
      </x:c>
      <x:c r="K136" s="234"/>
      <x:c r="L136" s="21"/>
      <x:c r="M136" s="42"/>
      <x:c r="N136" s="21"/>
      <x:c r="O136" s="149" t="s">
        <x:v>187</x:v>
      </x:c>
    </x:row>
    <x:row r="137" spans="1:15" s="17" customFormat="1" customHeight="1" outlineLevel="1">
      <x:c r="A137" s="22"/>
      <x:c r="B137" s="43"/>
      <x:c r="C137" s="47"/>
      <x:c r="D137" s="44" t="s">
        <x:v>55</x:v>
      </x:c>
      <x:c r="E137" s="44"/>
      <x:c r="F137" s="205"/>
      <x:c r="G137" s="180"/>
      <x:c r="H137" s="239" t="s">
        <x:v>233</x:v>
      </x:c>
      <x:c r="I137" s="264">
        <x:v>5</x:v>
      </x:c>
      <x:c r="J137" s="41"/>
      <x:c r="K137" s="234"/>
      <x:c r="L137" s="41"/>
      <x:c r="M137" s="42"/>
      <x:c r="N137" s="21"/>
      <x:c r="O137" s="149"/>
    </x:row>
    <x:row r="138" spans="1:15" s="17" customFormat="1" customHeight="1" outlineLevel="1">
      <x:c r="A138" s="22"/>
      <x:c r="B138" s="43"/>
      <x:c r="C138" s="47"/>
      <x:c r="D138" s="44"/>
      <x:c r="E138" s="44" t="s">
        <x:v>92</x:v>
      </x:c>
      <x:c r="F138" s="205"/>
      <x:c r="G138" s="180"/>
      <x:c r="H138" s="243"/>
      <x:c r="I138" s="245"/>
      <x:c r="J138" s="155">
        <x:v>1</x:v>
      </x:c>
      <x:c r="K138" s="234"/>
      <x:c r="L138" s="21"/>
      <x:c r="M138" s="42"/>
      <x:c r="N138" s="21"/>
      <x:c r="O138" s="149"/>
    </x:row>
    <x:row r="139" spans="1:15" s="17" customFormat="1" customHeight="1" outlineLevel="1">
      <x:c r="A139" s="22"/>
      <x:c r="B139" s="43"/>
      <x:c r="C139" s="47"/>
      <x:c r="D139" s="44"/>
      <x:c r="E139" s="44" t="s">
        <x:v>109</x:v>
      </x:c>
      <x:c r="F139" s="205"/>
      <x:c r="G139" s="41" t="s">
        <x:v>796</x:v>
      </x:c>
      <x:c r="H139" s="243"/>
      <x:c r="I139" s="245"/>
      <x:c r="J139" s="155">
        <x:v>1</x:v>
      </x:c>
      <x:c r="K139" s="234"/>
      <x:c r="L139" s="21"/>
      <x:c r="M139" s="42"/>
      <x:c r="N139" s="21"/>
      <x:c r="O139" s="149"/>
    </x:row>
    <x:row r="140" spans="1:15" s="17" customFormat="1" customHeight="1" outlineLevel="1">
      <x:c r="A140" s="22"/>
      <x:c r="B140" s="43"/>
      <x:c r="C140" s="47"/>
      <x:c r="D140" s="44"/>
      <x:c r="E140" s="44" t="s">
        <x:v>441</x:v>
      </x:c>
      <x:c r="F140" s="205"/>
      <x:c r="G140" s="180"/>
      <x:c r="H140" s="243"/>
      <x:c r="I140" s="245"/>
      <x:c r="J140" s="155">
        <x:v>1</x:v>
      </x:c>
      <x:c r="K140" s="234"/>
      <x:c r="L140" s="21"/>
      <x:c r="M140" s="42"/>
      <x:c r="N140" s="21"/>
      <x:c r="O140" s="149"/>
    </x:row>
    <x:row r="141" spans="1:15" s="17" customFormat="1" customHeight="1" outlineLevel="1">
      <x:c r="A141" s="22"/>
      <x:c r="B141" s="43"/>
      <x:c r="C141" s="47"/>
      <x:c r="D141" s="44"/>
      <x:c r="E141" s="44" t="s">
        <x:v>104</x:v>
      </x:c>
      <x:c r="F141" s="205"/>
      <x:c r="G141" s="180"/>
      <x:c r="H141" s="243"/>
      <x:c r="I141" s="245"/>
      <x:c r="J141" s="155">
        <x:v>1</x:v>
      </x:c>
      <x:c r="K141" s="234"/>
      <x:c r="L141" s="21"/>
      <x:c r="M141" s="42"/>
      <x:c r="N141" s="21"/>
      <x:c r="O141" s="149"/>
    </x:row>
    <x:row r="142" spans="1:15" s="17" customFormat="1" customHeight="1" outlineLevel="1">
      <x:c r="A142" s="22"/>
      <x:c r="B142" s="43"/>
      <x:c r="C142" s="47"/>
      <x:c r="D142" s="44" t="s">
        <x:v>101</x:v>
      </x:c>
      <x:c r="E142" s="44"/>
      <x:c r="F142" s="205"/>
      <x:c r="G142" s="180"/>
      <x:c r="H142" s="243"/>
      <x:c r="I142" s="245"/>
      <x:c r="J142" s="41"/>
      <x:c r="K142" s="234"/>
      <x:c r="L142" s="41"/>
      <x:c r="M142" s="42"/>
      <x:c r="N142" s="21"/>
      <x:c r="O142" s="149"/>
    </x:row>
    <x:row r="143" spans="1:15" s="17" customFormat="1" customHeight="1" outlineLevel="1">
      <x:c r="A143" s="22"/>
      <x:c r="B143" s="43"/>
      <x:c r="C143" s="47"/>
      <x:c r="D143" s="44"/>
      <x:c r="E143" s="44" t="s">
        <x:v>80</x:v>
      </x:c>
      <x:c r="F143" s="205"/>
      <x:c r="G143" s="180"/>
      <x:c r="H143" s="243"/>
      <x:c r="I143" s="245"/>
      <x:c r="J143" s="155">
        <x:v>1</x:v>
      </x:c>
      <x:c r="K143" s="234"/>
      <x:c r="L143" s="21"/>
      <x:c r="M143" s="42"/>
      <x:c r="N143" s="21"/>
      <x:c r="O143" s="149"/>
    </x:row>
    <x:row r="144" spans="1:15" s="17" customFormat="1" customHeight="1" outlineLevel="1">
      <x:c r="A144" s="22"/>
      <x:c r="B144" s="43"/>
      <x:c r="C144" s="47"/>
      <x:c r="D144" s="44"/>
      <x:c r="E144" s="44" t="s">
        <x:v>108</x:v>
      </x:c>
      <x:c r="F144" s="205"/>
      <x:c r="G144" s="180"/>
      <x:c r="H144" s="243"/>
      <x:c r="I144" s="245"/>
      <x:c r="J144" s="155">
        <x:v>1</x:v>
      </x:c>
      <x:c r="K144" s="234"/>
      <x:c r="L144" s="21"/>
      <x:c r="M144" s="42"/>
      <x:c r="N144" s="21"/>
      <x:c r="O144" s="149"/>
    </x:row>
    <x:row r="145" spans="1:15" s="17" customFormat="1" customHeight="1" outlineLevel="1">
      <x:c r="A145" s="22"/>
      <x:c r="B145" s="43"/>
      <x:c r="C145" s="47"/>
      <x:c r="D145" s="44"/>
      <x:c r="E145" s="44" t="s">
        <x:v>102</x:v>
      </x:c>
      <x:c r="F145" s="205"/>
      <x:c r="G145" s="180"/>
      <x:c r="H145" s="243"/>
      <x:c r="I145" s="245"/>
      <x:c r="J145" s="41">
        <x:v>2</x:v>
      </x:c>
      <x:c r="K145" s="234"/>
      <x:c r="L145" s="21"/>
      <x:c r="M145" s="42"/>
      <x:c r="N145" s="21"/>
      <x:c r="O145" s="149"/>
    </x:row>
    <x:row r="146" spans="1:15" s="17" customFormat="1" customHeight="1" outlineLevel="1">
      <x:c r="A146" s="22"/>
      <x:c r="B146" s="43"/>
      <x:c r="C146" s="47"/>
      <x:c r="D146" s="44"/>
      <x:c r="E146" s="44" t="s">
        <x:v>81</x:v>
      </x:c>
      <x:c r="F146" s="205"/>
      <x:c r="G146" s="180"/>
      <x:c r="H146" s="243"/>
      <x:c r="I146" s="245"/>
      <x:c r="J146" s="155">
        <x:v>1</x:v>
      </x:c>
      <x:c r="K146" s="234"/>
      <x:c r="L146" s="21"/>
      <x:c r="M146" s="42"/>
      <x:c r="N146" s="21"/>
      <x:c r="O146" s="149"/>
    </x:row>
    <x:row r="147" spans="1:15" s="17" customFormat="1" customHeight="1" outlineLevel="1">
      <x:c r="A147" s="22"/>
      <x:c r="B147" s="43"/>
      <x:c r="C147" s="47"/>
      <x:c r="D147" s="44"/>
      <x:c r="E147" s="44" t="s">
        <x:v>414</x:v>
      </x:c>
      <x:c r="F147" s="205"/>
      <x:c r="G147" s="180"/>
      <x:c r="H147" s="243"/>
      <x:c r="I147" s="245"/>
      <x:c r="J147" s="155">
        <x:v>1</x:v>
      </x:c>
      <x:c r="K147" s="234"/>
      <x:c r="L147" s="21"/>
      <x:c r="M147" s="42"/>
      <x:c r="N147" s="21"/>
      <x:c r="O147" s="149"/>
    </x:row>
    <x:row r="148" spans="1:15" s="17" customFormat="1" customHeight="1" outlineLevel="1">
      <x:c r="A148" s="22"/>
      <x:c r="B148" s="43"/>
      <x:c r="C148" s="47"/>
      <x:c r="D148" s="44"/>
      <x:c r="E148" s="44" t="s">
        <x:v>427</x:v>
      </x:c>
      <x:c r="F148" s="205"/>
      <x:c r="G148" s="180"/>
      <x:c r="H148" s="243"/>
      <x:c r="I148" s="245"/>
      <x:c r="J148" s="155">
        <x:v>4</x:v>
      </x:c>
      <x:c r="K148" s="234"/>
      <x:c r="L148" s="21"/>
      <x:c r="M148" s="42"/>
      <x:c r="N148" s="21"/>
      <x:c r="O148" s="149"/>
    </x:row>
    <x:row r="149" spans="1:15" s="17" customFormat="1" customHeight="1" outlineLevel="1">
      <x:c r="A149" s="22"/>
      <x:c r="B149" s="43"/>
      <x:c r="C149" s="47"/>
      <x:c r="D149" s="44" t="s">
        <x:v>390</x:v>
      </x:c>
      <x:c r="E149" s="44"/>
      <x:c r="F149" s="205"/>
      <x:c r="G149" s="180"/>
      <x:c r="H149" s="243"/>
      <x:c r="I149" s="245"/>
      <x:c r="J149" s="41"/>
      <x:c r="K149" s="234"/>
      <x:c r="L149" s="41"/>
      <x:c r="M149" s="42"/>
      <x:c r="N149" s="21"/>
      <x:c r="O149" s="149"/>
    </x:row>
    <x:row r="150" spans="1:15" s="17" customFormat="1" customHeight="1" outlineLevel="1">
      <x:c r="A150" s="22"/>
      <x:c r="B150" s="43"/>
      <x:c r="C150" s="47"/>
      <x:c r="D150" s="44"/>
      <x:c r="E150" s="44" t="s">
        <x:v>103</x:v>
      </x:c>
      <x:c r="F150" s="205"/>
      <x:c r="G150" s="180"/>
      <x:c r="H150" s="243"/>
      <x:c r="I150" s="245"/>
      <x:c r="J150" s="41">
        <x:v>1</x:v>
      </x:c>
      <x:c r="K150" s="234"/>
      <x:c r="L150" s="41"/>
      <x:c r="M150" s="42"/>
      <x:c r="N150" s="21"/>
      <x:c r="O150" s="149"/>
    </x:row>
    <x:row r="151" spans="1:15" s="17" customFormat="1" customHeight="1" outlineLevel="1">
      <x:c r="A151" s="22"/>
      <x:c r="B151" s="43"/>
      <x:c r="C151" s="47"/>
      <x:c r="D151" s="44"/>
      <x:c r="E151" s="44" t="s">
        <x:v>886</x:v>
      </x:c>
      <x:c r="F151" s="205"/>
      <x:c r="G151" s="180"/>
      <x:c r="H151" s="243"/>
      <x:c r="I151" s="245"/>
      <x:c r="J151" s="41">
        <x:v>1</x:v>
      </x:c>
      <x:c r="K151" s="234"/>
      <x:c r="L151" s="21"/>
      <x:c r="M151" s="42"/>
      <x:c r="N151" s="21"/>
      <x:c r="O151" s="149"/>
    </x:row>
    <x:row r="152" spans="1:15" s="17" customFormat="1" customHeight="1" outlineLevel="1">
      <x:c r="A152" s="22"/>
      <x:c r="B152" s="43"/>
      <x:c r="C152" s="47"/>
      <x:c r="D152" s="44"/>
      <x:c r="E152" s="44" t="s">
        <x:v>428</x:v>
      </x:c>
      <x:c r="F152" s="205"/>
      <x:c r="G152" s="180"/>
      <x:c r="H152" s="243"/>
      <x:c r="I152" s="245"/>
      <x:c r="J152" s="41">
        <x:v>1</x:v>
      </x:c>
      <x:c r="K152" s="234"/>
      <x:c r="L152" s="21"/>
      <x:c r="M152" s="42"/>
      <x:c r="N152" s="21"/>
      <x:c r="O152" s="149"/>
    </x:row>
    <x:row r="153" spans="1:15" s="17" customFormat="1" customHeight="1" outlineLevel="1">
      <x:c r="A153" s="22"/>
      <x:c r="B153" s="43"/>
      <x:c r="C153" s="47"/>
      <x:c r="D153" s="44"/>
      <x:c r="E153" s="228" t="s">
        <x:v>485</x:v>
      </x:c>
      <x:c r="F153" s="229"/>
      <x:c r="G153" s="180"/>
      <x:c r="H153" s="243"/>
      <x:c r="I153" s="245"/>
      <x:c r="J153" s="41">
        <x:v>1</x:v>
      </x:c>
      <x:c r="K153" s="234"/>
      <x:c r="L153" s="21"/>
      <x:c r="M153" s="42"/>
      <x:c r="N153" s="21"/>
      <x:c r="O153" s="149"/>
    </x:row>
    <x:row r="154" spans="1:15" s="359" customFormat="1" customHeight="1" outlineLevel="1">
      <x:c r="A154" s="360"/>
      <x:c r="B154" s="361"/>
      <x:c r="C154" s="373" t="s">
        <x:v>357</x:v>
      </x:c>
      <x:c r="D154" s="373"/>
      <x:c r="E154" s="374"/>
      <x:c r="F154" s="374"/>
      <x:c r="G154" s="366" t="s">
        <x:v>788</x:v>
      </x:c>
      <x:c r="H154" s="375" t="s">
        <x:v>230</x:v>
      </x:c>
      <x:c r="I154" s="376">
        <x:v>3</x:v>
      </x:c>
      <x:c r="J154" s="366"/>
      <x:c r="K154" s="367" t="s">
        <x:v>772</x:v>
      </x:c>
      <x:c r="L154" s="366"/>
      <x:c r="M154" s="368"/>
      <x:c r="N154" s="366"/>
      <x:c r="O154" s="369"/>
    </x:row>
    <x:row r="155" spans="1:15" s="359" customFormat="1" customHeight="1" outlineLevel="1">
      <x:c r="A155" s="360"/>
      <x:c r="B155" s="361"/>
      <x:c r="C155" s="373"/>
      <x:c r="D155" s="373" t="s">
        <x:v>122</x:v>
      </x:c>
      <x:c r="E155" s="374"/>
      <x:c r="F155" s="374"/>
      <x:c r="G155" s="366"/>
      <x:c r="H155" s="377"/>
      <x:c r="I155" s="376"/>
      <x:c r="J155" s="366">
        <x:v>2</x:v>
      </x:c>
      <x:c r="K155" s="371"/>
      <x:c r="L155" s="366"/>
      <x:c r="M155" s="368"/>
      <x:c r="N155" s="366"/>
      <x:c r="O155" s="369"/>
    </x:row>
    <x:row r="156" spans="1:15" s="359" customFormat="1" customHeight="1" outlineLevel="1">
      <x:c r="A156" s="360"/>
      <x:c r="B156" s="361"/>
      <x:c r="C156" s="373"/>
      <x:c r="D156" s="373" t="s">
        <x:v>125</x:v>
      </x:c>
      <x:c r="E156" s="374"/>
      <x:c r="F156" s="374"/>
      <x:c r="G156" s="366"/>
      <x:c r="H156" s="377"/>
      <x:c r="I156" s="376"/>
      <x:c r="J156" s="366">
        <x:v>1</x:v>
      </x:c>
      <x:c r="K156" s="371"/>
      <x:c r="L156" s="366"/>
      <x:c r="M156" s="368"/>
      <x:c r="N156" s="366"/>
      <x:c r="O156" s="369"/>
    </x:row>
    <x:row r="157" spans="1:15" s="359" customFormat="1" customHeight="1" outlineLevel="1">
      <x:c r="A157" s="360"/>
      <x:c r="B157" s="361"/>
      <x:c r="C157" s="373"/>
      <x:c r="D157" s="373" t="s">
        <x:v>868</x:v>
      </x:c>
      <x:c r="E157" s="374"/>
      <x:c r="F157" s="374"/>
      <x:c r="G157" s="366" t="s">
        <x:v>406</x:v>
      </x:c>
      <x:c r="H157" s="377"/>
      <x:c r="I157" s="376"/>
      <x:c r="J157" s="366">
        <x:v>3</x:v>
      </x:c>
      <x:c r="K157" s="371"/>
      <x:c r="L157" s="366"/>
      <x:c r="M157" s="368"/>
      <x:c r="N157" s="366"/>
      <x:c r="O157" s="369"/>
    </x:row>
    <x:row r="158" spans="1:15" s="359" customFormat="1" customHeight="1" outlineLevel="1">
      <x:c r="A158" s="360"/>
      <x:c r="B158" s="361"/>
      <x:c r="C158" s="373"/>
      <x:c r="D158" s="373" t="s">
        <x:v>137</x:v>
      </x:c>
      <x:c r="E158" s="374"/>
      <x:c r="F158" s="374"/>
      <x:c r="G158" s="366" t="s">
        <x:v>776</x:v>
      </x:c>
      <x:c r="H158" s="377"/>
      <x:c r="I158" s="376"/>
      <x:c r="J158" s="366">
        <x:v>2</x:v>
      </x:c>
      <x:c r="K158" s="371"/>
      <x:c r="L158" s="366"/>
      <x:c r="M158" s="368"/>
      <x:c r="N158" s="366"/>
      <x:c r="O158" s="369"/>
    </x:row>
    <x:row r="159" spans="1:15" s="359" customFormat="1" customHeight="1" outlineLevel="1">
      <x:c r="A159" s="360"/>
      <x:c r="B159" s="361"/>
      <x:c r="C159" s="373"/>
      <x:c r="D159" s="373" t="s">
        <x:v>131</x:v>
      </x:c>
      <x:c r="E159" s="374"/>
      <x:c r="G159" s="366" t="s">
        <x:v>776</x:v>
      </x:c>
      <x:c r="H159" s="377"/>
      <x:c r="I159" s="376"/>
      <x:c r="J159" s="366">
        <x:v>1</x:v>
      </x:c>
      <x:c r="K159" s="371"/>
      <x:c r="L159" s="366"/>
      <x:c r="M159" s="368"/>
      <x:c r="N159" s="366"/>
      <x:c r="O159" s="369"/>
    </x:row>
    <x:row r="160" spans="1:15" s="359" customFormat="1" customHeight="1" outlineLevel="1">
      <x:c r="A160" s="360"/>
      <x:c r="B160" s="361"/>
      <x:c r="C160" s="373"/>
      <x:c r="D160" s="373" t="s">
        <x:v>425</x:v>
      </x:c>
      <x:c r="E160" s="374"/>
      <x:c r="F160" s="374"/>
      <x:c r="G160" s="366" t="s">
        <x:v>776</x:v>
      </x:c>
      <x:c r="H160" s="378"/>
      <x:c r="I160" s="379"/>
      <x:c r="J160" s="366">
        <x:v>1</x:v>
      </x:c>
      <x:c r="K160" s="372"/>
      <x:c r="L160" s="366"/>
      <x:c r="M160" s="368"/>
      <x:c r="N160" s="366"/>
      <x:c r="O160" s="369"/>
    </x:row>
    <x:row r="161" spans="1:15" s="17" customFormat="1" customHeight="1" outlineLevel="1">
      <x:c r="A161" s="22"/>
      <x:c r="B161" s="43" t="s">
        <x:v>620</x:v>
      </x:c>
      <x:c r="C161" s="47"/>
      <x:c r="D161" s="44"/>
      <x:c r="E161" s="44"/>
      <x:c r="F161" s="205"/>
      <x:c r="G161" s="258" t="s">
        <x:v>43</x:v>
      </x:c>
      <x:c r="H161" s="239" t="s">
        <x:v>218</x:v>
      </x:c>
      <x:c r="I161" s="264">
        <x:v>5</x:v>
      </x:c>
      <x:c r="J161" s="41"/>
      <x:c r="K161" s="233" t="s">
        <x:v>723</x:v>
      </x:c>
      <x:c r="L161" s="41"/>
      <x:c r="M161" s="42"/>
      <x:c r="N161" s="21"/>
      <x:c r="O161" s="53" t="s">
        <x:v>276</x:v>
      </x:c>
    </x:row>
    <x:row r="162" spans="1:15" s="17" customFormat="1" customHeight="1" outlineLevel="1">
      <x:c r="A162" s="22"/>
      <x:c r="B162" s="43"/>
      <x:c r="C162" s="44" t="s">
        <x:v>308</x:v>
      </x:c>
      <x:c r="D162" s="44"/>
      <x:c r="E162" s="44"/>
      <x:c r="F162" s="205"/>
      <x:c r="G162" s="259"/>
      <x:c r="H162" s="243"/>
      <x:c r="I162" s="245"/>
      <x:c r="J162" s="41">
        <x:v>1</x:v>
      </x:c>
      <x:c r="K162" s="234"/>
      <x:c r="L162" s="41"/>
      <x:c r="M162" s="42"/>
      <x:c r="N162" s="21"/>
      <x:c r="O162" s="149"/>
    </x:row>
    <x:row r="163" spans="1:15" s="17" customFormat="1" customHeight="1" outlineLevel="1">
      <x:c r="A163" s="22"/>
      <x:c r="B163" s="43"/>
      <x:c r="C163" s="44" t="s">
        <x:v>100</x:v>
      </x:c>
      <x:c r="D163" s="44"/>
      <x:c r="E163" s="44"/>
      <x:c r="F163" s="205"/>
      <x:c r="G163" s="259"/>
      <x:c r="H163" s="243"/>
      <x:c r="I163" s="245"/>
      <x:c r="J163" s="41">
        <x:v>1</x:v>
      </x:c>
      <x:c r="K163" s="234"/>
      <x:c r="L163" s="41"/>
      <x:c r="M163" s="42"/>
      <x:c r="N163" s="21"/>
      <x:c r="O163" s="149"/>
    </x:row>
    <x:row r="164" spans="1:15" s="17" customFormat="1" customHeight="1" outlineLevel="1">
      <x:c r="A164" s="22"/>
      <x:c r="B164" s="43"/>
      <x:c r="C164" s="44" t="s">
        <x:v>110</x:v>
      </x:c>
      <x:c r="D164" s="44"/>
      <x:c r="E164" s="44"/>
      <x:c r="F164" s="205"/>
      <x:c r="G164" s="259"/>
      <x:c r="H164" s="243"/>
      <x:c r="I164" s="245"/>
      <x:c r="J164" s="41">
        <x:v>1</x:v>
      </x:c>
      <x:c r="K164" s="234"/>
      <x:c r="L164" s="41"/>
      <x:c r="M164" s="42"/>
      <x:c r="N164" s="21"/>
      <x:c r="O164" s="149"/>
    </x:row>
    <x:row r="165" spans="1:15" s="17" customFormat="1" customHeight="1" outlineLevel="1">
      <x:c r="A165" s="22"/>
      <x:c r="B165" s="43"/>
      <x:c r="C165" s="44" t="s">
        <x:v>88</x:v>
      </x:c>
      <x:c r="D165" s="44"/>
      <x:c r="E165" s="44"/>
      <x:c r="F165" s="205"/>
      <x:c r="G165" s="259"/>
      <x:c r="H165" s="243"/>
      <x:c r="I165" s="245"/>
      <x:c r="J165" s="41">
        <x:v>1</x:v>
      </x:c>
      <x:c r="K165" s="234"/>
      <x:c r="L165" s="41"/>
      <x:c r="M165" s="42"/>
      <x:c r="N165" s="21"/>
      <x:c r="O165" s="149"/>
    </x:row>
    <x:row r="166" spans="1:15" s="17" customFormat="1" customHeight="1" outlineLevel="1">
      <x:c r="A166" s="22"/>
      <x:c r="B166" s="43"/>
      <x:c r="C166" s="47" t="s">
        <x:v>105</x:v>
      </x:c>
      <x:c r="D166" s="44"/>
      <x:c r="E166" s="44"/>
      <x:c r="F166" s="205"/>
      <x:c r="G166" s="259"/>
      <x:c r="H166" s="243"/>
      <x:c r="I166" s="245"/>
      <x:c r="J166" s="41"/>
      <x:c r="K166" s="234"/>
      <x:c r="L166" s="41"/>
      <x:c r="M166" s="42"/>
      <x:c r="N166" s="21"/>
      <x:c r="O166" s="149"/>
    </x:row>
    <x:row r="167" spans="1:15" s="17" customFormat="1" customHeight="1" outlineLevel="1">
      <x:c r="A167" s="22"/>
      <x:c r="B167" s="43"/>
      <x:c r="C167" s="47"/>
      <x:c r="D167" s="44" t="s">
        <x:v>303</x:v>
      </x:c>
      <x:c r="E167" s="44"/>
      <x:c r="F167" s="205"/>
      <x:c r="G167" s="259"/>
      <x:c r="H167" s="243"/>
      <x:c r="I167" s="245"/>
      <x:c r="J167" s="41">
        <x:v>1</x:v>
      </x:c>
      <x:c r="K167" s="234"/>
      <x:c r="L167" s="41"/>
      <x:c r="M167" s="42"/>
      <x:c r="N167" s="21"/>
      <x:c r="O167" s="149"/>
    </x:row>
    <x:row r="168" spans="1:15" s="17" customFormat="1" customHeight="1" outlineLevel="1">
      <x:c r="A168" s="22"/>
      <x:c r="B168" s="43"/>
      <x:c r="C168" s="47"/>
      <x:c r="D168" s="44" t="s">
        <x:v>305</x:v>
      </x:c>
      <x:c r="E168" s="44"/>
      <x:c r="F168" s="205"/>
      <x:c r="G168" s="259"/>
      <x:c r="H168" s="243"/>
      <x:c r="I168" s="245"/>
      <x:c r="J168" s="41">
        <x:v>1</x:v>
      </x:c>
      <x:c r="K168" s="234"/>
      <x:c r="L168" s="41"/>
      <x:c r="M168" s="42"/>
      <x:c r="N168" s="21"/>
      <x:c r="O168" s="149"/>
    </x:row>
    <x:row r="169" spans="1:15" s="17" customFormat="1" customHeight="1" outlineLevel="1">
      <x:c r="A169" s="22"/>
      <x:c r="B169" s="43"/>
      <x:c r="C169" s="47"/>
      <x:c r="D169" s="44" t="s">
        <x:v>310</x:v>
      </x:c>
      <x:c r="E169" s="44"/>
      <x:c r="F169" s="205"/>
      <x:c r="G169" s="259"/>
      <x:c r="H169" s="243"/>
      <x:c r="I169" s="245"/>
      <x:c r="J169" s="41">
        <x:v>1</x:v>
      </x:c>
      <x:c r="K169" s="234"/>
      <x:c r="L169" s="41"/>
      <x:c r="M169" s="42"/>
      <x:c r="N169" s="21"/>
      <x:c r="O169" s="149"/>
    </x:row>
    <x:row r="170" spans="1:15" s="17" customFormat="1" customHeight="1" outlineLevel="1">
      <x:c r="A170" s="22"/>
      <x:c r="B170" s="43"/>
      <x:c r="C170" s="47"/>
      <x:c r="D170" s="44" t="s">
        <x:v>84</x:v>
      </x:c>
      <x:c r="E170" s="44"/>
      <x:c r="F170" s="205"/>
      <x:c r="G170" s="259"/>
      <x:c r="H170" s="243"/>
      <x:c r="I170" s="245"/>
      <x:c r="J170" s="41">
        <x:v>1</x:v>
      </x:c>
      <x:c r="K170" s="234"/>
      <x:c r="L170" s="41"/>
      <x:c r="M170" s="42"/>
      <x:c r="N170" s="21"/>
      <x:c r="O170" s="149"/>
    </x:row>
    <x:row r="171" spans="1:15" s="17" customFormat="1" customHeight="1" outlineLevel="1">
      <x:c r="A171" s="22"/>
      <x:c r="B171" s="43"/>
      <x:c r="C171" s="47"/>
      <x:c r="D171" s="44" t="s">
        <x:v>309</x:v>
      </x:c>
      <x:c r="E171" s="44"/>
      <x:c r="F171" s="205"/>
      <x:c r="G171" s="259"/>
      <x:c r="H171" s="243"/>
      <x:c r="I171" s="245"/>
      <x:c r="J171" s="41">
        <x:v>1</x:v>
      </x:c>
      <x:c r="K171" s="234"/>
      <x:c r="L171" s="41"/>
      <x:c r="M171" s="42"/>
      <x:c r="N171" s="21"/>
      <x:c r="O171" s="149"/>
    </x:row>
    <x:row r="172" spans="1:15" s="17" customFormat="1" customHeight="1" outlineLevel="1">
      <x:c r="A172" s="22"/>
      <x:c r="B172" s="43"/>
      <x:c r="C172" s="47" t="s">
        <x:v>106</x:v>
      </x:c>
      <x:c r="D172" s="44"/>
      <x:c r="E172" s="44"/>
      <x:c r="F172" s="205"/>
      <x:c r="G172" s="259"/>
      <x:c r="H172" s="243"/>
      <x:c r="I172" s="245"/>
      <x:c r="J172" s="41">
        <x:v>1</x:v>
      </x:c>
      <x:c r="K172" s="234"/>
      <x:c r="L172" s="41"/>
      <x:c r="M172" s="42"/>
      <x:c r="N172" s="21"/>
      <x:c r="O172" s="149"/>
    </x:row>
    <x:row r="173" spans="1:15" s="17" customFormat="1" customHeight="1" outlineLevel="1">
      <x:c r="A173" s="22"/>
      <x:c r="B173" s="43"/>
      <x:c r="C173" s="47" t="s">
        <x:v>94</x:v>
      </x:c>
      <x:c r="D173" s="44"/>
      <x:c r="E173" s="44"/>
      <x:c r="F173" s="205"/>
      <x:c r="G173" s="259"/>
      <x:c r="H173" s="243"/>
      <x:c r="I173" s="245"/>
      <x:c r="J173" s="41">
        <x:v>1</x:v>
      </x:c>
      <x:c r="K173" s="234"/>
      <x:c r="L173" s="41"/>
      <x:c r="M173" s="42"/>
      <x:c r="N173" s="21"/>
      <x:c r="O173" s="149"/>
    </x:row>
    <x:row r="174" spans="1:15" s="17" customFormat="1" customHeight="1" outlineLevel="1">
      <x:c r="A174" s="22"/>
      <x:c r="B174" s="43"/>
      <x:c r="C174" s="47" t="s">
        <x:v>429</x:v>
      </x:c>
      <x:c r="D174" s="44"/>
      <x:c r="E174" s="44"/>
      <x:c r="F174" s="205"/>
      <x:c r="G174" s="259"/>
      <x:c r="H174" s="243"/>
      <x:c r="I174" s="245"/>
      <x:c r="J174" s="41">
        <x:v>1</x:v>
      </x:c>
      <x:c r="K174" s="234"/>
      <x:c r="L174" s="41"/>
      <x:c r="M174" s="42"/>
      <x:c r="N174" s="21"/>
      <x:c r="O174" s="149"/>
    </x:row>
    <x:row r="175" spans="1:15" s="17" customFormat="1" customHeight="1" outlineLevel="1">
      <x:c r="A175" s="22"/>
      <x:c r="B175" s="43"/>
      <x:c r="C175" s="47" t="s">
        <x:v>430</x:v>
      </x:c>
      <x:c r="D175" s="44"/>
      <x:c r="E175" s="44"/>
      <x:c r="F175" s="205"/>
      <x:c r="G175" s="259"/>
      <x:c r="H175" s="243"/>
      <x:c r="I175" s="245"/>
      <x:c r="J175" s="41"/>
      <x:c r="K175" s="234"/>
      <x:c r="L175" s="41"/>
      <x:c r="M175" s="42"/>
      <x:c r="N175" s="21"/>
      <x:c r="O175" s="149"/>
    </x:row>
    <x:row r="176" spans="1:15" s="17" customFormat="1" customHeight="1" outlineLevel="1">
      <x:c r="A176" s="22"/>
      <x:c r="B176" s="43"/>
      <x:c r="C176" s="47"/>
      <x:c r="D176" s="44" t="s">
        <x:v>300</x:v>
      </x:c>
      <x:c r="E176" s="44"/>
      <x:c r="F176" s="205"/>
      <x:c r="G176" s="259"/>
      <x:c r="H176" s="243"/>
      <x:c r="I176" s="245"/>
      <x:c r="J176" s="41">
        <x:v>1</x:v>
      </x:c>
      <x:c r="K176" s="234"/>
      <x:c r="L176" s="41"/>
      <x:c r="M176" s="42"/>
      <x:c r="N176" s="21"/>
      <x:c r="O176" s="149"/>
    </x:row>
    <x:row r="177" spans="1:15" s="17" customFormat="1" customHeight="1" outlineLevel="1">
      <x:c r="A177" s="22"/>
      <x:c r="B177" s="43"/>
      <x:c r="C177" s="47"/>
      <x:c r="D177" s="44" t="s">
        <x:v>302</x:v>
      </x:c>
      <x:c r="E177" s="44"/>
      <x:c r="F177" s="205"/>
      <x:c r="G177" s="259"/>
      <x:c r="H177" s="243"/>
      <x:c r="I177" s="245"/>
      <x:c r="J177" s="41">
        <x:v>1</x:v>
      </x:c>
      <x:c r="K177" s="234"/>
      <x:c r="L177" s="41"/>
      <x:c r="M177" s="42"/>
      <x:c r="N177" s="21"/>
      <x:c r="O177" s="149"/>
    </x:row>
    <x:row r="178" spans="1:15" s="17" customFormat="1" customHeight="1" outlineLevel="1">
      <x:c r="A178" s="22"/>
      <x:c r="B178" s="43"/>
      <x:c r="C178" s="47"/>
      <x:c r="D178" s="44" t="s">
        <x:v>301</x:v>
      </x:c>
      <x:c r="E178" s="44"/>
      <x:c r="F178" s="205"/>
      <x:c r="G178" s="259"/>
      <x:c r="H178" s="243"/>
      <x:c r="I178" s="245"/>
      <x:c r="J178" s="41">
        <x:v>1</x:v>
      </x:c>
      <x:c r="K178" s="234"/>
      <x:c r="L178" s="41"/>
      <x:c r="M178" s="42"/>
      <x:c r="N178" s="21"/>
      <x:c r="O178" s="149"/>
    </x:row>
    <x:row r="179" spans="1:15" s="17" customFormat="1" customHeight="1" outlineLevel="1">
      <x:c r="A179" s="22"/>
      <x:c r="B179" s="43"/>
      <x:c r="C179" s="47"/>
      <x:c r="D179" s="44" t="s">
        <x:v>304</x:v>
      </x:c>
      <x:c r="E179" s="44"/>
      <x:c r="F179" s="205"/>
      <x:c r="G179" s="259"/>
      <x:c r="H179" s="243"/>
      <x:c r="I179" s="245"/>
      <x:c r="J179" s="41">
        <x:v>1</x:v>
      </x:c>
      <x:c r="K179" s="234"/>
      <x:c r="L179" s="41"/>
      <x:c r="M179" s="42"/>
      <x:c r="N179" s="21"/>
      <x:c r="O179" s="149"/>
    </x:row>
    <x:row r="180" spans="1:15" s="17" customFormat="1" customHeight="1" outlineLevel="1">
      <x:c r="A180" s="22"/>
      <x:c r="B180" s="43"/>
      <x:c r="C180" s="47"/>
      <x:c r="D180" s="44" t="s">
        <x:v>306</x:v>
      </x:c>
      <x:c r="E180" s="44"/>
      <x:c r="F180" s="205"/>
      <x:c r="G180" s="259"/>
      <x:c r="H180" s="243"/>
      <x:c r="I180" s="245"/>
      <x:c r="J180" s="41">
        <x:v>1</x:v>
      </x:c>
      <x:c r="K180" s="234"/>
      <x:c r="L180" s="41"/>
      <x:c r="M180" s="42"/>
      <x:c r="N180" s="21"/>
      <x:c r="O180" s="149"/>
    </x:row>
    <x:row r="181" spans="1:15" s="17" customFormat="1" customHeight="1" outlineLevel="1">
      <x:c r="A181" s="22"/>
      <x:c r="B181" s="43"/>
      <x:c r="C181" s="47"/>
      <x:c r="D181" s="44" t="s">
        <x:v>307</x:v>
      </x:c>
      <x:c r="E181" s="44"/>
      <x:c r="F181" s="205"/>
      <x:c r="G181" s="260"/>
      <x:c r="H181" s="243"/>
      <x:c r="I181" s="245"/>
      <x:c r="J181" s="41">
        <x:v>1</x:v>
      </x:c>
      <x:c r="K181" s="235"/>
      <x:c r="L181" s="41"/>
      <x:c r="M181" s="42"/>
      <x:c r="N181" s="21"/>
      <x:c r="O181" s="149"/>
    </x:row>
    <x:row r="182" spans="1:15" s="17" customFormat="1" customHeight="1" outlineLevel="1">
      <x:c r="A182" s="33"/>
      <x:c r="B182" s="51" t="s">
        <x:v>622</x:v>
      </x:c>
      <x:c r="C182" s="45"/>
      <x:c r="D182" s="45"/>
      <x:c r="E182" s="45"/>
      <x:c r="F182" s="45"/>
      <x:c r="G182" s="258" t="s">
        <x:v>784</x:v>
      </x:c>
      <x:c r="H182" s="267" t="s">
        <x:v>204</x:v>
      </x:c>
      <x:c r="I182" s="264">
        <x:v>5</x:v>
      </x:c>
      <x:c r="J182" s="46"/>
      <x:c r="K182" s="233" t="s">
        <x:v>723</x:v>
      </x:c>
      <x:c r="L182" s="41"/>
      <x:c r="M182" s="42"/>
      <x:c r="N182" s="206"/>
      <x:c r="O182" s="208" t="s">
        <x:v>824</x:v>
      </x:c>
    </x:row>
    <x:row r="183" spans="1:15" s="17" customFormat="1" customHeight="1" outlineLevel="1">
      <x:c r="A183" s="22"/>
      <x:c r="B183" s="43"/>
      <x:c r="C183" s="39" t="s">
        <x:v>313</x:v>
      </x:c>
      <x:c r="D183" s="39"/>
      <x:c r="E183" s="40"/>
      <x:c r="F183" s="40"/>
      <x:c r="G183" s="259"/>
      <x:c r="H183" s="268"/>
      <x:c r="I183" s="245"/>
      <x:c r="J183" s="41"/>
      <x:c r="K183" s="234"/>
      <x:c r="L183" s="41"/>
      <x:c r="M183" s="42"/>
      <x:c r="N183" s="21"/>
      <x:c r="O183" s="149"/>
    </x:row>
    <x:row r="184" spans="1:15" s="17" customFormat="1" customHeight="1" outlineLevel="1">
      <x:c r="A184" s="22"/>
      <x:c r="B184" s="43"/>
      <x:c r="C184" s="39"/>
      <x:c r="D184" s="39" t="s">
        <x:v>82</x:v>
      </x:c>
      <x:c r="E184" s="40"/>
      <x:c r="F184" s="40"/>
      <x:c r="G184" s="259"/>
      <x:c r="H184" s="268"/>
      <x:c r="I184" s="245"/>
      <x:c r="J184" s="41">
        <x:v>1</x:v>
      </x:c>
      <x:c r="K184" s="234"/>
      <x:c r="L184" s="41"/>
      <x:c r="M184" s="42"/>
      <x:c r="N184" s="21"/>
      <x:c r="O184" s="149"/>
    </x:row>
    <x:row r="185" spans="1:15" s="17" customFormat="1" customHeight="1" outlineLevel="1">
      <x:c r="A185" s="22"/>
      <x:c r="B185" s="43"/>
      <x:c r="C185" s="39"/>
      <x:c r="D185" s="39" t="s">
        <x:v>433</x:v>
      </x:c>
      <x:c r="E185" s="40"/>
      <x:c r="F185" s="40"/>
      <x:c r="G185" s="259"/>
      <x:c r="H185" s="268"/>
      <x:c r="I185" s="245"/>
      <x:c r="J185" s="41">
        <x:v>1</x:v>
      </x:c>
      <x:c r="K185" s="234"/>
      <x:c r="L185" s="41"/>
      <x:c r="M185" s="42"/>
      <x:c r="N185" s="21"/>
      <x:c r="O185" s="149"/>
    </x:row>
    <x:row r="186" spans="1:15" s="17" customFormat="1" customHeight="1" outlineLevel="1">
      <x:c r="A186" s="22"/>
      <x:c r="B186" s="43"/>
      <x:c r="C186" s="39"/>
      <x:c r="D186" s="39" t="s">
        <x:v>314</x:v>
      </x:c>
      <x:c r="E186" s="40"/>
      <x:c r="F186" s="40"/>
      <x:c r="G186" s="259"/>
      <x:c r="H186" s="268"/>
      <x:c r="I186" s="245"/>
      <x:c r="J186" s="41">
        <x:v>1</x:v>
      </x:c>
      <x:c r="K186" s="234"/>
      <x:c r="L186" s="41"/>
      <x:c r="M186" s="42"/>
      <x:c r="N186" s="21"/>
      <x:c r="O186" s="149"/>
    </x:row>
    <x:row r="187" spans="1:15" s="17" customFormat="1" customHeight="1" outlineLevel="1">
      <x:c r="A187" s="22"/>
      <x:c r="B187" s="43"/>
      <x:c r="C187" s="39"/>
      <x:c r="D187" s="39" t="s">
        <x:v>311</x:v>
      </x:c>
      <x:c r="E187" s="40"/>
      <x:c r="F187" s="40"/>
      <x:c r="G187" s="259"/>
      <x:c r="H187" s="268"/>
      <x:c r="I187" s="245"/>
      <x:c r="J187" s="41">
        <x:v>1</x:v>
      </x:c>
      <x:c r="K187" s="234"/>
      <x:c r="L187" s="41"/>
      <x:c r="M187" s="42"/>
      <x:c r="N187" s="21"/>
      <x:c r="O187" s="149"/>
    </x:row>
    <x:row r="188" spans="1:15" s="17" customFormat="1" customHeight="1" outlineLevel="1">
      <x:c r="A188" s="22"/>
      <x:c r="B188" s="43"/>
      <x:c r="C188" s="39"/>
      <x:c r="D188" s="39" t="s">
        <x:v>434</x:v>
      </x:c>
      <x:c r="E188" s="40"/>
      <x:c r="F188" s="40"/>
      <x:c r="G188" s="259"/>
      <x:c r="H188" s="268"/>
      <x:c r="I188" s="245"/>
      <x:c r="J188" s="41">
        <x:v>1</x:v>
      </x:c>
      <x:c r="K188" s="234"/>
      <x:c r="L188" s="41"/>
      <x:c r="M188" s="42"/>
      <x:c r="N188" s="21"/>
      <x:c r="O188" s="149"/>
    </x:row>
    <x:row r="189" spans="1:15" s="17" customFormat="1" customHeight="1" outlineLevel="1">
      <x:c r="A189" s="22"/>
      <x:c r="B189" s="43"/>
      <x:c r="C189" s="39"/>
      <x:c r="D189" s="39" t="s">
        <x:v>83</x:v>
      </x:c>
      <x:c r="E189" s="40"/>
      <x:c r="F189" s="40"/>
      <x:c r="G189" s="259"/>
      <x:c r="H189" s="268"/>
      <x:c r="I189" s="245"/>
      <x:c r="J189" s="41">
        <x:v>1</x:v>
      </x:c>
      <x:c r="K189" s="234"/>
      <x:c r="L189" s="41"/>
      <x:c r="M189" s="42"/>
      <x:c r="N189" s="21"/>
      <x:c r="O189" s="149"/>
    </x:row>
    <x:row r="190" spans="1:15" s="17" customFormat="1" customHeight="1" outlineLevel="1">
      <x:c r="A190" s="22"/>
      <x:c r="B190" s="43"/>
      <x:c r="C190" s="39"/>
      <x:c r="D190" s="39" t="s">
        <x:v>95</x:v>
      </x:c>
      <x:c r="E190" s="40"/>
      <x:c r="F190" s="40"/>
      <x:c r="G190" s="259"/>
      <x:c r="H190" s="268"/>
      <x:c r="I190" s="245"/>
      <x:c r="J190" s="41">
        <x:v>1</x:v>
      </x:c>
      <x:c r="K190" s="234"/>
      <x:c r="L190" s="41"/>
      <x:c r="M190" s="42"/>
      <x:c r="N190" s="21"/>
      <x:c r="O190" s="149"/>
    </x:row>
    <x:row r="191" spans="1:15" s="17" customFormat="1" customHeight="1" outlineLevel="1">
      <x:c r="A191" s="22"/>
      <x:c r="B191" s="43"/>
      <x:c r="C191" s="39"/>
      <x:c r="D191" s="39" t="s">
        <x:v>85</x:v>
      </x:c>
      <x:c r="E191" s="40"/>
      <x:c r="F191" s="40"/>
      <x:c r="G191" s="259"/>
      <x:c r="H191" s="268"/>
      <x:c r="I191" s="245"/>
      <x:c r="J191" s="41">
        <x:v>1</x:v>
      </x:c>
      <x:c r="K191" s="234"/>
      <x:c r="L191" s="41"/>
      <x:c r="M191" s="42"/>
      <x:c r="N191" s="21"/>
      <x:c r="O191" s="149"/>
    </x:row>
    <x:row r="192" spans="1:15" s="17" customFormat="1" customHeight="1" outlineLevel="1">
      <x:c r="A192" s="22"/>
      <x:c r="B192" s="43"/>
      <x:c r="C192" s="39"/>
      <x:c r="D192" s="39" t="s">
        <x:v>442</x:v>
      </x:c>
      <x:c r="E192" s="40"/>
      <x:c r="F192" s="40"/>
      <x:c r="G192" s="259"/>
      <x:c r="H192" s="268"/>
      <x:c r="I192" s="245"/>
      <x:c r="J192" s="41">
        <x:v>1</x:v>
      </x:c>
      <x:c r="K192" s="234"/>
      <x:c r="L192" s="41"/>
      <x:c r="M192" s="42"/>
      <x:c r="N192" s="21"/>
      <x:c r="O192" s="149"/>
    </x:row>
    <x:row r="193" spans="1:15" s="17" customFormat="1" customHeight="1" outlineLevel="1">
      <x:c r="A193" s="22"/>
      <x:c r="B193" s="43"/>
      <x:c r="C193" s="39"/>
      <x:c r="D193" s="39" t="s">
        <x:v>86</x:v>
      </x:c>
      <x:c r="E193" s="40"/>
      <x:c r="F193" s="40"/>
      <x:c r="G193" s="259"/>
      <x:c r="H193" s="268"/>
      <x:c r="I193" s="245"/>
      <x:c r="J193" s="41">
        <x:v>1</x:v>
      </x:c>
      <x:c r="K193" s="234"/>
      <x:c r="L193" s="41"/>
      <x:c r="M193" s="42"/>
      <x:c r="N193" s="21"/>
      <x:c r="O193" s="149"/>
    </x:row>
    <x:row r="194" spans="1:15" s="17" customFormat="1" customHeight="1" outlineLevel="1">
      <x:c r="A194" s="22"/>
      <x:c r="B194" s="43"/>
      <x:c r="C194" s="39"/>
      <x:c r="D194" s="39" t="s">
        <x:v>415</x:v>
      </x:c>
      <x:c r="E194" s="40"/>
      <x:c r="F194" s="40"/>
      <x:c r="G194" s="259"/>
      <x:c r="H194" s="268"/>
      <x:c r="I194" s="245"/>
      <x:c r="J194" s="41">
        <x:v>1</x:v>
      </x:c>
      <x:c r="K194" s="234"/>
      <x:c r="L194" s="41"/>
      <x:c r="M194" s="42"/>
      <x:c r="N194" s="21"/>
      <x:c r="O194" s="149"/>
    </x:row>
    <x:row r="195" spans="1:15" s="17" customFormat="1" customHeight="1" outlineLevel="1">
      <x:c r="A195" s="22"/>
      <x:c r="B195" s="43"/>
      <x:c r="C195" s="39" t="s">
        <x:v>107</x:v>
      </x:c>
      <x:c r="D195" s="39"/>
      <x:c r="E195" s="40"/>
      <x:c r="F195" s="40"/>
      <x:c r="G195" s="259"/>
      <x:c r="H195" s="268"/>
      <x:c r="I195" s="245"/>
      <x:c r="J195" s="41"/>
      <x:c r="K195" s="234"/>
      <x:c r="L195" s="41"/>
      <x:c r="M195" s="42"/>
      <x:c r="N195" s="21"/>
      <x:c r="O195" s="149"/>
    </x:row>
    <x:row r="196" spans="1:15" s="17" customFormat="1" customHeight="1" outlineLevel="1">
      <x:c r="A196" s="22"/>
      <x:c r="B196" s="43"/>
      <x:c r="C196" s="39"/>
      <x:c r="D196" s="39" t="s">
        <x:v>87</x:v>
      </x:c>
      <x:c r="E196" s="40"/>
      <x:c r="F196" s="40"/>
      <x:c r="G196" s="259"/>
      <x:c r="H196" s="268"/>
      <x:c r="I196" s="245"/>
      <x:c r="J196" s="41">
        <x:v>1</x:v>
      </x:c>
      <x:c r="K196" s="234"/>
      <x:c r="L196" s="41"/>
      <x:c r="M196" s="42"/>
      <x:c r="N196" s="21"/>
      <x:c r="O196" s="149"/>
    </x:row>
    <x:row r="197" spans="1:15" s="17" customFormat="1" customHeight="1" outlineLevel="1">
      <x:c r="A197" s="22"/>
      <x:c r="B197" s="43"/>
      <x:c r="C197" s="39"/>
      <x:c r="D197" s="39" t="s">
        <x:v>89</x:v>
      </x:c>
      <x:c r="E197" s="40"/>
      <x:c r="F197" s="40"/>
      <x:c r="G197" s="259"/>
      <x:c r="H197" s="268"/>
      <x:c r="I197" s="245"/>
      <x:c r="J197" s="41">
        <x:v>1</x:v>
      </x:c>
      <x:c r="K197" s="234"/>
      <x:c r="L197" s="41"/>
      <x:c r="M197" s="42"/>
      <x:c r="N197" s="21"/>
      <x:c r="O197" s="149"/>
    </x:row>
    <x:row r="198" spans="1:15" s="17" customFormat="1" customHeight="1" outlineLevel="1">
      <x:c r="A198" s="22"/>
      <x:c r="B198" s="43"/>
      <x:c r="C198" s="39"/>
      <x:c r="D198" s="39" t="s">
        <x:v>91</x:v>
      </x:c>
      <x:c r="E198" s="40"/>
      <x:c r="F198" s="40"/>
      <x:c r="G198" s="259"/>
      <x:c r="H198" s="268"/>
      <x:c r="I198" s="245"/>
      <x:c r="J198" s="41">
        <x:v>1</x:v>
      </x:c>
      <x:c r="K198" s="234"/>
      <x:c r="L198" s="41"/>
      <x:c r="M198" s="42"/>
      <x:c r="N198" s="21"/>
      <x:c r="O198" s="149"/>
    </x:row>
    <x:row r="199" spans="1:15" s="17" customFormat="1" customHeight="1" outlineLevel="1">
      <x:c r="A199" s="22"/>
      <x:c r="B199" s="43"/>
      <x:c r="C199" s="39"/>
      <x:c r="D199" s="39" t="s">
        <x:v>312</x:v>
      </x:c>
      <x:c r="E199" s="40"/>
      <x:c r="F199" s="40"/>
      <x:c r="G199" s="259"/>
      <x:c r="H199" s="268"/>
      <x:c r="I199" s="245"/>
      <x:c r="J199" s="41">
        <x:v>1</x:v>
      </x:c>
      <x:c r="K199" s="234"/>
      <x:c r="L199" s="41"/>
      <x:c r="M199" s="42"/>
      <x:c r="N199" s="21"/>
      <x:c r="O199" s="149"/>
    </x:row>
    <x:row r="200" spans="1:15" s="17" customFormat="1" customHeight="1" outlineLevel="1">
      <x:c r="A200" s="22"/>
      <x:c r="B200" s="43"/>
      <x:c r="C200" s="39"/>
      <x:c r="D200" s="39" t="s">
        <x:v>90</x:v>
      </x:c>
      <x:c r="E200" s="40"/>
      <x:c r="F200" s="40"/>
      <x:c r="G200" s="259"/>
      <x:c r="H200" s="268"/>
      <x:c r="I200" s="245"/>
      <x:c r="J200" s="41">
        <x:v>1</x:v>
      </x:c>
      <x:c r="K200" s="234"/>
      <x:c r="L200" s="41"/>
      <x:c r="M200" s="42"/>
      <x:c r="N200" s="21"/>
      <x:c r="O200" s="149"/>
    </x:row>
    <x:row r="201" spans="1:15" s="17" customFormat="1" customHeight="1" outlineLevel="1">
      <x:c r="A201" s="22"/>
      <x:c r="B201" s="43"/>
      <x:c r="C201" s="39"/>
      <x:c r="D201" s="39" t="s">
        <x:v>96</x:v>
      </x:c>
      <x:c r="E201" s="40"/>
      <x:c r="F201" s="40"/>
      <x:c r="G201" s="259"/>
      <x:c r="H201" s="268"/>
      <x:c r="I201" s="245"/>
      <x:c r="J201" s="41">
        <x:v>1</x:v>
      </x:c>
      <x:c r="K201" s="234"/>
      <x:c r="L201" s="41"/>
      <x:c r="M201" s="42"/>
      <x:c r="N201" s="21"/>
      <x:c r="O201" s="149"/>
    </x:row>
    <x:row r="202" spans="1:15" s="17" customFormat="1" customHeight="1" outlineLevel="1">
      <x:c r="A202" s="22"/>
      <x:c r="B202" s="43"/>
      <x:c r="C202" s="39"/>
      <x:c r="D202" s="39" t="s">
        <x:v>882</x:v>
      </x:c>
      <x:c r="E202" s="40"/>
      <x:c r="F202" s="40"/>
      <x:c r="G202" s="259"/>
      <x:c r="H202" s="268"/>
      <x:c r="I202" s="245"/>
      <x:c r="J202" s="41">
        <x:v>1</x:v>
      </x:c>
      <x:c r="K202" s="234"/>
      <x:c r="L202" s="41"/>
      <x:c r="M202" s="42"/>
      <x:c r="N202" s="21"/>
      <x:c r="O202" s="149"/>
    </x:row>
    <x:row r="203" spans="1:15" s="17" customFormat="1" customHeight="1" outlineLevel="1">
      <x:c r="A203" s="22"/>
      <x:c r="B203" s="43"/>
      <x:c r="C203" s="39"/>
      <x:c r="D203" s="39" t="s">
        <x:v>435</x:v>
      </x:c>
      <x:c r="E203" s="40"/>
      <x:c r="F203" s="40"/>
      <x:c r="G203" s="259"/>
      <x:c r="H203" s="268"/>
      <x:c r="I203" s="245"/>
      <x:c r="J203" s="41">
        <x:v>1</x:v>
      </x:c>
      <x:c r="K203" s="234"/>
      <x:c r="L203" s="41"/>
      <x:c r="M203" s="42"/>
      <x:c r="N203" s="21"/>
      <x:c r="O203" s="149"/>
    </x:row>
    <x:row r="204" spans="1:15" s="17" customFormat="1" customHeight="1" outlineLevel="1">
      <x:c r="A204" s="22"/>
      <x:c r="B204" s="43"/>
      <x:c r="C204" s="39"/>
      <x:c r="D204" s="39" t="s">
        <x:v>416</x:v>
      </x:c>
      <x:c r="E204" s="40"/>
      <x:c r="F204" s="40"/>
      <x:c r="G204" s="260"/>
      <x:c r="H204" s="269"/>
      <x:c r="I204" s="246"/>
      <x:c r="J204" s="41">
        <x:v>1</x:v>
      </x:c>
      <x:c r="K204" s="235"/>
      <x:c r="L204" s="41"/>
      <x:c r="M204" s="42"/>
      <x:c r="N204" s="21"/>
      <x:c r="O204" s="149"/>
    </x:row>
    <x:row r="205" spans="1:15" s="359" customFormat="1" customHeight="1" outlineLevel="1">
      <x:c r="A205" s="360"/>
      <x:c r="B205" s="361"/>
      <x:c r="C205" s="373" t="s">
        <x:v>79</x:v>
      </x:c>
      <x:c r="D205" s="363"/>
      <x:c r="E205" s="363"/>
      <x:c r="F205" s="364"/>
      <x:c r="G205" s="380" t="s">
        <x:v>785</x:v>
      </x:c>
      <x:c r="H205" s="375" t="s">
        <x:v>254</x:v>
      </x:c>
      <x:c r="I205" s="381">
        <x:v>5</x:v>
      </x:c>
      <x:c r="J205" s="366"/>
      <x:c r="K205" s="367" t="s">
        <x:v>363</x:v>
      </x:c>
      <x:c r="L205" s="366"/>
      <x:c r="M205" s="368"/>
      <x:c r="N205" s="366"/>
      <x:c r="O205" s="369"/>
    </x:row>
    <x:row r="206" spans="1:15" s="359" customFormat="1" customHeight="1" outlineLevel="1">
      <x:c r="A206" s="360"/>
      <x:c r="B206" s="361"/>
      <x:c r="C206" s="373"/>
      <x:c r="D206" s="373" t="s">
        <x:v>97</x:v>
      </x:c>
      <x:c r="E206" s="363"/>
      <x:c r="F206" s="364"/>
      <x:c r="G206" s="382"/>
      <x:c r="H206" s="377"/>
      <x:c r="I206" s="376"/>
      <x:c r="J206" s="366">
        <x:v>1</x:v>
      </x:c>
      <x:c r="K206" s="371"/>
      <x:c r="L206" s="366"/>
      <x:c r="M206" s="368"/>
      <x:c r="N206" s="366"/>
      <x:c r="O206" s="369"/>
    </x:row>
    <x:row r="207" spans="1:15" s="359" customFormat="1" customHeight="1" outlineLevel="1">
      <x:c r="A207" s="360"/>
      <x:c r="B207" s="361"/>
      <x:c r="C207" s="373"/>
      <x:c r="D207" s="373" t="s">
        <x:v>98</x:v>
      </x:c>
      <x:c r="E207" s="363"/>
      <x:c r="F207" s="364"/>
      <x:c r="G207" s="382"/>
      <x:c r="H207" s="377"/>
      <x:c r="I207" s="376"/>
      <x:c r="J207" s="366">
        <x:v>1</x:v>
      </x:c>
      <x:c r="K207" s="371"/>
      <x:c r="L207" s="366"/>
      <x:c r="M207" s="368"/>
      <x:c r="N207" s="366"/>
      <x:c r="O207" s="369"/>
    </x:row>
    <x:row r="208" spans="1:15" s="359" customFormat="1" customHeight="1" outlineLevel="1">
      <x:c r="A208" s="360"/>
      <x:c r="B208" s="361"/>
      <x:c r="C208" s="373"/>
      <x:c r="D208" s="373" t="s">
        <x:v>99</x:v>
      </x:c>
      <x:c r="E208" s="363"/>
      <x:c r="F208" s="364"/>
      <x:c r="G208" s="382"/>
      <x:c r="H208" s="377"/>
      <x:c r="I208" s="376"/>
      <x:c r="J208" s="366">
        <x:v>1</x:v>
      </x:c>
      <x:c r="K208" s="371"/>
      <x:c r="L208" s="366"/>
      <x:c r="M208" s="368"/>
      <x:c r="N208" s="366"/>
      <x:c r="O208" s="369"/>
    </x:row>
    <x:row r="209" spans="1:15" s="359" customFormat="1" customHeight="1" outlineLevel="1">
      <x:c r="A209" s="360"/>
      <x:c r="B209" s="361"/>
      <x:c r="C209" s="373"/>
      <x:c r="D209" s="373" t="s">
        <x:v>139</x:v>
      </x:c>
      <x:c r="E209" s="363"/>
      <x:c r="F209" s="364"/>
      <x:c r="G209" s="382"/>
      <x:c r="H209" s="377"/>
      <x:c r="I209" s="376"/>
      <x:c r="J209" s="366">
        <x:v>2</x:v>
      </x:c>
      <x:c r="K209" s="371"/>
      <x:c r="L209" s="366"/>
      <x:c r="M209" s="368"/>
      <x:c r="N209" s="366"/>
      <x:c r="O209" s="369"/>
    </x:row>
    <x:row r="210" spans="1:15" s="359" customFormat="1" customHeight="1" outlineLevel="1">
      <x:c r="A210" s="360"/>
      <x:c r="B210" s="361"/>
      <x:c r="C210" s="373"/>
      <x:c r="D210" s="373" t="s">
        <x:v>417</x:v>
      </x:c>
      <x:c r="E210" s="363"/>
      <x:c r="F210" s="364"/>
      <x:c r="G210" s="382"/>
      <x:c r="H210" s="377"/>
      <x:c r="I210" s="376"/>
      <x:c r="J210" s="366">
        <x:v>1</x:v>
      </x:c>
      <x:c r="K210" s="371"/>
      <x:c r="L210" s="366"/>
      <x:c r="M210" s="368"/>
      <x:c r="N210" s="366"/>
      <x:c r="O210" s="369"/>
    </x:row>
    <x:row r="211" spans="1:15" s="359" customFormat="1" customHeight="1" outlineLevel="1">
      <x:c r="A211" s="360"/>
      <x:c r="B211" s="361"/>
      <x:c r="C211" s="373"/>
      <x:c r="D211" s="230" t="s">
        <x:v>112</x:v>
      </x:c>
      <x:c r="E211" s="228"/>
      <x:c r="F211" s="229"/>
      <x:c r="G211" s="382"/>
      <x:c r="H211" s="377"/>
      <x:c r="I211" s="376"/>
      <x:c r="J211" s="366">
        <x:v>1</x:v>
      </x:c>
      <x:c r="K211" s="371"/>
      <x:c r="L211" s="366"/>
      <x:c r="M211" s="368"/>
      <x:c r="N211" s="366"/>
      <x:c r="O211" s="369"/>
    </x:row>
    <x:row r="212" spans="1:15" s="359" customFormat="1" customHeight="1" outlineLevel="1">
      <x:c r="A212" s="360"/>
      <x:c r="B212" s="361"/>
      <x:c r="C212" s="373"/>
      <x:c r="D212" s="373" t="s">
        <x:v>431</x:v>
      </x:c>
      <x:c r="E212" s="363"/>
      <x:c r="F212" s="364"/>
      <x:c r="G212" s="383"/>
      <x:c r="H212" s="378"/>
      <x:c r="I212" s="379"/>
      <x:c r="J212" s="366">
        <x:v>1</x:v>
      </x:c>
      <x:c r="K212" s="372"/>
      <x:c r="L212" s="366"/>
      <x:c r="M212" s="368"/>
      <x:c r="N212" s="366"/>
      <x:c r="O212" s="369"/>
    </x:row>
    <x:row r="213" spans="1:15" ht="19.5" customHeight="1">
      <x:c r="A213" s="25" t="s">
        <x:v>619</x:v>
      </x:c>
      <x:c r="B213" s="26"/>
      <x:c r="C213" s="27"/>
      <x:c r="D213" s="34"/>
      <x:c r="E213" s="34"/>
      <x:c r="F213" s="34"/>
      <x:c r="G213" s="30"/>
      <x:c r="H213" s="35"/>
      <x:c r="I213" s="30">
        <x:f>SUM(I214:I322)</x:f>
        <x:v>15</x:v>
      </x:c>
      <x:c r="J213" s="30">
        <x:f>SUM(J214:J322)</x:f>
        <x:v>114</x:v>
      </x:c>
      <x:c r="K213" s="28" t="s">
        <x:v>554</x:v>
      </x:c>
      <x:c r="L213" s="28" t="s">
        <x:v>559</x:v>
      </x:c>
      <x:c r="M213" s="52">
        <x:f>AVERAGE(M214:M322)</x:f>
        <x:v>0</x:v>
      </x:c>
      <x:c r="N213" s="30"/>
      <x:c r="O213" s="36"/>
    </x:row>
    <x:row r="214" spans="1:15" s="17" customFormat="1" customHeight="1" outlineLevel="1">
      <x:c r="A214" s="18"/>
      <x:c r="B214" s="19" t="s">
        <x:v>499</x:v>
      </x:c>
      <x:c r="C214" s="19"/>
      <x:c r="D214" s="19"/>
      <x:c r="E214" s="20"/>
      <x:c r="F214" s="20"/>
      <x:c r="G214" s="21"/>
      <x:c r="H214" s="158"/>
      <x:c r="I214" s="148"/>
      <x:c r="J214" s="152"/>
      <x:c r="K214" s="21"/>
      <x:c r="L214" s="21"/>
      <x:c r="M214" s="42">
        <x:v>0</x:v>
      </x:c>
      <x:c r="N214" s="21"/>
      <x:c r="O214" s="149"/>
    </x:row>
    <x:row r="215" spans="1:15" s="17" customFormat="1" customHeight="1" outlineLevel="1">
      <x:c r="A215" s="18"/>
      <x:c r="B215" s="50" t="s">
        <x:v>618</x:v>
      </x:c>
      <x:c r="C215" s="39"/>
      <x:c r="D215" s="39"/>
      <x:c r="E215" s="40"/>
      <x:c r="F215" s="40"/>
      <x:c r="G215" s="41" t="s">
        <x:v>779</x:v>
      </x:c>
      <x:c r="H215" s="239" t="s">
        <x:v>263</x:v>
      </x:c>
      <x:c r="I215" s="264">
        <x:v>5</x:v>
      </x:c>
      <x:c r="J215" s="41"/>
      <x:c r="K215" s="41"/>
      <x:c r="L215" s="21"/>
      <x:c r="M215" s="21"/>
      <x:c r="N215" s="21"/>
      <x:c r="O215" s="261" t="s">
        <x:v>210</x:v>
      </x:c>
    </x:row>
    <x:row r="216" spans="1:15" s="17" customFormat="1" customHeight="1" outlineLevel="1">
      <x:c r="A216" s="22"/>
      <x:c r="B216" s="43"/>
      <x:c r="C216" s="39" t="s">
        <x:v>316</x:v>
      </x:c>
      <x:c r="D216" s="44"/>
      <x:c r="E216" s="44"/>
      <x:c r="F216" s="205"/>
      <x:c r="G216" s="180"/>
      <x:c r="H216" s="265"/>
      <x:c r="I216" s="245"/>
      <x:c r="J216" s="41">
        <x:v>1</x:v>
      </x:c>
      <x:c r="K216" s="41"/>
      <x:c r="L216" s="21"/>
      <x:c r="M216" s="42"/>
      <x:c r="N216" s="21"/>
      <x:c r="O216" s="262"/>
    </x:row>
    <x:row r="217" spans="1:15" s="17" customFormat="1" customHeight="1" outlineLevel="1">
      <x:c r="A217" s="22"/>
      <x:c r="B217" s="43"/>
      <x:c r="C217" s="39" t="s">
        <x:v>436</x:v>
      </x:c>
      <x:c r="D217" s="44"/>
      <x:c r="E217" s="44"/>
      <x:c r="F217" s="205"/>
      <x:c r="G217" s="180"/>
      <x:c r="H217" s="265"/>
      <x:c r="I217" s="245"/>
      <x:c r="J217" s="41">
        <x:v>1</x:v>
      </x:c>
      <x:c r="K217" s="41"/>
      <x:c r="L217" s="21"/>
      <x:c r="M217" s="42"/>
      <x:c r="N217" s="21"/>
      <x:c r="O217" s="262"/>
    </x:row>
    <x:row r="218" spans="1:15" s="17" customFormat="1" customHeight="1" outlineLevel="1">
      <x:c r="A218" s="22"/>
      <x:c r="B218" s="43"/>
      <x:c r="C218" s="39" t="s">
        <x:v>319</x:v>
      </x:c>
      <x:c r="D218" s="44"/>
      <x:c r="E218" s="44"/>
      <x:c r="G218" s="180"/>
      <x:c r="H218" s="265"/>
      <x:c r="I218" s="245"/>
      <x:c r="J218" s="41">
        <x:v>2</x:v>
      </x:c>
      <x:c r="K218" s="41"/>
      <x:c r="L218" s="21"/>
      <x:c r="M218" s="42"/>
      <x:c r="N218" s="21"/>
      <x:c r="O218" s="262"/>
    </x:row>
    <x:row r="219" spans="1:15" s="17" customFormat="1" customHeight="1" outlineLevel="1">
      <x:c r="A219" s="22"/>
      <x:c r="B219" s="43"/>
      <x:c r="C219" s="39" t="s">
        <x:v>317</x:v>
      </x:c>
      <x:c r="D219" s="44"/>
      <x:c r="E219" s="44"/>
      <x:c r="F219" s="205"/>
      <x:c r="G219" s="180"/>
      <x:c r="H219" s="265"/>
      <x:c r="I219" s="245"/>
      <x:c r="J219" s="41">
        <x:v>1</x:v>
      </x:c>
      <x:c r="K219" s="41"/>
      <x:c r="L219" s="21"/>
      <x:c r="M219" s="42"/>
      <x:c r="N219" s="21"/>
      <x:c r="O219" s="262"/>
    </x:row>
    <x:row r="220" spans="1:15" s="17" customFormat="1" customHeight="1" outlineLevel="1">
      <x:c r="A220" s="22"/>
      <x:c r="B220" s="43"/>
      <x:c r="C220" s="39" t="s">
        <x:v>315</x:v>
      </x:c>
      <x:c r="D220" s="44"/>
      <x:c r="E220" s="44"/>
      <x:c r="F220" s="205"/>
      <x:c r="G220" s="180"/>
      <x:c r="H220" s="265"/>
      <x:c r="I220" s="245"/>
      <x:c r="J220" s="41">
        <x:v>1</x:v>
      </x:c>
      <x:c r="K220" s="41"/>
      <x:c r="L220" s="21"/>
      <x:c r="M220" s="42"/>
      <x:c r="N220" s="21"/>
      <x:c r="O220" s="262"/>
    </x:row>
    <x:row r="221" spans="1:15" s="17" customFormat="1" customHeight="1" outlineLevel="1">
      <x:c r="A221" s="22"/>
      <x:c r="B221" s="43"/>
      <x:c r="C221" s="39" t="s">
        <x:v>318</x:v>
      </x:c>
      <x:c r="D221" s="44"/>
      <x:c r="E221" s="44"/>
      <x:c r="F221" s="205"/>
      <x:c r="G221" s="180"/>
      <x:c r="H221" s="265"/>
      <x:c r="I221" s="245"/>
      <x:c r="J221" s="41">
        <x:v>1</x:v>
      </x:c>
      <x:c r="K221" s="41"/>
      <x:c r="L221" s="21"/>
      <x:c r="M221" s="42"/>
      <x:c r="N221" s="21"/>
      <x:c r="O221" s="262"/>
    </x:row>
    <x:row r="222" spans="1:15" s="17" customFormat="1" customHeight="1" outlineLevel="1">
      <x:c r="A222" s="22"/>
      <x:c r="B222" s="43"/>
      <x:c r="C222" s="39" t="s">
        <x:v>330</x:v>
      </x:c>
      <x:c r="D222" s="44"/>
      <x:c r="E222" s="44"/>
      <x:c r="G222" s="180"/>
      <x:c r="H222" s="265"/>
      <x:c r="I222" s="245"/>
      <x:c r="J222" s="41">
        <x:v>1</x:v>
      </x:c>
      <x:c r="K222" s="41"/>
      <x:c r="L222" s="21"/>
      <x:c r="M222" s="42"/>
      <x:c r="N222" s="21"/>
      <x:c r="O222" s="262"/>
    </x:row>
    <x:row r="223" spans="1:15" s="17" customFormat="1" customHeight="1" outlineLevel="1">
      <x:c r="A223" s="22"/>
      <x:c r="B223" s="43"/>
      <x:c r="C223" s="39" t="s">
        <x:v>324</x:v>
      </x:c>
      <x:c r="D223" s="44"/>
      <x:c r="E223" s="44"/>
      <x:c r="F223" s="205"/>
      <x:c r="G223" s="180"/>
      <x:c r="H223" s="265"/>
      <x:c r="I223" s="245"/>
      <x:c r="J223" s="41">
        <x:v>1</x:v>
      </x:c>
      <x:c r="K223" s="41"/>
      <x:c r="L223" s="21"/>
      <x:c r="M223" s="42"/>
      <x:c r="N223" s="21"/>
      <x:c r="O223" s="262"/>
    </x:row>
    <x:row r="224" spans="1:15" s="17" customFormat="1" customHeight="1" outlineLevel="1">
      <x:c r="A224" s="22"/>
      <x:c r="B224" s="43"/>
      <x:c r="C224" s="39" t="s">
        <x:v>121</x:v>
      </x:c>
      <x:c r="D224" s="44"/>
      <x:c r="E224" s="44"/>
      <x:c r="F224" s="205"/>
      <x:c r="G224" s="180"/>
      <x:c r="H224" s="265"/>
      <x:c r="I224" s="245"/>
      <x:c r="J224" s="41">
        <x:v>1</x:v>
      </x:c>
      <x:c r="K224" s="41"/>
      <x:c r="L224" s="21"/>
      <x:c r="M224" s="42"/>
      <x:c r="N224" s="21"/>
      <x:c r="O224" s="262"/>
    </x:row>
    <x:row r="225" spans="1:15" s="17" customFormat="1" customHeight="1" outlineLevel="1">
      <x:c r="A225" s="22"/>
      <x:c r="B225" s="43"/>
      <x:c r="C225" s="39" t="s">
        <x:v>323</x:v>
      </x:c>
      <x:c r="D225" s="44"/>
      <x:c r="E225" s="44"/>
      <x:c r="F225" s="205"/>
      <x:c r="G225" s="41"/>
      <x:c r="H225" s="265"/>
      <x:c r="I225" s="245"/>
      <x:c r="J225" s="41"/>
      <x:c r="K225" s="41"/>
      <x:c r="L225" s="21"/>
      <x:c r="M225" s="42"/>
      <x:c r="N225" s="21"/>
      <x:c r="O225" s="262"/>
    </x:row>
    <x:row r="226" spans="1:15" s="17" customFormat="1" customHeight="1" outlineLevel="1">
      <x:c r="A226" s="22"/>
      <x:c r="B226" s="43"/>
      <x:c r="C226" s="39"/>
      <x:c r="D226" s="44" t="s">
        <x:v>321</x:v>
      </x:c>
      <x:c r="E226" s="44"/>
      <x:c r="F226" s="205"/>
      <x:c r="G226" s="180"/>
      <x:c r="H226" s="265"/>
      <x:c r="I226" s="245"/>
      <x:c r="J226" s="41">
        <x:v>1</x:v>
      </x:c>
      <x:c r="K226" s="41"/>
      <x:c r="L226" s="21"/>
      <x:c r="M226" s="42"/>
      <x:c r="N226" s="21"/>
      <x:c r="O226" s="262"/>
    </x:row>
    <x:row r="227" spans="1:15" s="17" customFormat="1" customHeight="1" outlineLevel="1">
      <x:c r="A227" s="22"/>
      <x:c r="B227" s="43"/>
      <x:c r="C227" s="39"/>
      <x:c r="D227" s="44" t="s">
        <x:v>328</x:v>
      </x:c>
      <x:c r="E227" s="44"/>
      <x:c r="F227" s="205"/>
      <x:c r="G227" s="180"/>
      <x:c r="H227" s="265"/>
      <x:c r="I227" s="245"/>
      <x:c r="J227" s="41">
        <x:v>1</x:v>
      </x:c>
      <x:c r="K227" s="41"/>
      <x:c r="L227" s="21"/>
      <x:c r="M227" s="42"/>
      <x:c r="N227" s="21"/>
      <x:c r="O227" s="262"/>
    </x:row>
    <x:row r="228" spans="1:15" s="17" customFormat="1" customHeight="1" outlineLevel="1">
      <x:c r="A228" s="22"/>
      <x:c r="B228" s="43"/>
      <x:c r="C228" s="39"/>
      <x:c r="D228" s="44" t="s">
        <x:v>123</x:v>
      </x:c>
      <x:c r="E228" s="44"/>
      <x:c r="F228" s="205"/>
      <x:c r="G228" s="180"/>
      <x:c r="H228" s="265"/>
      <x:c r="I228" s="245"/>
      <x:c r="J228" s="41">
        <x:v>1</x:v>
      </x:c>
      <x:c r="K228" s="41"/>
      <x:c r="L228" s="21"/>
      <x:c r="M228" s="42"/>
      <x:c r="N228" s="21"/>
      <x:c r="O228" s="262"/>
    </x:row>
    <x:row r="229" spans="1:15" s="17" customFormat="1" customHeight="1" outlineLevel="1">
      <x:c r="A229" s="22"/>
      <x:c r="B229" s="43"/>
      <x:c r="C229" s="39" t="s">
        <x:v>327</x:v>
      </x:c>
      <x:c r="D229" s="44"/>
      <x:c r="E229" s="44"/>
      <x:c r="F229" s="205"/>
      <x:c r="G229" s="41" t="s">
        <x:v>741</x:v>
      </x:c>
      <x:c r="H229" s="265"/>
      <x:c r="I229" s="245"/>
      <x:c r="J229" s="41"/>
      <x:c r="K229" s="41"/>
      <x:c r="L229" s="21"/>
      <x:c r="M229" s="42"/>
      <x:c r="N229" s="21"/>
      <x:c r="O229" s="262"/>
    </x:row>
    <x:row r="230" spans="1:15" s="17" customFormat="1" customHeight="1" outlineLevel="1">
      <x:c r="A230" s="22"/>
      <x:c r="B230" s="43"/>
      <x:c r="C230" s="39"/>
      <x:c r="D230" s="44" t="s">
        <x:v>322</x:v>
      </x:c>
      <x:c r="E230" s="44"/>
      <x:c r="F230" s="205"/>
      <x:c r="G230" s="180"/>
      <x:c r="H230" s="265"/>
      <x:c r="I230" s="245"/>
      <x:c r="J230" s="41">
        <x:v>1</x:v>
      </x:c>
      <x:c r="K230" s="41"/>
      <x:c r="L230" s="21"/>
      <x:c r="M230" s="42"/>
      <x:c r="N230" s="21"/>
      <x:c r="O230" s="262"/>
    </x:row>
    <x:row r="231" spans="1:15" s="17" customFormat="1" customHeight="1" outlineLevel="1">
      <x:c r="A231" s="22"/>
      <x:c r="B231" s="43"/>
      <x:c r="C231" s="39"/>
      <x:c r="D231" s="44" t="s">
        <x:v>418</x:v>
      </x:c>
      <x:c r="E231" s="44"/>
      <x:c r="F231" s="205"/>
      <x:c r="G231" s="180"/>
      <x:c r="H231" s="265"/>
      <x:c r="I231" s="245"/>
      <x:c r="J231" s="41">
        <x:v>1</x:v>
      </x:c>
      <x:c r="K231" s="41"/>
      <x:c r="L231" s="21"/>
      <x:c r="M231" s="42"/>
      <x:c r="N231" s="21"/>
      <x:c r="O231" s="262"/>
    </x:row>
    <x:row r="232" spans="1:15" s="17" customFormat="1" customHeight="1" outlineLevel="1">
      <x:c r="A232" s="22"/>
      <x:c r="B232" s="43"/>
      <x:c r="C232" s="39"/>
      <x:c r="D232" s="44" t="s">
        <x:v>136</x:v>
      </x:c>
      <x:c r="E232" s="44"/>
      <x:c r="F232" s="205"/>
      <x:c r="G232" s="180"/>
      <x:c r="H232" s="265"/>
      <x:c r="I232" s="245"/>
      <x:c r="J232" s="41">
        <x:v>1</x:v>
      </x:c>
      <x:c r="K232" s="41"/>
      <x:c r="L232" s="21"/>
      <x:c r="M232" s="42"/>
      <x:c r="N232" s="21"/>
      <x:c r="O232" s="262"/>
    </x:row>
    <x:row r="233" spans="1:15" s="17" customFormat="1" customHeight="1" outlineLevel="1">
      <x:c r="A233" s="22"/>
      <x:c r="B233" s="43"/>
      <x:c r="C233" s="39" t="s">
        <x:v>134</x:v>
      </x:c>
      <x:c r="D233" s="44"/>
      <x:c r="E233" s="44"/>
      <x:c r="F233" s="205"/>
      <x:c r="G233" s="41" t="s">
        <x:v>866</x:v>
      </x:c>
      <x:c r="H233" s="265"/>
      <x:c r="I233" s="245"/>
      <x:c r="J233" s="41">
        <x:v>1</x:v>
      </x:c>
      <x:c r="K233" s="41"/>
      <x:c r="L233" s="21"/>
      <x:c r="M233" s="42"/>
      <x:c r="N233" s="21"/>
      <x:c r="O233" s="262"/>
    </x:row>
    <x:row r="234" spans="1:15" s="17" customFormat="1" customHeight="1" outlineLevel="1">
      <x:c r="A234" s="22"/>
      <x:c r="B234" s="43"/>
      <x:c r="C234" s="39" t="s">
        <x:v>320</x:v>
      </x:c>
      <x:c r="D234" s="44"/>
      <x:c r="E234" s="44"/>
      <x:c r="F234" s="205"/>
      <x:c r="G234" s="180"/>
      <x:c r="H234" s="265"/>
      <x:c r="I234" s="245"/>
      <x:c r="J234" s="41"/>
      <x:c r="K234" s="41"/>
      <x:c r="L234" s="21"/>
      <x:c r="M234" s="42"/>
      <x:c r="N234" s="21"/>
      <x:c r="O234" s="262"/>
    </x:row>
    <x:row r="235" spans="1:15" s="17" customFormat="1" customHeight="1" outlineLevel="1">
      <x:c r="A235" s="22"/>
      <x:c r="B235" s="43"/>
      <x:c r="C235" s="39"/>
      <x:c r="D235" s="44" t="s">
        <x:v>132</x:v>
      </x:c>
      <x:c r="E235" s="44"/>
      <x:c r="F235" s="205"/>
      <x:c r="G235" s="180"/>
      <x:c r="H235" s="265"/>
      <x:c r="I235" s="245"/>
      <x:c r="J235" s="41">
        <x:v>1</x:v>
      </x:c>
      <x:c r="K235" s="41"/>
      <x:c r="L235" s="21"/>
      <x:c r="M235" s="42"/>
      <x:c r="N235" s="21"/>
      <x:c r="O235" s="262"/>
    </x:row>
    <x:row r="236" spans="1:15" s="17" customFormat="1" customHeight="1" outlineLevel="1">
      <x:c r="A236" s="22"/>
      <x:c r="B236" s="43"/>
      <x:c r="C236" s="39"/>
      <x:c r="D236" s="44" t="s">
        <x:v>329</x:v>
      </x:c>
      <x:c r="E236" s="44"/>
      <x:c r="F236" s="205"/>
      <x:c r="G236" s="180"/>
      <x:c r="H236" s="265"/>
      <x:c r="I236" s="245"/>
      <x:c r="J236" s="41">
        <x:v>1</x:v>
      </x:c>
      <x:c r="K236" s="41"/>
      <x:c r="L236" s="21"/>
      <x:c r="M236" s="42"/>
      <x:c r="N236" s="21"/>
      <x:c r="O236" s="262"/>
    </x:row>
    <x:row r="237" spans="1:15" s="17" customFormat="1" customHeight="1" outlineLevel="1">
      <x:c r="A237" s="22"/>
      <x:c r="B237" s="43"/>
      <x:c r="C237" s="39"/>
      <x:c r="D237" s="44" t="s">
        <x:v>126</x:v>
      </x:c>
      <x:c r="E237" s="44"/>
      <x:c r="F237" s="205"/>
      <x:c r="G237" s="180"/>
      <x:c r="H237" s="265"/>
      <x:c r="I237" s="245"/>
      <x:c r="J237" s="41">
        <x:v>1</x:v>
      </x:c>
      <x:c r="K237" s="41"/>
      <x:c r="L237" s="21"/>
      <x:c r="M237" s="42"/>
      <x:c r="N237" s="21"/>
      <x:c r="O237" s="262"/>
    </x:row>
    <x:row r="238" spans="1:15" s="17" customFormat="1" customHeight="1" outlineLevel="1">
      <x:c r="A238" s="22"/>
      <x:c r="B238" s="43"/>
      <x:c r="C238" s="39"/>
      <x:c r="D238" s="44" t="s">
        <x:v>114</x:v>
      </x:c>
      <x:c r="E238" s="44"/>
      <x:c r="F238" s="205"/>
      <x:c r="G238" s="180"/>
      <x:c r="H238" s="266"/>
      <x:c r="I238" s="246"/>
      <x:c r="J238" s="41">
        <x:v>1</x:v>
      </x:c>
      <x:c r="K238" s="41"/>
      <x:c r="L238" s="21"/>
      <x:c r="M238" s="42"/>
      <x:c r="N238" s="21"/>
      <x:c r="O238" s="263"/>
    </x:row>
    <x:row r="239" spans="1:15" s="17" customFormat="1" customHeight="1" outlineLevel="1">
      <x:c r="A239" s="22"/>
      <x:c r="B239" s="43" t="s">
        <x:v>617</x:v>
      </x:c>
      <x:c r="C239" s="39"/>
      <x:c r="D239" s="44"/>
      <x:c r="E239" s="44"/>
      <x:c r="F239" s="205"/>
      <x:c r="G239" s="180"/>
      <x:c r="H239" s="270" t="s">
        <x:v>235</x:v>
      </x:c>
      <x:c r="I239" s="247">
        <x:v>2</x:v>
      </x:c>
      <x:c r="J239" s="41"/>
      <x:c r="K239" s="41"/>
      <x:c r="L239" s="21"/>
      <x:c r="M239" s="42"/>
      <x:c r="N239" s="21"/>
      <x:c r="O239" s="261" t="s">
        <x:v>211</x:v>
      </x:c>
    </x:row>
    <x:row r="240" spans="1:15" s="17" customFormat="1" customHeight="1" outlineLevel="1">
      <x:c r="A240" s="22"/>
      <x:c r="B240" s="43"/>
      <x:c r="C240" s="39" t="s">
        <x:v>325</x:v>
      </x:c>
      <x:c r="D240" s="44"/>
      <x:c r="E240" s="44"/>
      <x:c r="F240" s="205"/>
      <x:c r="G240" s="180" t="s">
        <x:v>775</x:v>
      </x:c>
      <x:c r="H240" s="270"/>
      <x:c r="I240" s="247"/>
      <x:c r="J240" s="41">
        <x:v>1</x:v>
      </x:c>
      <x:c r="K240" s="41"/>
      <x:c r="L240" s="21"/>
      <x:c r="M240" s="42"/>
      <x:c r="N240" s="21"/>
      <x:c r="O240" s="262"/>
    </x:row>
    <x:row r="241" spans="1:15" s="17" customFormat="1" customHeight="1" outlineLevel="1">
      <x:c r="A241" s="22"/>
      <x:c r="B241" s="43"/>
      <x:c r="C241" s="39" t="s">
        <x:v>127</x:v>
      </x:c>
      <x:c r="D241" s="44"/>
      <x:c r="E241" s="44"/>
      <x:c r="F241" s="205"/>
      <x:c r="G241" s="180" t="s">
        <x:v>775</x:v>
      </x:c>
      <x:c r="H241" s="270"/>
      <x:c r="I241" s="247"/>
      <x:c r="J241" s="41">
        <x:v>1</x:v>
      </x:c>
      <x:c r="K241" s="41"/>
      <x:c r="L241" s="21"/>
      <x:c r="M241" s="42"/>
      <x:c r="N241" s="21"/>
      <x:c r="O241" s="262"/>
    </x:row>
    <x:row r="242" spans="1:15" s="17" customFormat="1" customHeight="1" outlineLevel="1">
      <x:c r="A242" s="22"/>
      <x:c r="B242" s="43"/>
      <x:c r="C242" s="39" t="s">
        <x:v>326</x:v>
      </x:c>
      <x:c r="D242" s="44"/>
      <x:c r="E242" s="44"/>
      <x:c r="F242" s="205"/>
      <x:c r="G242" s="180" t="s">
        <x:v>775</x:v>
      </x:c>
      <x:c r="H242" s="270"/>
      <x:c r="I242" s="247"/>
      <x:c r="J242" s="41">
        <x:v>1</x:v>
      </x:c>
      <x:c r="K242" s="41"/>
      <x:c r="L242" s="21"/>
      <x:c r="M242" s="42"/>
      <x:c r="N242" s="21"/>
      <x:c r="O242" s="262"/>
    </x:row>
    <x:row r="243" spans="1:15" s="17" customFormat="1" customHeight="1" outlineLevel="1">
      <x:c r="A243" s="22"/>
      <x:c r="B243" s="43"/>
      <x:c r="C243" s="39" t="s">
        <x:v>124</x:v>
      </x:c>
      <x:c r="D243" s="44"/>
      <x:c r="E243" s="44"/>
      <x:c r="F243" s="205"/>
      <x:c r="G243" s="180" t="s">
        <x:v>775</x:v>
      </x:c>
      <x:c r="H243" s="270"/>
      <x:c r="I243" s="247"/>
      <x:c r="J243" s="41">
        <x:v>1</x:v>
      </x:c>
      <x:c r="K243" s="41"/>
      <x:c r="L243" s="21"/>
      <x:c r="M243" s="42"/>
      <x:c r="N243" s="21"/>
      <x:c r="O243" s="262"/>
    </x:row>
    <x:row r="244" spans="1:15" s="17" customFormat="1" customHeight="1" outlineLevel="1">
      <x:c r="A244" s="22"/>
      <x:c r="B244" s="43"/>
      <x:c r="C244" s="39" t="s">
        <x:v>334</x:v>
      </x:c>
      <x:c r="D244" s="44"/>
      <x:c r="E244" s="44"/>
      <x:c r="F244" s="205"/>
      <x:c r="G244" s="180" t="s">
        <x:v>775</x:v>
      </x:c>
      <x:c r="H244" s="270"/>
      <x:c r="I244" s="247"/>
      <x:c r="J244" s="41">
        <x:v>1</x:v>
      </x:c>
      <x:c r="K244" s="41"/>
      <x:c r="L244" s="21"/>
      <x:c r="M244" s="42"/>
      <x:c r="N244" s="21"/>
      <x:c r="O244" s="262"/>
    </x:row>
    <x:row r="245" spans="1:15" s="17" customFormat="1" customHeight="1" outlineLevel="1">
      <x:c r="A245" s="22"/>
      <x:c r="B245" s="43"/>
      <x:c r="C245" s="39" t="s">
        <x:v>332</x:v>
      </x:c>
      <x:c r="D245" s="44"/>
      <x:c r="E245" s="44"/>
      <x:c r="F245" s="205"/>
      <x:c r="G245" s="180" t="s">
        <x:v>337</x:v>
      </x:c>
      <x:c r="H245" s="270"/>
      <x:c r="I245" s="247"/>
      <x:c r="J245" s="41">
        <x:v>1</x:v>
      </x:c>
      <x:c r="K245" s="41"/>
      <x:c r="L245" s="21"/>
      <x:c r="M245" s="42"/>
      <x:c r="N245" s="21"/>
      <x:c r="O245" s="262"/>
    </x:row>
    <x:row r="246" spans="1:15" s="17" customFormat="1" customHeight="1" outlineLevel="1">
      <x:c r="A246" s="22"/>
      <x:c r="B246" s="43"/>
      <x:c r="C246" s="39" t="s">
        <x:v>333</x:v>
      </x:c>
      <x:c r="D246" s="44"/>
      <x:c r="E246" s="44"/>
      <x:c r="F246" s="205"/>
      <x:c r="G246" s="180" t="s">
        <x:v>775</x:v>
      </x:c>
      <x:c r="H246" s="270"/>
      <x:c r="I246" s="247"/>
      <x:c r="J246" s="41">
        <x:v>1</x:v>
      </x:c>
      <x:c r="K246" s="41"/>
      <x:c r="L246" s="21"/>
      <x:c r="M246" s="42"/>
      <x:c r="N246" s="21"/>
      <x:c r="O246" s="262"/>
    </x:row>
    <x:row r="247" spans="1:15" s="17" customFormat="1" customHeight="1" outlineLevel="1">
      <x:c r="A247" s="22"/>
      <x:c r="B247" s="43"/>
      <x:c r="C247" s="39" t="s">
        <x:v>419</x:v>
      </x:c>
      <x:c r="D247" s="44"/>
      <x:c r="E247" s="44"/>
      <x:c r="F247" s="205"/>
      <x:c r="G247" s="180" t="s">
        <x:v>775</x:v>
      </x:c>
      <x:c r="H247" s="270"/>
      <x:c r="I247" s="247"/>
      <x:c r="J247" s="41">
        <x:v>1</x:v>
      </x:c>
      <x:c r="K247" s="41"/>
      <x:c r="L247" s="21"/>
      <x:c r="M247" s="42"/>
      <x:c r="N247" s="21"/>
      <x:c r="O247" s="262"/>
    </x:row>
    <x:row r="248" spans="1:15" s="17" customFormat="1" customHeight="1" outlineLevel="1">
      <x:c r="A248" s="22"/>
      <x:c r="B248" s="43"/>
      <x:c r="C248" s="39" t="s">
        <x:v>128</x:v>
      </x:c>
      <x:c r="D248" s="44"/>
      <x:c r="E248" s="44"/>
      <x:c r="F248" s="205"/>
      <x:c r="G248" s="251" t="s">
        <x:v>773</x:v>
      </x:c>
      <x:c r="H248" s="265" t="s">
        <x:v>672</x:v>
      </x:c>
      <x:c r="I248" s="245">
        <x:v>0</x:v>
      </x:c>
      <x:c r="J248" s="41"/>
      <x:c r="K248" s="41"/>
      <x:c r="L248" s="21"/>
      <x:c r="M248" s="42"/>
      <x:c r="N248" s="21"/>
      <x:c r="O248" s="262"/>
    </x:row>
    <x:row r="249" spans="1:15" s="17" customFormat="1" customHeight="1" outlineLevel="1">
      <x:c r="A249" s="22"/>
      <x:c r="B249" s="43"/>
      <x:c r="C249" s="39"/>
      <x:c r="D249" s="44" t="s">
        <x:v>898</x:v>
      </x:c>
      <x:c r="E249" s="44"/>
      <x:c r="F249" s="205"/>
      <x:c r="G249" s="252"/>
      <x:c r="H249" s="265"/>
      <x:c r="I249" s="245"/>
      <x:c r="J249" s="41">
        <x:v>1</x:v>
      </x:c>
      <x:c r="K249" s="41"/>
      <x:c r="L249" s="21"/>
      <x:c r="M249" s="42"/>
      <x:c r="N249" s="21"/>
      <x:c r="O249" s="262"/>
    </x:row>
    <x:row r="250" spans="1:15" s="17" customFormat="1" customHeight="1" outlineLevel="1">
      <x:c r="A250" s="22"/>
      <x:c r="B250" s="43"/>
      <x:c r="C250" s="39"/>
      <x:c r="D250" s="44" t="s">
        <x:v>138</x:v>
      </x:c>
      <x:c r="E250" s="44"/>
      <x:c r="F250" s="205"/>
      <x:c r="G250" s="252"/>
      <x:c r="H250" s="265"/>
      <x:c r="I250" s="245"/>
      <x:c r="J250" s="41">
        <x:v>1</x:v>
      </x:c>
      <x:c r="K250" s="41"/>
      <x:c r="L250" s="21"/>
      <x:c r="M250" s="42"/>
      <x:c r="N250" s="21"/>
      <x:c r="O250" s="262"/>
    </x:row>
    <x:row r="251" spans="1:15" s="17" customFormat="1" customHeight="1" outlineLevel="1">
      <x:c r="A251" s="22"/>
      <x:c r="B251" s="43"/>
      <x:c r="C251" s="39"/>
      <x:c r="D251" s="44" t="s">
        <x:v>129</x:v>
      </x:c>
      <x:c r="E251" s="44"/>
      <x:c r="F251" s="205"/>
      <x:c r="G251" s="252"/>
      <x:c r="H251" s="265"/>
      <x:c r="I251" s="245"/>
      <x:c r="J251" s="41">
        <x:v>1</x:v>
      </x:c>
      <x:c r="K251" s="41"/>
      <x:c r="L251" s="21"/>
      <x:c r="M251" s="42"/>
      <x:c r="N251" s="21"/>
      <x:c r="O251" s="262"/>
    </x:row>
    <x:row r="252" spans="1:15" s="17" customFormat="1" customHeight="1" outlineLevel="1">
      <x:c r="A252" s="22"/>
      <x:c r="B252" s="43"/>
      <x:c r="C252" s="39"/>
      <x:c r="D252" s="44" t="s">
        <x:v>426</x:v>
      </x:c>
      <x:c r="E252" s="44"/>
      <x:c r="F252" s="205"/>
      <x:c r="G252" s="252"/>
      <x:c r="H252" s="265"/>
      <x:c r="I252" s="245"/>
      <x:c r="J252" s="41">
        <x:v>1</x:v>
      </x:c>
      <x:c r="K252" s="41"/>
      <x:c r="L252" s="21"/>
      <x:c r="M252" s="42"/>
      <x:c r="N252" s="21"/>
      <x:c r="O252" s="262"/>
    </x:row>
    <x:row r="253" spans="1:15" s="17" customFormat="1" customHeight="1" outlineLevel="1">
      <x:c r="A253" s="22"/>
      <x:c r="B253" s="43"/>
      <x:c r="C253" s="39"/>
      <x:c r="D253" s="44" t="s">
        <x:v>438</x:v>
      </x:c>
      <x:c r="E253" s="44"/>
      <x:c r="F253" s="205"/>
      <x:c r="G253" s="252"/>
      <x:c r="H253" s="265"/>
      <x:c r="I253" s="245"/>
      <x:c r="J253" s="41">
        <x:v>1</x:v>
      </x:c>
      <x:c r="K253" s="41"/>
      <x:c r="L253" s="21"/>
      <x:c r="M253" s="42"/>
      <x:c r="N253" s="21"/>
      <x:c r="O253" s="262"/>
    </x:row>
    <x:row r="254" spans="1:15" s="17" customFormat="1" customHeight="1" outlineLevel="1">
      <x:c r="A254" s="22"/>
      <x:c r="B254" s="43"/>
      <x:c r="C254" s="39"/>
      <x:c r="D254" s="44" t="s">
        <x:v>439</x:v>
      </x:c>
      <x:c r="E254" s="44"/>
      <x:c r="F254" s="205"/>
      <x:c r="G254" s="252"/>
      <x:c r="H254" s="265"/>
      <x:c r="I254" s="245"/>
      <x:c r="J254" s="41">
        <x:v>1</x:v>
      </x:c>
      <x:c r="K254" s="41"/>
      <x:c r="L254" s="21"/>
      <x:c r="M254" s="42"/>
      <x:c r="N254" s="21"/>
      <x:c r="O254" s="262"/>
    </x:row>
    <x:row r="255" spans="1:15" s="17" customFormat="1" customHeight="1" outlineLevel="1">
      <x:c r="A255" s="22"/>
      <x:c r="B255" s="43"/>
      <x:c r="C255" s="39"/>
      <x:c r="D255" s="44" t="s">
        <x:v>420</x:v>
      </x:c>
      <x:c r="E255" s="44"/>
      <x:c r="F255" s="205"/>
      <x:c r="G255" s="252"/>
      <x:c r="H255" s="265"/>
      <x:c r="I255" s="245"/>
      <x:c r="J255" s="41">
        <x:v>1</x:v>
      </x:c>
      <x:c r="K255" s="41"/>
      <x:c r="L255" s="21"/>
      <x:c r="M255" s="42"/>
      <x:c r="N255" s="21"/>
      <x:c r="O255" s="262"/>
    </x:row>
    <x:row r="256" spans="1:15" s="17" customFormat="1" customHeight="1" outlineLevel="1">
      <x:c r="A256" s="22"/>
      <x:c r="B256" s="43"/>
      <x:c r="C256" s="39"/>
      <x:c r="D256" s="44" t="s">
        <x:v>130</x:v>
      </x:c>
      <x:c r="E256" s="44"/>
      <x:c r="F256" s="205"/>
      <x:c r="G256" s="253"/>
      <x:c r="H256" s="265"/>
      <x:c r="I256" s="245"/>
      <x:c r="J256" s="41">
        <x:v>1</x:v>
      </x:c>
      <x:c r="K256" s="41"/>
      <x:c r="L256" s="21"/>
      <x:c r="M256" s="42"/>
      <x:c r="N256" s="21"/>
      <x:c r="O256" s="263"/>
    </x:row>
    <x:row r="257" spans="1:15" s="17" customFormat="1" customHeight="1" outlineLevel="1">
      <x:c r="A257" s="22"/>
      <x:c r="B257" s="43" t="s">
        <x:v>621</x:v>
      </x:c>
      <x:c r="C257" s="39"/>
      <x:c r="D257" s="44"/>
      <x:c r="E257" s="44"/>
      <x:c r="F257" s="205"/>
      <x:c r="G257" s="180"/>
      <x:c r="H257" s="265"/>
      <x:c r="I257" s="245"/>
      <x:c r="J257" s="41"/>
      <x:c r="K257" s="41"/>
      <x:c r="L257" s="21"/>
      <x:c r="M257" s="42"/>
      <x:c r="N257" s="21"/>
      <x:c r="O257" s="254" t="s">
        <x:v>367</x:v>
      </x:c>
    </x:row>
    <x:row r="258" spans="1:15" s="17" customFormat="1" customHeight="1" outlineLevel="1">
      <x:c r="A258" s="22"/>
      <x:c r="B258" s="50"/>
      <x:c r="C258" s="39" t="s">
        <x:v>141</x:v>
      </x:c>
      <x:c r="D258" s="44"/>
      <x:c r="E258" s="44"/>
      <x:c r="F258" s="205"/>
      <x:c r="G258" s="180" t="s">
        <x:v>764</x:v>
      </x:c>
      <x:c r="H258" s="265"/>
      <x:c r="I258" s="245"/>
      <x:c r="J258" s="41">
        <x:v>1</x:v>
      </x:c>
      <x:c r="K258" s="41"/>
      <x:c r="L258" s="21"/>
      <x:c r="M258" s="42"/>
      <x:c r="N258" s="21"/>
      <x:c r="O258" s="255"/>
    </x:row>
    <x:row r="259" spans="1:15" s="17" customFormat="1" customHeight="1" outlineLevel="1">
      <x:c r="A259" s="22"/>
      <x:c r="B259" s="50"/>
      <x:c r="C259" s="39" t="s">
        <x:v>113</x:v>
      </x:c>
      <x:c r="D259" s="44"/>
      <x:c r="E259" s="44"/>
      <x:c r="F259" s="205"/>
      <x:c r="G259" s="180" t="s">
        <x:v>764</x:v>
      </x:c>
      <x:c r="H259" s="265"/>
      <x:c r="I259" s="245"/>
      <x:c r="J259" s="41">
        <x:v>1</x:v>
      </x:c>
      <x:c r="K259" s="41"/>
      <x:c r="L259" s="21"/>
      <x:c r="M259" s="42"/>
      <x:c r="N259" s="21"/>
      <x:c r="O259" s="255"/>
    </x:row>
    <x:row r="260" spans="1:15" s="17" customFormat="1" customHeight="1" outlineLevel="1">
      <x:c r="A260" s="22"/>
      <x:c r="B260" s="50"/>
      <x:c r="C260" s="39" t="s">
        <x:v>111</x:v>
      </x:c>
      <x:c r="D260" s="44"/>
      <x:c r="E260" s="44"/>
      <x:c r="F260" s="205"/>
      <x:c r="G260" s="180" t="s">
        <x:v>764</x:v>
      </x:c>
      <x:c r="H260" s="265"/>
      <x:c r="I260" s="245"/>
      <x:c r="J260" s="41">
        <x:v>1</x:v>
      </x:c>
      <x:c r="K260" s="41"/>
      <x:c r="L260" s="21"/>
      <x:c r="M260" s="42"/>
      <x:c r="N260" s="21"/>
      <x:c r="O260" s="255"/>
    </x:row>
    <x:row r="261" spans="1:15" s="17" customFormat="1" customHeight="1" outlineLevel="1">
      <x:c r="A261" s="22"/>
      <x:c r="B261" s="50"/>
      <x:c r="C261" s="39" t="s">
        <x:v>335</x:v>
      </x:c>
      <x:c r="D261" s="44"/>
      <x:c r="E261" s="44"/>
      <x:c r="F261" s="205"/>
      <x:c r="G261" s="180" t="s">
        <x:v>764</x:v>
      </x:c>
      <x:c r="H261" s="265"/>
      <x:c r="I261" s="245"/>
      <x:c r="J261" s="41">
        <x:v>1</x:v>
      </x:c>
      <x:c r="K261" s="41"/>
      <x:c r="L261" s="21"/>
      <x:c r="M261" s="42"/>
      <x:c r="N261" s="21" t="s">
        <x:v>340</x:v>
      </x:c>
      <x:c r="O261" s="255"/>
    </x:row>
    <x:row r="262" spans="1:15" s="17" customFormat="1" customHeight="1" outlineLevel="1">
      <x:c r="A262" s="22"/>
      <x:c r="B262" s="50"/>
      <x:c r="C262" s="39" t="s">
        <x:v>133</x:v>
      </x:c>
      <x:c r="D262" s="44"/>
      <x:c r="E262" s="44"/>
      <x:c r="F262" s="205"/>
      <x:c r="G262" s="251" t="s">
        <x:v>787</x:v>
      </x:c>
      <x:c r="H262" s="265"/>
      <x:c r="I262" s="245"/>
      <x:c r="J262" s="41"/>
      <x:c r="K262" s="41"/>
      <x:c r="L262" s="21"/>
      <x:c r="M262" s="42"/>
      <x:c r="N262" s="21"/>
      <x:c r="O262" s="255"/>
    </x:row>
    <x:row r="263" spans="1:15" s="17" customFormat="1" customHeight="1" outlineLevel="1">
      <x:c r="A263" s="22"/>
      <x:c r="B263" s="50"/>
      <x:c r="C263" s="39"/>
      <x:c r="D263" s="39" t="s">
        <x:v>118</x:v>
      </x:c>
      <x:c r="E263" s="44"/>
      <x:c r="F263" s="205"/>
      <x:c r="G263" s="252"/>
      <x:c r="H263" s="265"/>
      <x:c r="I263" s="245"/>
      <x:c r="J263" s="41">
        <x:v>1</x:v>
      </x:c>
      <x:c r="K263" s="41"/>
      <x:c r="L263" s="21"/>
      <x:c r="M263" s="42"/>
      <x:c r="N263" s="21"/>
      <x:c r="O263" s="255"/>
    </x:row>
    <x:row r="264" spans="1:15" s="17" customFormat="1" customHeight="1" outlineLevel="1">
      <x:c r="A264" s="22"/>
      <x:c r="B264" s="50"/>
      <x:c r="C264" s="39"/>
      <x:c r="D264" s="44" t="s">
        <x:v>421</x:v>
      </x:c>
      <x:c r="E264" s="44"/>
      <x:c r="F264" s="205"/>
      <x:c r="G264" s="252"/>
      <x:c r="H264" s="265"/>
      <x:c r="I264" s="245"/>
      <x:c r="J264" s="41">
        <x:v>1</x:v>
      </x:c>
      <x:c r="K264" s="41"/>
      <x:c r="L264" s="21"/>
      <x:c r="M264" s="42"/>
      <x:c r="N264" s="21"/>
      <x:c r="O264" s="255"/>
    </x:row>
    <x:row r="265" spans="1:15" s="17" customFormat="1" customHeight="1" outlineLevel="1">
      <x:c r="A265" s="22"/>
      <x:c r="B265" s="50"/>
      <x:c r="C265" s="39"/>
      <x:c r="D265" s="39" t="s">
        <x:v>119</x:v>
      </x:c>
      <x:c r="E265" s="44"/>
      <x:c r="F265" s="205"/>
      <x:c r="G265" s="252"/>
      <x:c r="H265" s="265"/>
      <x:c r="I265" s="245"/>
      <x:c r="J265" s="41">
        <x:v>1</x:v>
      </x:c>
      <x:c r="K265" s="41"/>
      <x:c r="L265" s="21"/>
      <x:c r="M265" s="42"/>
      <x:c r="N265" s="21"/>
      <x:c r="O265" s="255"/>
    </x:row>
    <x:row r="266" spans="1:15" s="17" customFormat="1" customHeight="1" outlineLevel="1">
      <x:c r="A266" s="22"/>
      <x:c r="B266" s="50"/>
      <x:c r="C266" s="39"/>
      <x:c r="D266" s="39" t="s">
        <x:v>166</x:v>
      </x:c>
      <x:c r="E266" s="44"/>
      <x:c r="F266" s="205"/>
      <x:c r="G266" s="252"/>
      <x:c r="H266" s="265"/>
      <x:c r="I266" s="245"/>
      <x:c r="J266" s="41">
        <x:v>1</x:v>
      </x:c>
      <x:c r="K266" s="41"/>
      <x:c r="L266" s="21"/>
      <x:c r="M266" s="42"/>
      <x:c r="N266" s="21"/>
      <x:c r="O266" s="255"/>
    </x:row>
    <x:row r="267" spans="1:15" s="17" customFormat="1" customHeight="1" outlineLevel="1">
      <x:c r="A267" s="22"/>
      <x:c r="B267" s="50"/>
      <x:c r="C267" s="39"/>
      <x:c r="D267" s="39" t="s">
        <x:v>173</x:v>
      </x:c>
      <x:c r="E267" s="44"/>
      <x:c r="F267" s="205"/>
      <x:c r="G267" s="252"/>
      <x:c r="H267" s="265"/>
      <x:c r="I267" s="245"/>
      <x:c r="J267" s="41">
        <x:v>1</x:v>
      </x:c>
      <x:c r="K267" s="41"/>
      <x:c r="L267" s="21"/>
      <x:c r="M267" s="42"/>
      <x:c r="N267" s="21"/>
      <x:c r="O267" s="255"/>
    </x:row>
    <x:row r="268" spans="1:15" s="17" customFormat="1" customHeight="1" outlineLevel="1">
      <x:c r="A268" s="22"/>
      <x:c r="B268" s="50"/>
      <x:c r="C268" s="39"/>
      <x:c r="D268" s="39" t="s">
        <x:v>169</x:v>
      </x:c>
      <x:c r="E268" s="44"/>
      <x:c r="F268" s="205"/>
      <x:c r="G268" s="252"/>
      <x:c r="H268" s="265"/>
      <x:c r="I268" s="245"/>
      <x:c r="J268" s="41">
        <x:v>1</x:v>
      </x:c>
      <x:c r="K268" s="41"/>
      <x:c r="L268" s="21"/>
      <x:c r="M268" s="42"/>
      <x:c r="N268" s="21"/>
      <x:c r="O268" s="255"/>
    </x:row>
    <x:row r="269" spans="1:15" s="17" customFormat="1" customHeight="1" outlineLevel="1">
      <x:c r="A269" s="22"/>
      <x:c r="B269" s="50"/>
      <x:c r="C269" s="39"/>
      <x:c r="D269" s="39" t="s">
        <x:v>162</x:v>
      </x:c>
      <x:c r="E269" s="44"/>
      <x:c r="F269" s="205"/>
      <x:c r="G269" s="253"/>
      <x:c r="H269" s="265"/>
      <x:c r="I269" s="245"/>
      <x:c r="J269" s="41">
        <x:v>1</x:v>
      </x:c>
      <x:c r="K269" s="41"/>
      <x:c r="L269" s="21"/>
      <x:c r="M269" s="42"/>
      <x:c r="N269" s="21"/>
      <x:c r="O269" s="255"/>
    </x:row>
    <x:row r="270" spans="1:15" s="17" customFormat="1" customHeight="1" outlineLevel="1">
      <x:c r="A270" s="22"/>
      <x:c r="B270" s="50"/>
      <x:c r="C270" s="39" t="s">
        <x:v>115</x:v>
      </x:c>
      <x:c r="D270" s="44"/>
      <x:c r="E270" s="44"/>
      <x:c r="F270" s="205"/>
      <x:c r="G270" s="257" t="s">
        <x:v>777</x:v>
      </x:c>
      <x:c r="H270" s="265"/>
      <x:c r="I270" s="245"/>
      <x:c r="J270" s="41">
        <x:v>1</x:v>
      </x:c>
      <x:c r="K270" s="41"/>
      <x:c r="L270" s="21"/>
      <x:c r="M270" s="42"/>
      <x:c r="N270" s="21"/>
      <x:c r="O270" s="255"/>
    </x:row>
    <x:row r="271" spans="1:15" s="17" customFormat="1" customHeight="1" outlineLevel="1">
      <x:c r="A271" s="22"/>
      <x:c r="B271" s="50"/>
      <x:c r="C271" s="39" t="s">
        <x:v>331</x:v>
      </x:c>
      <x:c r="D271" s="44"/>
      <x:c r="E271" s="44"/>
      <x:c r="F271" s="205"/>
      <x:c r="G271" s="257"/>
      <x:c r="H271" s="265"/>
      <x:c r="I271" s="245"/>
      <x:c r="J271" s="41">
        <x:v>1</x:v>
      </x:c>
      <x:c r="K271" s="41"/>
      <x:c r="L271" s="21"/>
      <x:c r="M271" s="42"/>
      <x:c r="N271" s="21"/>
      <x:c r="O271" s="255"/>
    </x:row>
    <x:row r="272" spans="1:15" s="17" customFormat="1" customHeight="1" outlineLevel="1">
      <x:c r="A272" s="22"/>
      <x:c r="B272" s="50"/>
      <x:c r="C272" s="39" t="s">
        <x:v>116</x:v>
      </x:c>
      <x:c r="D272" s="44"/>
      <x:c r="E272" s="44"/>
      <x:c r="F272" s="205"/>
      <x:c r="G272" s="257"/>
      <x:c r="H272" s="265"/>
      <x:c r="I272" s="245"/>
      <x:c r="J272" s="41">
        <x:v>1</x:v>
      </x:c>
      <x:c r="K272" s="41"/>
      <x:c r="L272" s="21"/>
      <x:c r="M272" s="42"/>
      <x:c r="N272" s="21"/>
      <x:c r="O272" s="255"/>
    </x:row>
    <x:row r="273" spans="1:15" s="17" customFormat="1" customHeight="1" outlineLevel="1">
      <x:c r="A273" s="22"/>
      <x:c r="B273" s="50"/>
      <x:c r="C273" s="39" t="s">
        <x:v>117</x:v>
      </x:c>
      <x:c r="D273" s="44"/>
      <x:c r="E273" s="44"/>
      <x:c r="F273" s="205"/>
      <x:c r="G273" s="257"/>
      <x:c r="H273" s="265"/>
      <x:c r="I273" s="245"/>
      <x:c r="J273" s="41"/>
      <x:c r="K273" s="41"/>
      <x:c r="L273" s="21"/>
      <x:c r="M273" s="42"/>
      <x:c r="N273" s="236" t="s">
        <x:v>626</x:v>
      </x:c>
      <x:c r="O273" s="255"/>
    </x:row>
    <x:row r="274" spans="1:15" s="17" customFormat="1" customHeight="1" outlineLevel="1">
      <x:c r="A274" s="22"/>
      <x:c r="B274" s="50"/>
      <x:c r="C274" s="39"/>
      <x:c r="D274" s="39" t="s">
        <x:v>440</x:v>
      </x:c>
      <x:c r="E274" s="44"/>
      <x:c r="F274" s="205"/>
      <x:c r="G274" s="257"/>
      <x:c r="H274" s="265"/>
      <x:c r="I274" s="245"/>
      <x:c r="J274" s="41">
        <x:v>1</x:v>
      </x:c>
      <x:c r="K274" s="41"/>
      <x:c r="L274" s="21"/>
      <x:c r="M274" s="42"/>
      <x:c r="N274" s="237"/>
      <x:c r="O274" s="255"/>
    </x:row>
    <x:row r="275" spans="1:15" s="17" customFormat="1" customHeight="1" outlineLevel="1">
      <x:c r="A275" s="22"/>
      <x:c r="B275" s="50"/>
      <x:c r="C275" s="39"/>
      <x:c r="D275" s="39" t="s">
        <x:v>871</x:v>
      </x:c>
      <x:c r="E275" s="44"/>
      <x:c r="F275" s="205"/>
      <x:c r="G275" s="257"/>
      <x:c r="H275" s="265"/>
      <x:c r="I275" s="245"/>
      <x:c r="J275" s="41">
        <x:v>2</x:v>
      </x:c>
      <x:c r="K275" s="41"/>
      <x:c r="L275" s="21"/>
      <x:c r="M275" s="42"/>
      <x:c r="N275" s="237"/>
      <x:c r="O275" s="255"/>
    </x:row>
    <x:row r="276" spans="1:15" s="17" customFormat="1" customHeight="1" outlineLevel="1">
      <x:c r="A276" s="22"/>
      <x:c r="B276" s="50"/>
      <x:c r="C276" s="39"/>
      <x:c r="D276" s="39" t="s">
        <x:v>437</x:v>
      </x:c>
      <x:c r="E276" s="44"/>
      <x:c r="F276" s="205"/>
      <x:c r="G276" s="257"/>
      <x:c r="H276" s="265"/>
      <x:c r="I276" s="245"/>
      <x:c r="J276" s="41">
        <x:v>1</x:v>
      </x:c>
      <x:c r="K276" s="41"/>
      <x:c r="L276" s="21"/>
      <x:c r="M276" s="42"/>
      <x:c r="N276" s="237"/>
      <x:c r="O276" s="255"/>
    </x:row>
    <x:row r="277" spans="1:15" s="17" customFormat="1" customHeight="1" outlineLevel="1">
      <x:c r="A277" s="22"/>
      <x:c r="B277" s="50"/>
      <x:c r="C277" s="39"/>
      <x:c r="D277" s="39" t="s">
        <x:v>878</x:v>
      </x:c>
      <x:c r="E277" s="44"/>
      <x:c r="F277" s="205"/>
      <x:c r="G277" s="257"/>
      <x:c r="H277" s="265"/>
      <x:c r="I277" s="245"/>
      <x:c r="J277" s="41">
        <x:v>2</x:v>
      </x:c>
      <x:c r="K277" s="41"/>
      <x:c r="L277" s="21"/>
      <x:c r="M277" s="42"/>
      <x:c r="N277" s="237"/>
      <x:c r="O277" s="255"/>
    </x:row>
    <x:row r="278" spans="1:15" s="17" customFormat="1" customHeight="1" outlineLevel="1">
      <x:c r="A278" s="22"/>
      <x:c r="B278" s="50"/>
      <x:c r="C278" s="39"/>
      <x:c r="D278" s="39" t="s">
        <x:v>167</x:v>
      </x:c>
      <x:c r="E278" s="44"/>
      <x:c r="F278" s="205"/>
      <x:c r="G278" s="257"/>
      <x:c r="H278" s="265"/>
      <x:c r="I278" s="245"/>
      <x:c r="J278" s="41">
        <x:v>1</x:v>
      </x:c>
      <x:c r="K278" s="41"/>
      <x:c r="L278" s="21"/>
      <x:c r="M278" s="42"/>
      <x:c r="N278" s="237"/>
      <x:c r="O278" s="255"/>
    </x:row>
    <x:row r="279" spans="1:15" s="17" customFormat="1" customHeight="1" outlineLevel="1">
      <x:c r="A279" s="22"/>
      <x:c r="B279" s="50"/>
      <x:c r="C279" s="39"/>
      <x:c r="D279" s="39" t="s">
        <x:v>172</x:v>
      </x:c>
      <x:c r="E279" s="44"/>
      <x:c r="F279" s="205"/>
      <x:c r="G279" s="257"/>
      <x:c r="H279" s="265"/>
      <x:c r="I279" s="245"/>
      <x:c r="J279" s="41">
        <x:v>1</x:v>
      </x:c>
      <x:c r="K279" s="41"/>
      <x:c r="L279" s="21"/>
      <x:c r="M279" s="42"/>
      <x:c r="N279" s="237"/>
      <x:c r="O279" s="255"/>
    </x:row>
    <x:row r="280" spans="1:15" s="17" customFormat="1" customHeight="1" outlineLevel="1">
      <x:c r="A280" s="22"/>
      <x:c r="B280" s="50"/>
      <x:c r="C280" s="39"/>
      <x:c r="D280" s="39" t="s">
        <x:v>422</x:v>
      </x:c>
      <x:c r="E280" s="44"/>
      <x:c r="F280" s="205"/>
      <x:c r="G280" s="257"/>
      <x:c r="H280" s="265"/>
      <x:c r="I280" s="245"/>
      <x:c r="J280" s="41">
        <x:v>9</x:v>
      </x:c>
      <x:c r="K280" s="41"/>
      <x:c r="L280" s="21"/>
      <x:c r="M280" s="42"/>
      <x:c r="N280" s="237"/>
      <x:c r="O280" s="255"/>
    </x:row>
    <x:row r="281" spans="1:15" s="17" customFormat="1" customHeight="1" outlineLevel="1">
      <x:c r="A281" s="22"/>
      <x:c r="B281" s="50"/>
      <x:c r="C281" s="39"/>
      <x:c r="D281" s="39" t="s">
        <x:v>148</x:v>
      </x:c>
      <x:c r="E281" s="44"/>
      <x:c r="F281" s="205"/>
      <x:c r="G281" s="257"/>
      <x:c r="H281" s="265"/>
      <x:c r="I281" s="245"/>
      <x:c r="J281" s="41">
        <x:v>3</x:v>
      </x:c>
      <x:c r="K281" s="41"/>
      <x:c r="L281" s="21"/>
      <x:c r="M281" s="42"/>
      <x:c r="N281" s="237"/>
      <x:c r="O281" s="255"/>
    </x:row>
    <x:row r="282" spans="1:15" s="17" customFormat="1" customHeight="1" outlineLevel="1">
      <x:c r="A282" s="22"/>
      <x:c r="B282" s="50"/>
      <x:c r="C282" s="39"/>
      <x:c r="D282" s="39" t="s">
        <x:v>423</x:v>
      </x:c>
      <x:c r="E282" s="44"/>
      <x:c r="F282" s="205"/>
      <x:c r="G282" s="257"/>
      <x:c r="H282" s="265"/>
      <x:c r="I282" s="245"/>
      <x:c r="J282" s="41">
        <x:v>2</x:v>
      </x:c>
      <x:c r="K282" s="41"/>
      <x:c r="L282" s="21"/>
      <x:c r="M282" s="42"/>
      <x:c r="N282" s="237"/>
      <x:c r="O282" s="255"/>
    </x:row>
    <x:row r="283" spans="1:15" s="17" customFormat="1" customHeight="1" outlineLevel="1">
      <x:c r="A283" s="22"/>
      <x:c r="B283" s="50"/>
      <x:c r="C283" s="39"/>
      <x:c r="D283" s="39" t="s">
        <x:v>424</x:v>
      </x:c>
      <x:c r="E283" s="44"/>
      <x:c r="F283" s="205"/>
      <x:c r="G283" s="257"/>
      <x:c r="H283" s="265"/>
      <x:c r="I283" s="245"/>
      <x:c r="J283" s="41">
        <x:v>2</x:v>
      </x:c>
      <x:c r="K283" s="41"/>
      <x:c r="L283" s="21"/>
      <x:c r="M283" s="42"/>
      <x:c r="N283" s="237"/>
      <x:c r="O283" s="255"/>
    </x:row>
    <x:row r="284" spans="1:15" s="17" customFormat="1" customHeight="1" outlineLevel="1">
      <x:c r="A284" s="22"/>
      <x:c r="B284" s="50" t="s">
        <x:v>669</x:v>
      </x:c>
      <x:c r="C284" s="39"/>
      <x:c r="D284" s="39"/>
      <x:c r="E284" s="44"/>
      <x:c r="F284" s="205"/>
      <x:c r="G284" s="251" t="s">
        <x:v>741</x:v>
      </x:c>
      <x:c r="H284" s="239" t="s">
        <x:v>236</x:v>
      </x:c>
      <x:c r="I284" s="247">
        <x:v>2</x:v>
      </x:c>
      <x:c r="J284" s="41"/>
      <x:c r="K284" s="41"/>
      <x:c r="L284" s="21"/>
      <x:c r="M284" s="42"/>
      <x:c r="N284" s="21"/>
      <x:c r="O284" s="254" t="s">
        <x:v>240</x:v>
      </x:c>
    </x:row>
    <x:row r="285" spans="1:15" s="17" customFormat="1" customHeight="1" outlineLevel="1">
      <x:c r="A285" s="22"/>
      <x:c r="B285" s="50"/>
      <x:c r="C285" s="39" t="s">
        <x:v>142</x:v>
      </x:c>
      <x:c r="D285" s="39"/>
      <x:c r="E285" s="44"/>
      <x:c r="F285" s="205"/>
      <x:c r="G285" s="252"/>
      <x:c r="H285" s="243"/>
      <x:c r="I285" s="247"/>
      <x:c r="J285" s="21">
        <x:v>1</x:v>
      </x:c>
      <x:c r="K285" s="41"/>
      <x:c r="L285" s="21"/>
      <x:c r="M285" s="42"/>
      <x:c r="N285" s="21"/>
      <x:c r="O285" s="255"/>
    </x:row>
    <x:row r="286" spans="1:15" s="17" customFormat="1" customHeight="1" outlineLevel="1">
      <x:c r="A286" s="22"/>
      <x:c r="B286" s="50"/>
      <x:c r="C286" s="39" t="s">
        <x:v>869</x:v>
      </x:c>
      <x:c r="D286" s="39"/>
      <x:c r="E286" s="44"/>
      <x:c r="F286" s="205"/>
      <x:c r="G286" s="252"/>
      <x:c r="H286" s="243"/>
      <x:c r="I286" s="247"/>
      <x:c r="J286" s="21">
        <x:v>1</x:v>
      </x:c>
      <x:c r="K286" s="41"/>
      <x:c r="L286" s="21"/>
      <x:c r="M286" s="42"/>
      <x:c r="N286" s="21"/>
      <x:c r="O286" s="255"/>
    </x:row>
    <x:row r="287" spans="1:15" s="17" customFormat="1" customHeight="1" outlineLevel="1">
      <x:c r="A287" s="22"/>
      <x:c r="B287" s="50"/>
      <x:c r="C287" s="39" t="s">
        <x:v>432</x:v>
      </x:c>
      <x:c r="D287" s="39"/>
      <x:c r="E287" s="44"/>
      <x:c r="F287" s="205"/>
      <x:c r="G287" s="252"/>
      <x:c r="H287" s="243"/>
      <x:c r="I287" s="247"/>
      <x:c r="J287" s="21">
        <x:v>1</x:v>
      </x:c>
      <x:c r="K287" s="41"/>
      <x:c r="L287" s="21"/>
      <x:c r="M287" s="42"/>
      <x:c r="N287" s="21"/>
      <x:c r="O287" s="255"/>
    </x:row>
    <x:row r="288" spans="1:15" s="17" customFormat="1" customHeight="1" outlineLevel="1">
      <x:c r="A288" s="22"/>
      <x:c r="B288" s="50"/>
      <x:c r="C288" s="39" t="s">
        <x:v>120</x:v>
      </x:c>
      <x:c r="D288" s="39"/>
      <x:c r="E288" s="44"/>
      <x:c r="F288" s="205"/>
      <x:c r="G288" s="252"/>
      <x:c r="H288" s="243"/>
      <x:c r="I288" s="247"/>
      <x:c r="J288" s="21">
        <x:v>1</x:v>
      </x:c>
      <x:c r="K288" s="41"/>
      <x:c r="L288" s="21"/>
      <x:c r="M288" s="42"/>
      <x:c r="N288" s="21"/>
      <x:c r="O288" s="255"/>
    </x:row>
    <x:row r="289" spans="1:15" s="17" customFormat="1" customHeight="1" outlineLevel="1">
      <x:c r="A289" s="22"/>
      <x:c r="B289" s="50"/>
      <x:c r="C289" s="39" t="s">
        <x:v>135</x:v>
      </x:c>
      <x:c r="D289" s="39"/>
      <x:c r="E289" s="44"/>
      <x:c r="F289" s="205"/>
      <x:c r="G289" s="252"/>
      <x:c r="H289" s="243"/>
      <x:c r="I289" s="247"/>
      <x:c r="J289" s="21">
        <x:v>1</x:v>
      </x:c>
      <x:c r="K289" s="41"/>
      <x:c r="L289" s="21"/>
      <x:c r="M289" s="42"/>
      <x:c r="N289" s="21"/>
      <x:c r="O289" s="255"/>
    </x:row>
    <x:row r="290" spans="1:15" s="17" customFormat="1" customHeight="1" outlineLevel="1">
      <x:c r="A290" s="22"/>
      <x:c r="B290" s="50"/>
      <x:c r="C290" s="39" t="s">
        <x:v>140</x:v>
      </x:c>
      <x:c r="D290" s="39"/>
      <x:c r="E290" s="44"/>
      <x:c r="F290" s="205"/>
      <x:c r="G290" s="252"/>
      <x:c r="H290" s="243"/>
      <x:c r="I290" s="247"/>
      <x:c r="J290" s="21">
        <x:v>2</x:v>
      </x:c>
      <x:c r="K290" s="41"/>
      <x:c r="L290" s="21"/>
      <x:c r="M290" s="42"/>
      <x:c r="N290" s="21"/>
      <x:c r="O290" s="256"/>
    </x:row>
    <x:row r="291" spans="1:15" s="17" customFormat="1" customHeight="1" outlineLevel="1">
      <x:c r="A291" s="22"/>
      <x:c r="B291" s="43" t="s">
        <x:v>38</x:v>
      </x:c>
      <x:c r="C291" s="39"/>
      <x:c r="D291" s="44"/>
      <x:c r="E291" s="44"/>
      <x:c r="F291" s="205"/>
      <x:c r="G291" s="253"/>
      <x:c r="H291" s="240"/>
      <x:c r="I291" s="247"/>
      <x:c r="J291" s="41"/>
      <x:c r="K291" s="41"/>
      <x:c r="L291" s="21"/>
      <x:c r="M291" s="42"/>
      <x:c r="N291" s="21"/>
      <x:c r="O291" s="248" t="s">
        <x:v>578</x:v>
      </x:c>
    </x:row>
    <x:row r="292" spans="1:15" s="17" customFormat="1" customHeight="1" outlineLevel="1">
      <x:c r="A292" s="18"/>
      <x:c r="B292" s="50"/>
      <x:c r="C292" s="39" t="s">
        <x:v>336</x:v>
      </x:c>
      <x:c r="D292" s="39"/>
      <x:c r="E292" s="40"/>
      <x:c r="F292" s="40"/>
      <x:c r="G292" s="41" t="s">
        <x:v>788</x:v>
      </x:c>
      <x:c r="H292" s="239" t="s">
        <x:v>262</x:v>
      </x:c>
      <x:c r="I292" s="245">
        <x:v>3</x:v>
      </x:c>
      <x:c r="J292" s="41"/>
      <x:c r="K292" s="41"/>
      <x:c r="L292" s="21"/>
      <x:c r="M292" s="42"/>
      <x:c r="N292" s="21"/>
      <x:c r="O292" s="249"/>
    </x:row>
    <x:row r="293" spans="1:15" s="17" customFormat="1" customHeight="1" outlineLevel="1">
      <x:c r="A293" s="18"/>
      <x:c r="B293" s="50"/>
      <x:c r="C293" s="39"/>
      <x:c r="D293" s="39" t="s">
        <x:v>339</x:v>
      </x:c>
      <x:c r="E293" s="40"/>
      <x:c r="F293" s="40"/>
      <x:c r="G293" s="41"/>
      <x:c r="H293" s="243"/>
      <x:c r="I293" s="245"/>
      <x:c r="J293" s="41">
        <x:v>1</x:v>
      </x:c>
      <x:c r="K293" s="41"/>
      <x:c r="L293" s="21"/>
      <x:c r="M293" s="42"/>
      <x:c r="N293" s="21"/>
      <x:c r="O293" s="249"/>
    </x:row>
    <x:row r="294" spans="1:15" s="17" customFormat="1" customHeight="1" outlineLevel="1">
      <x:c r="A294" s="18"/>
      <x:c r="B294" s="50"/>
      <x:c r="C294" s="39"/>
      <x:c r="D294" s="39" t="s">
        <x:v>152</x:v>
      </x:c>
      <x:c r="E294" s="40"/>
      <x:c r="F294" s="40"/>
      <x:c r="G294" s="41" t="s">
        <x:v>761</x:v>
      </x:c>
      <x:c r="H294" s="243"/>
      <x:c r="I294" s="245"/>
      <x:c r="J294" s="41">
        <x:v>2</x:v>
      </x:c>
      <x:c r="K294" s="41"/>
      <x:c r="L294" s="21"/>
      <x:c r="M294" s="42"/>
      <x:c r="N294" s="21"/>
      <x:c r="O294" s="249"/>
    </x:row>
    <x:row r="295" spans="1:15" s="17" customFormat="1" customHeight="1" outlineLevel="1">
      <x:c r="A295" s="18"/>
      <x:c r="B295" s="50"/>
      <x:c r="C295" s="39"/>
      <x:c r="D295" s="39" t="s">
        <x:v>906</x:v>
      </x:c>
      <x:c r="E295" s="40"/>
      <x:c r="F295" s="40"/>
      <x:c r="G295" s="41" t="s">
        <x:v>776</x:v>
      </x:c>
      <x:c r="H295" s="243"/>
      <x:c r="I295" s="245"/>
      <x:c r="J295" s="41">
        <x:v>1</x:v>
      </x:c>
      <x:c r="K295" s="41"/>
      <x:c r="L295" s="21"/>
      <x:c r="M295" s="42"/>
      <x:c r="N295" s="21"/>
      <x:c r="O295" s="249"/>
    </x:row>
    <x:row r="296" spans="1:15" s="17" customFormat="1" customHeight="1" outlineLevel="1">
      <x:c r="A296" s="18"/>
      <x:c r="B296" s="50"/>
      <x:c r="C296" s="39"/>
      <x:c r="D296" s="39" t="s">
        <x:v>163</x:v>
      </x:c>
      <x:c r="E296" s="40"/>
      <x:c r="F296" s="40"/>
      <x:c r="G296" s="41" t="s">
        <x:v>786</x:v>
      </x:c>
      <x:c r="H296" s="243"/>
      <x:c r="I296" s="245"/>
      <x:c r="J296" s="41">
        <x:v>3</x:v>
      </x:c>
      <x:c r="K296" s="41"/>
      <x:c r="L296" s="21"/>
      <x:c r="M296" s="42"/>
      <x:c r="N296" s="21"/>
      <x:c r="O296" s="249"/>
    </x:row>
    <x:row r="297" spans="1:15" s="17" customFormat="1" customHeight="1" outlineLevel="1">
      <x:c r="A297" s="18"/>
      <x:c r="B297" s="50"/>
      <x:c r="C297" s="39"/>
      <x:c r="D297" s="39" t="s">
        <x:v>144</x:v>
      </x:c>
      <x:c r="E297" s="40"/>
      <x:c r="F297" s="40"/>
      <x:c r="G297" s="41" t="s">
        <x:v>24</x:v>
      </x:c>
      <x:c r="H297" s="243"/>
      <x:c r="I297" s="245"/>
      <x:c r="J297" s="41"/>
      <x:c r="K297" s="41"/>
      <x:c r="L297" s="21"/>
      <x:c r="M297" s="42"/>
      <x:c r="N297" s="21"/>
      <x:c r="O297" s="249"/>
    </x:row>
    <x:row r="298" spans="1:15" s="17" customFormat="1" customHeight="1" outlineLevel="1">
      <x:c r="A298" s="18"/>
      <x:c r="B298" s="50"/>
      <x:c r="C298" s="39"/>
      <x:c r="D298" s="39"/>
      <x:c r="E298" s="40" t="s">
        <x:v>447</x:v>
      </x:c>
      <x:c r="F298" s="40"/>
      <x:c r="G298" s="41"/>
      <x:c r="H298" s="243"/>
      <x:c r="I298" s="245"/>
      <x:c r="J298" s="41">
        <x:v>1</x:v>
      </x:c>
      <x:c r="K298" s="41"/>
      <x:c r="L298" s="21"/>
      <x:c r="M298" s="42"/>
      <x:c r="N298" s="21"/>
      <x:c r="O298" s="249"/>
    </x:row>
    <x:row r="299" spans="1:15" s="17" customFormat="1" customHeight="1" outlineLevel="1">
      <x:c r="A299" s="18"/>
      <x:c r="B299" s="50"/>
      <x:c r="C299" s="39"/>
      <x:c r="D299" s="39"/>
      <x:c r="E299" s="40" t="s">
        <x:v>464</x:v>
      </x:c>
      <x:c r="F299" s="40"/>
      <x:c r="G299" s="41"/>
      <x:c r="H299" s="243"/>
      <x:c r="I299" s="245"/>
      <x:c r="J299" s="41">
        <x:v>1</x:v>
      </x:c>
      <x:c r="K299" s="41"/>
      <x:c r="L299" s="21"/>
      <x:c r="M299" s="42"/>
      <x:c r="N299" s="21"/>
      <x:c r="O299" s="249"/>
    </x:row>
    <x:row r="300" spans="1:15" s="17" customFormat="1" customHeight="1" outlineLevel="1">
      <x:c r="A300" s="18"/>
      <x:c r="B300" s="50"/>
      <x:c r="C300" s="39"/>
      <x:c r="D300" s="39" t="s">
        <x:v>165</x:v>
      </x:c>
      <x:c r="E300" s="40"/>
      <x:c r="F300" s="40"/>
      <x:c r="G300" s="41" t="s">
        <x:v>786</x:v>
      </x:c>
      <x:c r="H300" s="243"/>
      <x:c r="I300" s="245"/>
      <x:c r="J300" s="41"/>
      <x:c r="K300" s="41"/>
      <x:c r="L300" s="21"/>
      <x:c r="M300" s="42"/>
      <x:c r="N300" s="21"/>
      <x:c r="O300" s="249"/>
    </x:row>
    <x:row r="301" spans="1:15" s="17" customFormat="1" customHeight="1" outlineLevel="1">
      <x:c r="A301" s="18"/>
      <x:c r="B301" s="50"/>
      <x:c r="C301" s="39"/>
      <x:c r="D301" s="39"/>
      <x:c r="E301" s="40" t="s">
        <x:v>465</x:v>
      </x:c>
      <x:c r="F301" s="40"/>
      <x:c r="G301" s="41"/>
      <x:c r="H301" s="243"/>
      <x:c r="I301" s="245"/>
      <x:c r="J301" s="41">
        <x:v>1</x:v>
      </x:c>
      <x:c r="K301" s="41"/>
      <x:c r="L301" s="21"/>
      <x:c r="M301" s="42"/>
      <x:c r="N301" s="21"/>
      <x:c r="O301" s="249"/>
    </x:row>
    <x:row r="302" spans="1:15" s="17" customFormat="1" customHeight="1" outlineLevel="1">
      <x:c r="A302" s="18"/>
      <x:c r="B302" s="50"/>
      <x:c r="C302" s="39"/>
      <x:c r="D302" s="39"/>
      <x:c r="E302" s="40" t="s">
        <x:v>164</x:v>
      </x:c>
      <x:c r="F302" s="40"/>
      <x:c r="G302" s="41"/>
      <x:c r="H302" s="243"/>
      <x:c r="I302" s="245"/>
      <x:c r="J302" s="41">
        <x:v>1</x:v>
      </x:c>
      <x:c r="K302" s="41"/>
      <x:c r="L302" s="21"/>
      <x:c r="M302" s="42"/>
      <x:c r="N302" s="21"/>
      <x:c r="O302" s="249"/>
    </x:row>
    <x:row r="303" spans="1:15" s="17" customFormat="1" customHeight="1" outlineLevel="1">
      <x:c r="A303" s="18"/>
      <x:c r="B303" s="50"/>
      <x:c r="C303" s="39"/>
      <x:c r="D303" s="39"/>
      <x:c r="E303" s="40" t="s">
        <x:v>343</x:v>
      </x:c>
      <x:c r="F303" s="40"/>
      <x:c r="G303" s="41"/>
      <x:c r="H303" s="243"/>
      <x:c r="I303" s="245"/>
      <x:c r="J303" s="41">
        <x:v>1</x:v>
      </x:c>
      <x:c r="K303" s="41"/>
      <x:c r="L303" s="21"/>
      <x:c r="M303" s="42"/>
      <x:c r="N303" s="21"/>
      <x:c r="O303" s="249"/>
    </x:row>
    <x:row r="304" spans="1:15" s="17" customFormat="1" customHeight="1" outlineLevel="1">
      <x:c r="A304" s="18"/>
      <x:c r="B304" s="50"/>
      <x:c r="C304" s="39"/>
      <x:c r="D304" s="39" t="s">
        <x:v>145</x:v>
      </x:c>
      <x:c r="E304" s="40"/>
      <x:c r="F304" s="40"/>
      <x:c r="G304" s="41" t="s">
        <x:v>786</x:v>
      </x:c>
      <x:c r="H304" s="243"/>
      <x:c r="I304" s="245"/>
      <x:c r="J304" s="41">
        <x:v>1</x:v>
      </x:c>
      <x:c r="K304" s="41"/>
      <x:c r="L304" s="21"/>
      <x:c r="M304" s="42"/>
      <x:c r="N304" s="21"/>
      <x:c r="O304" s="249"/>
    </x:row>
    <x:row r="305" spans="1:15" s="17" customFormat="1" customHeight="1" outlineLevel="1">
      <x:c r="A305" s="18"/>
      <x:c r="B305" s="50"/>
      <x:c r="C305" s="39"/>
      <x:c r="D305" s="39" t="s">
        <x:v>155</x:v>
      </x:c>
      <x:c r="E305" s="40"/>
      <x:c r="F305" s="40"/>
      <x:c r="G305" s="41" t="s">
        <x:v>776</x:v>
      </x:c>
      <x:c r="H305" s="240"/>
      <x:c r="I305" s="246"/>
      <x:c r="J305" s="41">
        <x:v>1</x:v>
      </x:c>
      <x:c r="K305" s="41"/>
      <x:c r="L305" s="21"/>
      <x:c r="M305" s="42"/>
      <x:c r="N305" s="21"/>
      <x:c r="O305" s="249"/>
    </x:row>
    <x:row r="306" spans="1:15" s="17" customFormat="1" customHeight="1" outlineLevel="1">
      <x:c r="A306" s="18"/>
      <x:c r="B306" s="50"/>
      <x:c r="C306" s="39" t="s">
        <x:v>338</x:v>
      </x:c>
      <x:c r="D306" s="39"/>
      <x:c r="E306" s="40"/>
      <x:c r="F306" s="40"/>
      <x:c r="G306" s="41"/>
      <x:c r="H306" s="239" t="s">
        <x:v>234</x:v>
      </x:c>
      <x:c r="I306" s="264">
        <x:v>3</x:v>
      </x:c>
      <x:c r="J306" s="41"/>
      <x:c r="K306" s="41"/>
      <x:c r="L306" s="21"/>
      <x:c r="M306" s="42"/>
      <x:c r="N306" s="21"/>
      <x:c r="O306" s="249"/>
    </x:row>
    <x:row r="307" spans="1:15" s="17" customFormat="1" customHeight="1" outlineLevel="1">
      <x:c r="A307" s="18"/>
      <x:c r="B307" s="50"/>
      <x:c r="C307" s="39"/>
      <x:c r="D307" s="39" t="s">
        <x:v>473</x:v>
      </x:c>
      <x:c r="E307" s="40"/>
      <x:c r="F307" s="40"/>
      <x:c r="G307" s="41"/>
      <x:c r="H307" s="243"/>
      <x:c r="I307" s="245"/>
      <x:c r="J307" s="41">
        <x:v>1</x:v>
      </x:c>
      <x:c r="K307" s="41"/>
      <x:c r="L307" s="21"/>
      <x:c r="M307" s="42"/>
      <x:c r="N307" s="21"/>
      <x:c r="O307" s="249"/>
    </x:row>
    <x:row r="308" spans="1:15" s="17" customFormat="1" customHeight="1" outlineLevel="1">
      <x:c r="A308" s="18"/>
      <x:c r="B308" s="50"/>
      <x:c r="C308" s="39"/>
      <x:c r="D308" s="39" t="s">
        <x:v>450</x:v>
      </x:c>
      <x:c r="E308" s="40"/>
      <x:c r="F308" s="40"/>
      <x:c r="G308" s="41"/>
      <x:c r="H308" s="243"/>
      <x:c r="I308" s="245"/>
      <x:c r="J308" s="41">
        <x:v>1</x:v>
      </x:c>
      <x:c r="K308" s="41"/>
      <x:c r="L308" s="21"/>
      <x:c r="M308" s="42"/>
      <x:c r="N308" s="21"/>
      <x:c r="O308" s="249"/>
    </x:row>
    <x:row r="309" spans="1:15" s="17" customFormat="1" customHeight="1" outlineLevel="1">
      <x:c r="A309" s="18"/>
      <x:c r="B309" s="50"/>
      <x:c r="C309" s="39"/>
      <x:c r="D309" s="39" t="s">
        <x:v>168</x:v>
      </x:c>
      <x:c r="E309" s="40"/>
      <x:c r="F309" s="40"/>
      <x:c r="G309" s="41"/>
      <x:c r="H309" s="243"/>
      <x:c r="I309" s="245"/>
      <x:c r="J309" s="41">
        <x:v>1</x:v>
      </x:c>
      <x:c r="K309" s="41"/>
      <x:c r="L309" s="21"/>
      <x:c r="M309" s="42"/>
      <x:c r="N309" s="21"/>
      <x:c r="O309" s="249"/>
    </x:row>
    <x:row r="310" spans="1:15" s="17" customFormat="1" customHeight="1" outlineLevel="1">
      <x:c r="A310" s="18"/>
      <x:c r="B310" s="50"/>
      <x:c r="C310" s="39"/>
      <x:c r="D310" s="39" t="s">
        <x:v>156</x:v>
      </x:c>
      <x:c r="E310" s="40"/>
      <x:c r="F310" s="40"/>
      <x:c r="G310" s="41"/>
      <x:c r="H310" s="243"/>
      <x:c r="I310" s="245"/>
      <x:c r="J310" s="41">
        <x:v>1</x:v>
      </x:c>
      <x:c r="K310" s="41"/>
      <x:c r="L310" s="21"/>
      <x:c r="M310" s="42"/>
      <x:c r="N310" s="21"/>
      <x:c r="O310" s="249"/>
    </x:row>
    <x:row r="311" spans="1:15" s="17" customFormat="1" customHeight="1" outlineLevel="1">
      <x:c r="A311" s="18"/>
      <x:c r="B311" s="50"/>
      <x:c r="C311" s="39"/>
      <x:c r="D311" s="39" t="s">
        <x:v>342</x:v>
      </x:c>
      <x:c r="E311" s="40"/>
      <x:c r="F311" s="40"/>
      <x:c r="G311" s="41"/>
      <x:c r="H311" s="243"/>
      <x:c r="I311" s="245"/>
      <x:c r="J311" s="41">
        <x:v>1</x:v>
      </x:c>
      <x:c r="K311" s="41"/>
      <x:c r="L311" s="21"/>
      <x:c r="M311" s="42"/>
      <x:c r="N311" s="21"/>
      <x:c r="O311" s="249"/>
    </x:row>
    <x:row r="312" spans="1:15" s="17" customFormat="1" customHeight="1" outlineLevel="1">
      <x:c r="A312" s="18"/>
      <x:c r="B312" s="50"/>
      <x:c r="C312" s="39"/>
      <x:c r="D312" s="39" t="s">
        <x:v>346</x:v>
      </x:c>
      <x:c r="E312" s="40"/>
      <x:c r="F312" s="40"/>
      <x:c r="G312" s="41"/>
      <x:c r="H312" s="243"/>
      <x:c r="I312" s="245"/>
      <x:c r="J312" s="41">
        <x:v>3</x:v>
      </x:c>
      <x:c r="K312" s="41"/>
      <x:c r="L312" s="21"/>
      <x:c r="M312" s="42"/>
      <x:c r="N312" s="21"/>
      <x:c r="O312" s="249"/>
    </x:row>
    <x:row r="313" spans="1:15" s="17" customFormat="1" customHeight="1" outlineLevel="1">
      <x:c r="A313" s="18"/>
      <x:c r="B313" s="50"/>
      <x:c r="C313" s="39" t="s">
        <x:v>149</x:v>
      </x:c>
      <x:c r="D313" s="39"/>
      <x:c r="E313" s="40"/>
      <x:c r="F313" s="40"/>
      <x:c r="G313" s="233" t="s">
        <x:v>767</x:v>
      </x:c>
      <x:c r="H313" s="243"/>
      <x:c r="I313" s="245"/>
      <x:c r="J313" s="41"/>
      <x:c r="K313" s="41"/>
      <x:c r="L313" s="21"/>
      <x:c r="M313" s="42"/>
      <x:c r="N313" s="21"/>
      <x:c r="O313" s="249"/>
    </x:row>
    <x:row r="314" spans="1:15" s="17" customFormat="1" customHeight="1" outlineLevel="1">
      <x:c r="A314" s="18"/>
      <x:c r="B314" s="50"/>
      <x:c r="C314" s="39"/>
      <x:c r="D314" s="39" t="s">
        <x:v>153</x:v>
      </x:c>
      <x:c r="E314" s="40"/>
      <x:c r="F314" s="40"/>
      <x:c r="G314" s="234"/>
      <x:c r="H314" s="243"/>
      <x:c r="I314" s="245"/>
      <x:c r="J314" s="41">
        <x:v>1</x:v>
      </x:c>
      <x:c r="K314" s="41"/>
      <x:c r="L314" s="21"/>
      <x:c r="M314" s="42"/>
      <x:c r="N314" s="21"/>
      <x:c r="O314" s="249"/>
    </x:row>
    <x:row r="315" spans="1:15" s="17" customFormat="1" customHeight="1" outlineLevel="1">
      <x:c r="A315" s="18"/>
      <x:c r="B315" s="50"/>
      <x:c r="C315" s="39"/>
      <x:c r="D315" s="39" t="s">
        <x:v>146</x:v>
      </x:c>
      <x:c r="E315" s="40"/>
      <x:c r="F315" s="40"/>
      <x:c r="G315" s="234"/>
      <x:c r="H315" s="243"/>
      <x:c r="I315" s="245"/>
      <x:c r="J315" s="41">
        <x:v>1</x:v>
      </x:c>
      <x:c r="K315" s="41"/>
      <x:c r="L315" s="21"/>
      <x:c r="M315" s="42"/>
      <x:c r="N315" s="21"/>
      <x:c r="O315" s="249"/>
    </x:row>
    <x:row r="316" spans="1:15" s="17" customFormat="1" customHeight="1" outlineLevel="1">
      <x:c r="A316" s="18"/>
      <x:c r="B316" s="50"/>
      <x:c r="C316" s="39"/>
      <x:c r="D316" s="39" t="s">
        <x:v>445</x:v>
      </x:c>
      <x:c r="E316" s="40"/>
      <x:c r="F316" s="40"/>
      <x:c r="G316" s="234"/>
      <x:c r="H316" s="243"/>
      <x:c r="I316" s="245"/>
      <x:c r="J316" s="41">
        <x:v>1</x:v>
      </x:c>
      <x:c r="K316" s="41"/>
      <x:c r="L316" s="21"/>
      <x:c r="M316" s="42"/>
      <x:c r="N316" s="21"/>
      <x:c r="O316" s="249"/>
    </x:row>
    <x:row r="317" spans="1:15" s="17" customFormat="1" customHeight="1" outlineLevel="1">
      <x:c r="A317" s="18"/>
      <x:c r="B317" s="50"/>
      <x:c r="C317" s="39"/>
      <x:c r="D317" s="39" t="s">
        <x:v>150</x:v>
      </x:c>
      <x:c r="E317" s="40"/>
      <x:c r="F317" s="40"/>
      <x:c r="G317" s="234"/>
      <x:c r="H317" s="243"/>
      <x:c r="I317" s="245"/>
      <x:c r="J317" s="41">
        <x:v>1</x:v>
      </x:c>
      <x:c r="K317" s="41"/>
      <x:c r="L317" s="21"/>
      <x:c r="M317" s="42"/>
      <x:c r="N317" s="21"/>
      <x:c r="O317" s="249"/>
    </x:row>
    <x:row r="318" spans="1:15" s="17" customFormat="1" customHeight="1" outlineLevel="1">
      <x:c r="A318" s="18"/>
      <x:c r="B318" s="50"/>
      <x:c r="C318" s="39"/>
      <x:c r="D318" s="39" t="s">
        <x:v>633</x:v>
      </x:c>
      <x:c r="E318" s="40"/>
      <x:c r="F318" s="40"/>
      <x:c r="G318" s="234"/>
      <x:c r="H318" s="243"/>
      <x:c r="I318" s="245"/>
      <x:c r="J318" s="41">
        <x:v>1</x:v>
      </x:c>
      <x:c r="K318" s="41"/>
      <x:c r="L318" s="21"/>
      <x:c r="M318" s="42"/>
      <x:c r="N318" s="21"/>
      <x:c r="O318" s="249"/>
    </x:row>
    <x:row r="319" spans="1:15" s="17" customFormat="1" customHeight="1" outlineLevel="1">
      <x:c r="A319" s="18"/>
      <x:c r="B319" s="50"/>
      <x:c r="C319" s="39"/>
      <x:c r="D319" s="39" t="s">
        <x:v>889</x:v>
      </x:c>
      <x:c r="E319" s="40"/>
      <x:c r="F319" s="40"/>
      <x:c r="G319" s="234"/>
      <x:c r="H319" s="243"/>
      <x:c r="I319" s="245"/>
      <x:c r="J319" s="41">
        <x:v>1</x:v>
      </x:c>
      <x:c r="K319" s="41"/>
      <x:c r="L319" s="21"/>
      <x:c r="M319" s="42"/>
      <x:c r="N319" s="21"/>
      <x:c r="O319" s="249"/>
    </x:row>
    <x:row r="320" spans="1:15" s="17" customFormat="1" customHeight="1" outlineLevel="1">
      <x:c r="A320" s="18"/>
      <x:c r="B320" s="50"/>
      <x:c r="C320" s="39"/>
      <x:c r="D320" s="39" t="s">
        <x:v>453</x:v>
      </x:c>
      <x:c r="E320" s="40"/>
      <x:c r="F320" s="40"/>
      <x:c r="G320" s="234"/>
      <x:c r="H320" s="243"/>
      <x:c r="I320" s="245"/>
      <x:c r="J320" s="41">
        <x:v>2</x:v>
      </x:c>
      <x:c r="K320" s="41"/>
      <x:c r="L320" s="21"/>
      <x:c r="M320" s="42"/>
      <x:c r="N320" s="21"/>
      <x:c r="O320" s="249"/>
    </x:row>
    <x:row r="321" spans="1:15" s="17" customFormat="1" customHeight="1" outlineLevel="1">
      <x:c r="A321" s="18"/>
      <x:c r="B321" s="50"/>
      <x:c r="C321" s="39"/>
      <x:c r="D321" s="39" t="s">
        <x:v>883</x:v>
      </x:c>
      <x:c r="E321" s="40"/>
      <x:c r="F321" s="40"/>
      <x:c r="G321" s="234"/>
      <x:c r="H321" s="243"/>
      <x:c r="I321" s="245"/>
      <x:c r="J321" s="41">
        <x:v>1</x:v>
      </x:c>
      <x:c r="K321" s="41"/>
      <x:c r="L321" s="21"/>
      <x:c r="M321" s="42"/>
      <x:c r="N321" s="21"/>
      <x:c r="O321" s="249"/>
    </x:row>
    <x:row r="322" spans="1:15" s="17" customFormat="1" customHeight="1" outlineLevel="1">
      <x:c r="A322" s="18"/>
      <x:c r="B322" s="50"/>
      <x:c r="C322" s="48"/>
      <x:c r="D322" s="39" t="s">
        <x:v>632</x:v>
      </x:c>
      <x:c r="E322" s="40"/>
      <x:c r="F322" s="40"/>
      <x:c r="G322" s="235"/>
      <x:c r="H322" s="240"/>
      <x:c r="I322" s="246"/>
      <x:c r="J322" s="41">
        <x:v>1</x:v>
      </x:c>
      <x:c r="K322" s="41"/>
      <x:c r="L322" s="21"/>
      <x:c r="M322" s="42"/>
      <x:c r="N322" s="21"/>
      <x:c r="O322" s="250"/>
    </x:row>
    <x:row r="323" spans="1:15" customHeight="1">
      <x:c r="A323" s="25" t="s">
        <x:v>623</x:v>
      </x:c>
      <x:c r="B323" s="26"/>
      <x:c r="C323" s="27"/>
      <x:c r="D323" s="27"/>
      <x:c r="E323" s="26"/>
      <x:c r="F323" s="26"/>
      <x:c r="G323" s="28"/>
      <x:c r="H323" s="35"/>
      <x:c r="I323" s="28">
        <x:f>SUM(I324:I374)</x:f>
        <x:v>10</x:v>
      </x:c>
      <x:c r="J323" s="30">
        <x:f>SUM(J324:J374)</x:f>
        <x:v>25</x:v>
      </x:c>
      <x:c r="K323" s="28" t="s">
        <x:v>554</x:v>
      </x:c>
      <x:c r="L323" s="28" t="s">
        <x:v>559</x:v>
      </x:c>
      <x:c r="M323" s="52">
        <x:f>AVERAGE(M324:M374)</x:f>
        <x:v>0</x:v>
      </x:c>
      <x:c r="N323" s="30"/>
      <x:c r="O323" s="36"/>
    </x:row>
    <x:row r="324" spans="1:15" s="17" customFormat="1" customHeight="1" outlineLevel="1">
      <x:c r="A324" s="18"/>
      <x:c r="B324" s="19" t="s">
        <x:v>499</x:v>
      </x:c>
      <x:c r="C324" s="19"/>
      <x:c r="D324" s="19"/>
      <x:c r="E324" s="20"/>
      <x:c r="F324" s="20"/>
      <x:c r="G324" s="21"/>
      <x:c r="H324" s="20"/>
      <x:c r="I324" s="148"/>
      <x:c r="J324" s="152"/>
      <x:c r="K324" s="21"/>
      <x:c r="L324" s="21"/>
      <x:c r="M324" s="42">
        <x:v>0</x:v>
      </x:c>
      <x:c r="N324" s="21"/>
      <x:c r="O324" s="149"/>
    </x:row>
    <x:row r="325" spans="1:15" s="17" customFormat="1" customHeight="1" outlineLevel="1">
      <x:c r="A325" s="18"/>
      <x:c r="B325" s="49" t="s">
        <x:v>624</x:v>
      </x:c>
      <x:c r="C325" s="19"/>
      <x:c r="D325" s="19"/>
      <x:c r="E325" s="20"/>
      <x:c r="F325" s="20"/>
      <x:c r="G325" s="21"/>
      <x:c r="H325" s="20"/>
      <x:c r="I325" s="23"/>
      <x:c r="J325" s="21"/>
      <x:c r="K325" s="21"/>
      <x:c r="L325" s="21"/>
      <x:c r="N325" s="21"/>
      <x:c r="O325" s="261" t="s">
        <x:v>260</x:v>
      </x:c>
    </x:row>
    <x:row r="326" spans="1:15" s="17" customFormat="1" customHeight="1" outlineLevel="1">
      <x:c r="A326" s="18"/>
      <x:c r="B326" s="23"/>
      <x:c r="C326" s="19" t="s">
        <x:v>344</x:v>
      </x:c>
      <x:c r="D326" s="24"/>
      <x:c r="E326" s="24"/>
      <x:c r="F326" s="204"/>
      <x:c r="G326" s="41" t="s">
        <x:v>780</x:v>
      </x:c>
      <x:c r="H326" s="239" t="s">
        <x:v>202</x:v>
      </x:c>
      <x:c r="I326" s="241">
        <x:v>2</x:v>
      </x:c>
      <x:c r="J326" s="155"/>
      <x:c r="K326" s="21"/>
      <x:c r="L326" s="21"/>
      <x:c r="M326" s="42"/>
      <x:c r="N326" s="21"/>
      <x:c r="O326" s="263"/>
    </x:row>
    <x:row r="327" spans="1:15" s="17" customFormat="1" customHeight="1" outlineLevel="1">
      <x:c r="A327" s="18"/>
      <x:c r="B327" s="23"/>
      <x:c r="C327" s="19"/>
      <x:c r="D327" s="44" t="s">
        <x:v>356</x:v>
      </x:c>
      <x:c r="E327" s="24"/>
      <x:c r="F327" s="204"/>
      <x:c r="G327" s="180"/>
      <x:c r="H327" s="265"/>
      <x:c r="I327" s="244"/>
      <x:c r="J327" s="155">
        <x:v>1</x:v>
      </x:c>
      <x:c r="K327" s="41"/>
      <x:c r="L327" s="21"/>
      <x:c r="M327" s="42"/>
      <x:c r="N327" s="21"/>
      <x:c r="O327" s="149"/>
    </x:row>
    <x:row r="328" spans="1:15" s="17" customFormat="1" customHeight="1" outlineLevel="1">
      <x:c r="A328" s="18"/>
      <x:c r="B328" s="23"/>
      <x:c r="C328" s="19"/>
      <x:c r="D328" s="44" t="s">
        <x:v>355</x:v>
      </x:c>
      <x:c r="E328" s="24"/>
      <x:c r="F328" s="204"/>
      <x:c r="G328" s="180"/>
      <x:c r="H328" s="265"/>
      <x:c r="I328" s="244"/>
      <x:c r="J328" s="155">
        <x:v>1</x:v>
      </x:c>
      <x:c r="K328" s="41"/>
      <x:c r="L328" s="21"/>
      <x:c r="M328" s="42"/>
      <x:c r="N328" s="21"/>
      <x:c r="O328" s="149"/>
    </x:row>
    <x:row r="329" spans="1:15" s="17" customFormat="1" customHeight="1" outlineLevel="1">
      <x:c r="A329" s="18"/>
      <x:c r="B329" s="23"/>
      <x:c r="C329" s="19"/>
      <x:c r="D329" s="44" t="s">
        <x:v>184</x:v>
      </x:c>
      <x:c r="E329" s="24"/>
      <x:c r="F329" s="204"/>
      <x:c r="G329" s="180"/>
      <x:c r="H329" s="265"/>
      <x:c r="I329" s="244"/>
      <x:c r="J329" s="155">
        <x:v>1</x:v>
      </x:c>
      <x:c r="K329" s="41"/>
      <x:c r="L329" s="21"/>
      <x:c r="M329" s="42"/>
      <x:c r="N329" s="21"/>
      <x:c r="O329" s="149"/>
    </x:row>
    <x:row r="330" spans="1:15" s="17" customFormat="1" customHeight="1" outlineLevel="1">
      <x:c r="A330" s="18"/>
      <x:c r="B330" s="23"/>
      <x:c r="C330" s="19"/>
      <x:c r="D330" s="44" t="s">
        <x:v>183</x:v>
      </x:c>
      <x:c r="E330" s="24"/>
      <x:c r="F330" s="204"/>
      <x:c r="G330" s="180"/>
      <x:c r="H330" s="265"/>
      <x:c r="I330" s="244"/>
      <x:c r="J330" s="155">
        <x:v>1</x:v>
      </x:c>
      <x:c r="K330" s="41"/>
      <x:c r="L330" s="21"/>
      <x:c r="M330" s="42"/>
      <x:c r="N330" s="21"/>
      <x:c r="O330" s="149"/>
    </x:row>
    <x:row r="331" spans="1:15" s="17" customFormat="1" customHeight="1" outlineLevel="1">
      <x:c r="A331" s="18"/>
      <x:c r="B331" s="23"/>
      <x:c r="C331" s="19"/>
      <x:c r="D331" s="44" t="s">
        <x:v>904</x:v>
      </x:c>
      <x:c r="E331" s="24"/>
      <x:c r="F331" s="204"/>
      <x:c r="G331" s="180"/>
      <x:c r="H331" s="265"/>
      <x:c r="I331" s="244"/>
      <x:c r="J331" s="155">
        <x:v>1</x:v>
      </x:c>
      <x:c r="K331" s="41"/>
      <x:c r="L331" s="21"/>
      <x:c r="M331" s="42"/>
      <x:c r="N331" s="21"/>
      <x:c r="O331" s="149"/>
    </x:row>
    <x:row r="332" spans="1:15" s="17" customFormat="1" customHeight="1" outlineLevel="1">
      <x:c r="A332" s="18"/>
      <x:c r="B332" s="23"/>
      <x:c r="C332" s="19"/>
      <x:c r="D332" s="44" t="s">
        <x:v>483</x:v>
      </x:c>
      <x:c r="E332" s="24"/>
      <x:c r="F332" s="204"/>
      <x:c r="G332" s="180"/>
      <x:c r="H332" s="266"/>
      <x:c r="I332" s="242"/>
      <x:c r="J332" s="155">
        <x:v>1</x:v>
      </x:c>
      <x:c r="K332" s="41"/>
      <x:c r="L332" s="21"/>
      <x:c r="M332" s="42"/>
      <x:c r="N332" s="21"/>
      <x:c r="O332" s="149"/>
    </x:row>
    <x:row r="333" spans="1:15" s="17" customFormat="1" customHeight="1" outlineLevel="1">
      <x:c r="A333" s="18"/>
      <x:c r="B333" s="23"/>
      <x:c r="C333" s="19" t="s">
        <x:v>345</x:v>
      </x:c>
      <x:c r="D333" s="24"/>
      <x:c r="E333" s="24"/>
      <x:c r="F333" s="204"/>
      <x:c r="G333" s="180" t="s">
        <x:v>765</x:v>
      </x:c>
      <x:c r="H333" s="270" t="s">
        <x:v>215</x:v>
      </x:c>
      <x:c r="I333" s="275">
        <x:v>3</x:v>
      </x:c>
      <x:c r="J333" s="155"/>
      <x:c r="K333" s="41"/>
      <x:c r="L333" s="21"/>
      <x:c r="M333" s="42"/>
      <x:c r="N333" s="21"/>
      <x:c r="O333" s="149"/>
    </x:row>
    <x:row r="334" spans="1:15" s="17" customFormat="1" customHeight="1" outlineLevel="1">
      <x:c r="A334" s="18"/>
      <x:c r="B334" s="49"/>
      <x:c r="C334" s="19"/>
      <x:c r="D334" s="39" t="s">
        <x:v>352</x:v>
      </x:c>
      <x:c r="E334" s="20"/>
      <x:c r="F334" s="20"/>
      <x:c r="G334" s="41"/>
      <x:c r="H334" s="270"/>
      <x:c r="I334" s="275"/>
      <x:c r="J334" s="155">
        <x:v>1</x:v>
      </x:c>
      <x:c r="K334" s="41"/>
      <x:c r="L334" s="21"/>
      <x:c r="M334" s="42"/>
      <x:c r="N334" s="21"/>
      <x:c r="O334" s="149"/>
    </x:row>
    <x:row r="335" spans="1:15" s="17" customFormat="1" customHeight="1" outlineLevel="1">
      <x:c r="A335" s="18"/>
      <x:c r="B335" s="49"/>
      <x:c r="C335" s="19"/>
      <x:c r="D335" s="39" t="s">
        <x:v>179</x:v>
      </x:c>
      <x:c r="E335" s="20"/>
      <x:c r="F335" s="20"/>
      <x:c r="G335" s="41"/>
      <x:c r="H335" s="270"/>
      <x:c r="I335" s="275"/>
      <x:c r="J335" s="155">
        <x:v>1</x:v>
      </x:c>
      <x:c r="K335" s="41"/>
      <x:c r="L335" s="21"/>
      <x:c r="M335" s="42"/>
      <x:c r="N335" s="21"/>
      <x:c r="O335" s="149"/>
    </x:row>
    <x:row r="336" spans="1:15" s="17" customFormat="1" customHeight="1" outlineLevel="1">
      <x:c r="A336" s="18"/>
      <x:c r="B336" s="49"/>
      <x:c r="C336" s="19"/>
      <x:c r="D336" s="39" t="s">
        <x:v>477</x:v>
      </x:c>
      <x:c r="E336" s="20"/>
      <x:c r="F336" s="20"/>
      <x:c r="G336" s="41"/>
      <x:c r="H336" s="270"/>
      <x:c r="I336" s="275"/>
      <x:c r="J336" s="155">
        <x:v>1</x:v>
      </x:c>
      <x:c r="K336" s="41"/>
      <x:c r="L336" s="21"/>
      <x:c r="M336" s="42"/>
      <x:c r="N336" s="21"/>
      <x:c r="O336" s="149"/>
    </x:row>
    <x:row r="337" spans="1:15" s="17" customFormat="1" customHeight="1" outlineLevel="1">
      <x:c r="A337" s="18"/>
      <x:c r="B337" s="49"/>
      <x:c r="C337" s="19"/>
      <x:c r="D337" s="39" t="s">
        <x:v>188</x:v>
      </x:c>
      <x:c r="E337" s="20"/>
      <x:c r="F337" s="20"/>
      <x:c r="G337" s="41"/>
      <x:c r="H337" s="270"/>
      <x:c r="I337" s="275"/>
      <x:c r="J337" s="155">
        <x:v>1</x:v>
      </x:c>
      <x:c r="K337" s="41"/>
      <x:c r="L337" s="21"/>
      <x:c r="M337" s="42"/>
      <x:c r="N337" s="21"/>
      <x:c r="O337" s="149"/>
    </x:row>
    <x:row r="338" spans="1:15" s="17" customFormat="1" customHeight="1" outlineLevel="1">
      <x:c r="A338" s="18"/>
      <x:c r="B338" s="49"/>
      <x:c r="C338" s="19"/>
      <x:c r="D338" s="39" t="s">
        <x:v>474</x:v>
      </x:c>
      <x:c r="E338" s="20"/>
      <x:c r="F338" s="20"/>
      <x:c r="G338" s="41"/>
      <x:c r="H338" s="270"/>
      <x:c r="I338" s="275"/>
      <x:c r="J338" s="21">
        <x:v>2</x:v>
      </x:c>
      <x:c r="K338" s="41"/>
      <x:c r="L338" s="21"/>
      <x:c r="M338" s="42"/>
      <x:c r="N338" s="21"/>
      <x:c r="O338" s="149"/>
    </x:row>
    <x:row r="339" spans="1:15" s="17" customFormat="1" customHeight="1" outlineLevel="1">
      <x:c r="A339" s="18"/>
      <x:c r="B339" s="23"/>
      <x:c r="C339" s="19"/>
      <x:c r="D339" s="44" t="s">
        <x:v>180</x:v>
      </x:c>
      <x:c r="E339" s="24"/>
      <x:c r="F339" s="204"/>
      <x:c r="G339" s="180"/>
      <x:c r="H339" s="270"/>
      <x:c r="I339" s="275"/>
      <x:c r="J339" s="155">
        <x:v>1</x:v>
      </x:c>
      <x:c r="K339" s="41"/>
      <x:c r="L339" s="21"/>
      <x:c r="M339" s="42"/>
      <x:c r="N339" s="21"/>
      <x:c r="O339" s="149"/>
    </x:row>
    <x:row r="340" spans="1:15" s="17" customFormat="1" customHeight="1" outlineLevel="1">
      <x:c r="A340" s="18"/>
      <x:c r="B340" s="23"/>
      <x:c r="C340" s="19" t="s">
        <x:v>341</x:v>
      </x:c>
      <x:c r="D340" s="24"/>
      <x:c r="E340" s="24"/>
      <x:c r="F340" s="204"/>
      <x:c r="G340" s="180"/>
      <x:c r="H340" s="270"/>
      <x:c r="I340" s="275"/>
      <x:c r="J340" s="21"/>
      <x:c r="K340" s="21"/>
      <x:c r="L340" s="21"/>
      <x:c r="M340" s="42"/>
      <x:c r="N340" s="21"/>
      <x:c r="O340" s="149"/>
    </x:row>
    <x:row r="341" spans="1:15" s="17" customFormat="1" customHeight="1" outlineLevel="1">
      <x:c r="A341" s="18"/>
      <x:c r="B341" s="23"/>
      <x:c r="C341" s="19"/>
      <x:c r="D341" s="24" t="s">
        <x:v>178</x:v>
      </x:c>
      <x:c r="E341" s="24"/>
      <x:c r="F341" s="204"/>
      <x:c r="G341" s="180"/>
      <x:c r="H341" s="270"/>
      <x:c r="I341" s="275"/>
      <x:c r="J341" s="155">
        <x:v>1</x:v>
      </x:c>
      <x:c r="K341" s="41"/>
      <x:c r="L341" s="21"/>
      <x:c r="M341" s="42"/>
      <x:c r="N341" s="21"/>
      <x:c r="O341" s="149"/>
    </x:row>
    <x:row r="342" spans="1:15" s="17" customFormat="1" customHeight="1" outlineLevel="1">
      <x:c r="A342" s="18"/>
      <x:c r="B342" s="23"/>
      <x:c r="C342" s="19"/>
      <x:c r="D342" s="24" t="s">
        <x:v>175</x:v>
      </x:c>
      <x:c r="E342" s="24"/>
      <x:c r="F342" s="204"/>
      <x:c r="G342" s="180"/>
      <x:c r="H342" s="270"/>
      <x:c r="I342" s="275"/>
      <x:c r="J342" s="155">
        <x:v>1</x:v>
      </x:c>
      <x:c r="K342" s="41"/>
      <x:c r="L342" s="21"/>
      <x:c r="M342" s="42"/>
      <x:c r="N342" s="21"/>
      <x:c r="O342" s="149"/>
    </x:row>
    <x:row r="343" spans="1:15" s="17" customFormat="1" customHeight="1" outlineLevel="1">
      <x:c r="A343" s="18"/>
      <x:c r="B343" s="23"/>
      <x:c r="C343" s="19"/>
      <x:c r="D343" s="44" t="s">
        <x:v>484</x:v>
      </x:c>
      <x:c r="E343" s="24"/>
      <x:c r="F343" s="204"/>
      <x:c r="G343" s="180"/>
      <x:c r="H343" s="270"/>
      <x:c r="I343" s="275"/>
      <x:c r="J343" s="155">
        <x:v>1</x:v>
      </x:c>
      <x:c r="K343" s="41"/>
      <x:c r="L343" s="21"/>
      <x:c r="M343" s="42"/>
      <x:c r="N343" s="21"/>
      <x:c r="O343" s="149"/>
    </x:row>
    <x:row r="344" spans="1:15" s="17" customFormat="1" customHeight="1" outlineLevel="1">
      <x:c r="A344" s="18"/>
      <x:c r="B344" s="23"/>
      <x:c r="C344" s="19"/>
      <x:c r="D344" s="44" t="s">
        <x:v>185</x:v>
      </x:c>
      <x:c r="E344" s="24"/>
      <x:c r="F344" s="204"/>
      <x:c r="G344" s="180"/>
      <x:c r="H344" s="270"/>
      <x:c r="I344" s="275"/>
      <x:c r="J344" s="155">
        <x:v>3</x:v>
      </x:c>
      <x:c r="K344" s="41"/>
      <x:c r="L344" s="21"/>
      <x:c r="M344" s="42"/>
      <x:c r="N344" s="21"/>
      <x:c r="O344" s="149"/>
    </x:row>
    <x:row r="345" spans="1:15" s="17" customFormat="1" customHeight="1" outlineLevel="1">
      <x:c r="A345" s="18"/>
      <x:c r="B345" s="23"/>
      <x:c r="C345" s="19"/>
      <x:c r="D345" s="44" t="s">
        <x:v>479</x:v>
      </x:c>
      <x:c r="E345" s="24"/>
      <x:c r="F345" s="204"/>
      <x:c r="G345" s="180"/>
      <x:c r="H345" s="270"/>
      <x:c r="I345" s="275"/>
      <x:c r="J345" s="155">
        <x:v>1</x:v>
      </x:c>
      <x:c r="K345" s="41"/>
      <x:c r="L345" s="21"/>
      <x:c r="M345" s="42"/>
      <x:c r="N345" s="21"/>
      <x:c r="O345" s="149"/>
    </x:row>
    <x:row r="346" spans="1:15" s="17" customFormat="1" customHeight="1" outlineLevel="1">
      <x:c r="A346" s="18"/>
      <x:c r="B346" s="23"/>
      <x:c r="C346" s="19"/>
      <x:c r="D346" s="44" t="s">
        <x:v>186</x:v>
      </x:c>
      <x:c r="E346" s="24"/>
      <x:c r="F346" s="204"/>
      <x:c r="G346" s="180"/>
      <x:c r="H346" s="270"/>
      <x:c r="I346" s="275"/>
      <x:c r="J346" s="155">
        <x:v>1</x:v>
      </x:c>
      <x:c r="K346" s="41"/>
      <x:c r="L346" s="21"/>
      <x:c r="M346" s="42"/>
      <x:c r="N346" s="21"/>
      <x:c r="O346" s="149"/>
    </x:row>
    <x:row r="347" spans="1:15" s="17" customFormat="1" customHeight="1" outlineLevel="1">
      <x:c r="A347" s="18"/>
      <x:c r="B347" s="23"/>
      <x:c r="C347" s="19" t="s">
        <x:v>454</x:v>
      </x:c>
      <x:c r="D347" s="24"/>
      <x:c r="E347" s="24"/>
      <x:c r="F347" s="204"/>
      <x:c r="G347" s="180" t="s">
        <x:v>782</x:v>
      </x:c>
      <x:c r="H347" s="239" t="s">
        <x:v>348</x:v>
      </x:c>
      <x:c r="I347" s="241"/>
      <x:c r="J347" s="21">
        <x:v>1</x:v>
      </x:c>
      <x:c r="K347" s="41"/>
      <x:c r="L347" s="21"/>
      <x:c r="M347" s="42"/>
      <x:c r="N347" s="21"/>
      <x:c r="O347" s="159"/>
    </x:row>
    <x:row r="348" spans="1:15" s="17" customFormat="1" customHeight="1" outlineLevel="1">
      <x:c r="A348" s="18"/>
      <x:c r="B348" s="23"/>
      <x:c r="C348" s="39" t="s">
        <x:v>466</x:v>
      </x:c>
      <x:c r="D348" s="44"/>
      <x:c r="E348" s="44"/>
      <x:c r="F348" s="205"/>
      <x:c r="G348" s="180" t="s">
        <x:v>790</x:v>
      </x:c>
      <x:c r="H348" s="240"/>
      <x:c r="I348" s="242"/>
      <x:c r="J348" s="21">
        <x:v>3</x:v>
      </x:c>
      <x:c r="K348" s="41"/>
      <x:c r="L348" s="21"/>
      <x:c r="M348" s="42"/>
      <x:c r="N348" s="21"/>
      <x:c r="O348" s="159"/>
    </x:row>
    <x:row r="349" spans="1:15" s="17" customFormat="1" customHeight="1" outlineLevel="1">
      <x:c r="A349" s="18"/>
      <x:c r="B349" s="23"/>
      <x:c r="C349" s="39" t="s">
        <x:v>347</x:v>
      </x:c>
      <x:c r="D349" s="44"/>
      <x:c r="E349" s="44"/>
      <x:c r="F349" s="205"/>
      <x:c r="G349" s="213" t="s">
        <x:v>781</x:v>
      </x:c>
      <x:c r="H349" s="239" t="s">
        <x:v>216</x:v>
      </x:c>
      <x:c r="I349" s="241">
        <x:v>5</x:v>
      </x:c>
      <x:c r="J349" s="21"/>
      <x:c r="K349" s="41"/>
      <x:c r="L349" s="21"/>
      <x:c r="M349" s="42"/>
      <x:c r="N349" s="21"/>
      <x:c r="O349" s="159"/>
    </x:row>
    <x:row r="350" spans="1:15" s="17" customFormat="1" customHeight="1" outlineLevel="1">
      <x:c r="A350" s="18"/>
      <x:c r="B350" s="23"/>
      <x:c r="C350" s="39"/>
      <x:c r="D350" s="44" t="s">
        <x:v>458</x:v>
      </x:c>
      <x:c r="E350" s="44"/>
      <x:c r="F350" s="205"/>
      <x:c r="G350" s="213"/>
      <x:c r="H350" s="243"/>
      <x:c r="I350" s="244"/>
      <x:c r="J350" s="21"/>
      <x:c r="K350" s="41"/>
      <x:c r="L350" s="21"/>
      <x:c r="M350" s="42"/>
      <x:c r="N350" s="21"/>
      <x:c r="O350" s="159"/>
    </x:row>
    <x:row r="351" spans="1:15" s="17" customFormat="1" customHeight="1" outlineLevel="1">
      <x:c r="A351" s="18"/>
      <x:c r="B351" s="23"/>
      <x:c r="C351" s="39"/>
      <x:c r="D351" s="44" t="s">
        <x:v>455</x:v>
      </x:c>
      <x:c r="E351" s="44"/>
      <x:c r="F351" s="205"/>
      <x:c r="G351" s="213"/>
      <x:c r="H351" s="243"/>
      <x:c r="I351" s="244"/>
      <x:c r="J351" s="21"/>
      <x:c r="K351" s="41"/>
      <x:c r="L351" s="21"/>
      <x:c r="M351" s="42"/>
      <x:c r="N351" s="21"/>
      <x:c r="O351" s="159"/>
    </x:row>
    <x:row r="352" spans="1:15" s="17" customFormat="1" customHeight="1" outlineLevel="1">
      <x:c r="A352" s="18"/>
      <x:c r="B352" s="23"/>
      <x:c r="C352" s="39"/>
      <x:c r="D352" s="24" t="s">
        <x:v>151</x:v>
      </x:c>
      <x:c r="E352" s="44"/>
      <x:c r="F352" s="205"/>
      <x:c r="G352" s="213"/>
      <x:c r="H352" s="243"/>
      <x:c r="I352" s="244"/>
      <x:c r="J352" s="21"/>
      <x:c r="K352" s="41"/>
      <x:c r="L352" s="21"/>
      <x:c r="M352" s="42"/>
      <x:c r="N352" s="21"/>
      <x:c r="O352" s="159"/>
    </x:row>
    <x:row r="353" spans="1:15" s="17" customFormat="1" customHeight="1" outlineLevel="1">
      <x:c r="A353" s="18"/>
      <x:c r="B353" s="23"/>
      <x:c r="C353" s="39"/>
      <x:c r="D353" s="44" t="s">
        <x:v>631</x:v>
      </x:c>
      <x:c r="E353" s="44"/>
      <x:c r="F353" s="205"/>
      <x:c r="G353" s="213"/>
      <x:c r="H353" s="243"/>
      <x:c r="I353" s="244"/>
      <x:c r="J353" s="21"/>
      <x:c r="K353" s="41"/>
      <x:c r="L353" s="21"/>
      <x:c r="M353" s="42"/>
      <x:c r="N353" s="21"/>
      <x:c r="O353" s="159"/>
    </x:row>
    <x:row r="354" spans="1:15" s="17" customFormat="1" customHeight="1" outlineLevel="1">
      <x:c r="A354" s="18"/>
      <x:c r="B354" s="23"/>
      <x:c r="C354" s="39"/>
      <x:c r="D354" s="44" t="s">
        <x:v>449</x:v>
      </x:c>
      <x:c r="E354" s="44"/>
      <x:c r="F354" s="205"/>
      <x:c r="G354" s="213"/>
      <x:c r="H354" s="243"/>
      <x:c r="I354" s="244"/>
      <x:c r="J354" s="21"/>
      <x:c r="K354" s="41"/>
      <x:c r="L354" s="21"/>
      <x:c r="M354" s="42"/>
      <x:c r="N354" s="21"/>
      <x:c r="O354" s="159"/>
    </x:row>
    <x:row r="355" spans="1:15" s="17" customFormat="1" customHeight="1" outlineLevel="1">
      <x:c r="A355" s="18"/>
      <x:c r="B355" s="23"/>
      <x:c r="C355" s="39"/>
      <x:c r="D355" s="44" t="s">
        <x:v>170</x:v>
      </x:c>
      <x:c r="E355" s="44"/>
      <x:c r="F355" s="205"/>
      <x:c r="G355" s="213"/>
      <x:c r="H355" s="243"/>
      <x:c r="I355" s="244"/>
      <x:c r="J355" s="21"/>
      <x:c r="K355" s="41"/>
      <x:c r="L355" s="21"/>
      <x:c r="M355" s="42"/>
      <x:c r="N355" s="21"/>
      <x:c r="O355" s="159"/>
    </x:row>
    <x:row r="356" spans="1:15" s="17" customFormat="1" customHeight="1" outlineLevel="1">
      <x:c r="A356" s="18"/>
      <x:c r="B356" s="23"/>
      <x:c r="C356" s="39"/>
      <x:c r="D356" s="44" t="s">
        <x:v>468</x:v>
      </x:c>
      <x:c r="E356" s="44"/>
      <x:c r="F356" s="205"/>
      <x:c r="G356" s="213"/>
      <x:c r="H356" s="243"/>
      <x:c r="I356" s="244"/>
      <x:c r="J356" s="21"/>
      <x:c r="K356" s="41"/>
      <x:c r="L356" s="21"/>
      <x:c r="M356" s="42"/>
      <x:c r="N356" s="21"/>
      <x:c r="O356" s="159"/>
    </x:row>
    <x:row r="357" spans="1:15" s="17" customFormat="1" customHeight="1" outlineLevel="1">
      <x:c r="A357" s="18"/>
      <x:c r="B357" s="23"/>
      <x:c r="C357" s="39"/>
      <x:c r="D357" s="44" t="s">
        <x:v>161</x:v>
      </x:c>
      <x:c r="E357" s="44"/>
      <x:c r="F357" s="205"/>
      <x:c r="G357" s="213"/>
      <x:c r="H357" s="243"/>
      <x:c r="I357" s="244"/>
      <x:c r="J357" s="21"/>
      <x:c r="K357" s="41"/>
      <x:c r="L357" s="21"/>
      <x:c r="M357" s="42"/>
      <x:c r="N357" s="21"/>
      <x:c r="O357" s="159"/>
    </x:row>
    <x:row r="358" spans="1:15" s="17" customFormat="1" customHeight="1" outlineLevel="1">
      <x:c r="A358" s="18"/>
      <x:c r="B358" s="23"/>
      <x:c r="C358" s="47" t="s">
        <x:v>456</x:v>
      </x:c>
      <x:c r="D358" s="44"/>
      <x:c r="E358" s="44"/>
      <x:c r="F358" s="205"/>
      <x:c r="G358" s="180" t="s">
        <x:v>766</x:v>
      </x:c>
      <x:c r="H358" s="243"/>
      <x:c r="I358" s="244"/>
      <x:c r="J358" s="21"/>
      <x:c r="K358" s="41"/>
      <x:c r="L358" s="21"/>
      <x:c r="M358" s="42"/>
      <x:c r="N358" s="21"/>
      <x:c r="O358" s="159"/>
    </x:row>
    <x:row r="359" spans="1:15" s="17" customFormat="1" customHeight="1" outlineLevel="1">
      <x:c r="A359" s="18"/>
      <x:c r="B359" s="23"/>
      <x:c r="C359" s="39"/>
      <x:c r="D359" s="44" t="s">
        <x:v>158</x:v>
      </x:c>
      <x:c r="E359" s="44"/>
      <x:c r="F359" s="205"/>
      <x:c r="G359" s="213"/>
      <x:c r="H359" s="243"/>
      <x:c r="I359" s="244"/>
      <x:c r="J359" s="21"/>
      <x:c r="K359" s="41"/>
      <x:c r="L359" s="21"/>
      <x:c r="M359" s="42"/>
      <x:c r="N359" s="21"/>
      <x:c r="O359" s="159"/>
    </x:row>
    <x:row r="360" spans="1:15" s="17" customFormat="1" customHeight="1" outlineLevel="1">
      <x:c r="A360" s="18"/>
      <x:c r="B360" s="23"/>
      <x:c r="C360" s="44"/>
      <x:c r="D360" s="44" t="s">
        <x:v>469</x:v>
      </x:c>
      <x:c r="E360" s="44"/>
      <x:c r="F360" s="205"/>
      <x:c r="G360" s="213"/>
      <x:c r="H360" s="243"/>
      <x:c r="I360" s="244"/>
      <x:c r="J360" s="21"/>
      <x:c r="K360" s="41"/>
      <x:c r="L360" s="21"/>
      <x:c r="M360" s="42"/>
      <x:c r="N360" s="21"/>
      <x:c r="O360" s="159"/>
    </x:row>
    <x:row r="361" spans="1:15" s="17" customFormat="1" customHeight="1" outlineLevel="1">
      <x:c r="A361" s="18"/>
      <x:c r="B361" s="23"/>
      <x:c r="C361" s="45"/>
      <x:c r="D361" s="44" t="s">
        <x:v>171</x:v>
      </x:c>
      <x:c r="E361" s="44"/>
      <x:c r="F361" s="205"/>
      <x:c r="G361" s="213"/>
      <x:c r="H361" s="243"/>
      <x:c r="I361" s="244"/>
      <x:c r="J361" s="21"/>
      <x:c r="K361" s="41"/>
      <x:c r="L361" s="21"/>
      <x:c r="M361" s="42"/>
      <x:c r="N361" s="21"/>
      <x:c r="O361" s="159"/>
    </x:row>
    <x:row r="362" spans="1:15" s="17" customFormat="1" customHeight="1" outlineLevel="1">
      <x:c r="A362" s="18"/>
      <x:c r="B362" s="23"/>
      <x:c r="C362" s="47"/>
      <x:c r="D362" s="44" t="s">
        <x:v>873</x:v>
      </x:c>
      <x:c r="E362" s="44"/>
      <x:c r="F362" s="205"/>
      <x:c r="G362" s="213"/>
      <x:c r="H362" s="243"/>
      <x:c r="I362" s="244"/>
      <x:c r="J362" s="21"/>
      <x:c r="K362" s="41"/>
      <x:c r="L362" s="21"/>
      <x:c r="M362" s="42"/>
      <x:c r="N362" s="21"/>
      <x:c r="O362" s="159"/>
    </x:row>
    <x:row r="363" spans="1:15" s="17" customFormat="1" customHeight="1" outlineLevel="1">
      <x:c r="A363" s="18"/>
      <x:c r="B363" s="23"/>
      <x:c r="C363" s="39" t="s">
        <x:v>895</x:v>
      </x:c>
      <x:c r="D363" s="45"/>
      <x:c r="E363" s="24"/>
      <x:c r="F363" s="204"/>
      <x:c r="G363" s="180" t="s">
        <x:v>766</x:v>
      </x:c>
      <x:c r="H363" s="243"/>
      <x:c r="I363" s="244"/>
      <x:c r="J363" s="155"/>
      <x:c r="K363" s="41"/>
      <x:c r="L363" s="21"/>
      <x:c r="M363" s="42"/>
      <x:c r="N363" s="21"/>
      <x:c r="O363" s="149"/>
    </x:row>
    <x:row r="364" spans="1:15" s="17" customFormat="1" customHeight="1" outlineLevel="1">
      <x:c r="A364" s="18"/>
      <x:c r="B364" s="23"/>
      <x:c r="C364" s="39"/>
      <x:c r="D364" s="44" t="s">
        <x:v>894</x:v>
      </x:c>
      <x:c r="E364" s="24"/>
      <x:c r="F364" s="204"/>
      <x:c r="G364" s="213"/>
      <x:c r="H364" s="243"/>
      <x:c r="I364" s="244"/>
      <x:c r="J364" s="155"/>
      <x:c r="K364" s="41"/>
      <x:c r="L364" s="21"/>
      <x:c r="M364" s="42"/>
      <x:c r="N364" s="21"/>
      <x:c r="O364" s="149"/>
    </x:row>
    <x:row r="365" spans="1:15" s="17" customFormat="1" customHeight="1" outlineLevel="1">
      <x:c r="A365" s="18"/>
      <x:c r="B365" s="23"/>
      <x:c r="C365" s="44"/>
      <x:c r="D365" s="44" t="s">
        <x:v>872</x:v>
      </x:c>
      <x:c r="E365" s="24"/>
      <x:c r="F365" s="204"/>
      <x:c r="G365" s="213"/>
      <x:c r="H365" s="243"/>
      <x:c r="I365" s="244"/>
      <x:c r="J365" s="155"/>
      <x:c r="K365" s="41"/>
      <x:c r="L365" s="21"/>
      <x:c r="M365" s="42"/>
      <x:c r="N365" s="21"/>
      <x:c r="O365" s="149"/>
    </x:row>
    <x:row r="366" spans="1:15" s="17" customFormat="1" customHeight="1" outlineLevel="1">
      <x:c r="A366" s="18"/>
      <x:c r="B366" s="23"/>
      <x:c r="C366" s="45"/>
      <x:c r="D366" s="44" t="s">
        <x:v>448</x:v>
      </x:c>
      <x:c r="E366" s="24"/>
      <x:c r="F366" s="204"/>
      <x:c r="G366" s="213"/>
      <x:c r="H366" s="243"/>
      <x:c r="I366" s="244"/>
      <x:c r="J366" s="155"/>
      <x:c r="K366" s="41"/>
      <x:c r="L366" s="21"/>
      <x:c r="M366" s="42"/>
      <x:c r="N366" s="21"/>
      <x:c r="O366" s="149"/>
    </x:row>
    <x:row r="367" spans="1:15" s="17" customFormat="1" customHeight="1" outlineLevel="1">
      <x:c r="A367" s="18"/>
      <x:c r="B367" s="23"/>
      <x:c r="C367" s="19" t="s">
        <x:v>635</x:v>
      </x:c>
      <x:c r="D367" s="19"/>
      <x:c r="E367" s="24"/>
      <x:c r="F367" s="204"/>
      <x:c r="G367" s="180" t="s">
        <x:v>766</x:v>
      </x:c>
      <x:c r="H367" s="243"/>
      <x:c r="I367" s="244"/>
      <x:c r="J367" s="155"/>
      <x:c r="K367" s="41"/>
      <x:c r="L367" s="21"/>
      <x:c r="M367" s="42"/>
      <x:c r="N367" s="21"/>
      <x:c r="O367" s="149"/>
    </x:row>
    <x:row r="368" spans="1:15" s="17" customFormat="1" customHeight="1" outlineLevel="1">
      <x:c r="A368" s="18"/>
      <x:c r="B368" s="23"/>
      <x:c r="C368" s="19" t="s">
        <x:v>634</x:v>
      </x:c>
      <x:c r="D368" s="19"/>
      <x:c r="E368" s="24"/>
      <x:c r="F368" s="204"/>
      <x:c r="G368" s="180" t="s">
        <x:v>766</x:v>
      </x:c>
      <x:c r="H368" s="243"/>
      <x:c r="I368" s="244"/>
      <x:c r="J368" s="155"/>
      <x:c r="K368" s="41"/>
      <x:c r="L368" s="21"/>
      <x:c r="M368" s="42"/>
      <x:c r="N368" s="21"/>
      <x:c r="O368" s="149"/>
    </x:row>
    <x:row r="369" spans="1:15" s="17" customFormat="1" customHeight="1" outlineLevel="1">
      <x:c r="A369" s="18"/>
      <x:c r="B369" s="23"/>
      <x:c r="C369" s="19"/>
      <x:c r="D369" s="19" t="s">
        <x:v>452</x:v>
      </x:c>
      <x:c r="E369" s="24"/>
      <x:c r="F369" s="204"/>
      <x:c r="G369" s="213"/>
      <x:c r="H369" s="243"/>
      <x:c r="I369" s="244"/>
      <x:c r="J369" s="155"/>
      <x:c r="K369" s="41"/>
      <x:c r="L369" s="21"/>
      <x:c r="M369" s="42"/>
      <x:c r="N369" s="21"/>
      <x:c r="O369" s="149"/>
    </x:row>
    <x:row r="370" spans="1:15" s="17" customFormat="1" customHeight="1" outlineLevel="1">
      <x:c r="A370" s="18"/>
      <x:c r="B370" s="23"/>
      <x:c r="C370" s="19"/>
      <x:c r="D370" s="19" t="s">
        <x:v>467</x:v>
      </x:c>
      <x:c r="E370" s="24"/>
      <x:c r="F370" s="204"/>
      <x:c r="G370" s="213"/>
      <x:c r="H370" s="243"/>
      <x:c r="I370" s="244"/>
      <x:c r="J370" s="155"/>
      <x:c r="K370" s="41"/>
      <x:c r="L370" s="21"/>
      <x:c r="M370" s="42"/>
      <x:c r="N370" s="21"/>
      <x:c r="O370" s="149"/>
    </x:row>
    <x:row r="371" spans="1:15" s="17" customFormat="1" customHeight="1" outlineLevel="1">
      <x:c r="A371" s="18"/>
      <x:c r="B371" s="23"/>
      <x:c r="C371" s="19"/>
      <x:c r="D371" s="19" t="s">
        <x:v>471</x:v>
      </x:c>
      <x:c r="E371" s="24"/>
      <x:c r="F371" s="204"/>
      <x:c r="G371" s="213"/>
      <x:c r="H371" s="243"/>
      <x:c r="I371" s="244"/>
      <x:c r="J371" s="155"/>
      <x:c r="K371" s="41"/>
      <x:c r="L371" s="21"/>
      <x:c r="M371" s="42"/>
      <x:c r="N371" s="21"/>
      <x:c r="O371" s="149"/>
    </x:row>
    <x:row r="372" spans="1:15" s="17" customFormat="1" customHeight="1" outlineLevel="1">
      <x:c r="A372" s="18"/>
      <x:c r="B372" s="23"/>
      <x:c r="C372" s="24" t="s">
        <x:v>446</x:v>
      </x:c>
      <x:c r="D372" s="24"/>
      <x:c r="E372" s="24"/>
      <x:c r="F372" s="204"/>
      <x:c r="G372" s="180" t="s">
        <x:v>766</x:v>
      </x:c>
      <x:c r="H372" s="243"/>
      <x:c r="I372" s="244"/>
      <x:c r="J372" s="21"/>
      <x:c r="K372" s="41"/>
      <x:c r="L372" s="21"/>
      <x:c r="M372" s="42"/>
      <x:c r="N372" s="21"/>
      <x:c r="O372" s="159"/>
    </x:row>
    <x:row r="373" spans="1:15" s="17" customFormat="1" customHeight="1" outlineLevel="1">
      <x:c r="A373" s="18"/>
      <x:c r="B373" s="23"/>
      <x:c r="C373" s="39" t="s">
        <x:v>802</x:v>
      </x:c>
      <x:c r="D373" s="24"/>
      <x:c r="E373" s="24"/>
      <x:c r="F373" s="204"/>
      <x:c r="G373" s="180"/>
      <x:c r="H373" s="243"/>
      <x:c r="I373" s="244"/>
      <x:c r="J373" s="21"/>
      <x:c r="K373" s="41"/>
      <x:c r="L373" s="21"/>
      <x:c r="M373" s="42"/>
      <x:c r="N373" s="21"/>
      <x:c r="O373" s="159"/>
    </x:row>
    <x:row r="374" spans="1:15" s="17" customFormat="1" customHeight="1" outlineLevel="1">
      <x:c r="A374" s="18"/>
      <x:c r="B374" s="23"/>
      <x:c r="C374" s="19"/>
      <x:c r="D374" s="39"/>
      <x:c r="E374" s="44"/>
      <x:c r="F374" s="205"/>
      <x:c r="G374" s="180"/>
      <x:c r="H374" s="240"/>
      <x:c r="I374" s="242"/>
      <x:c r="J374" s="155"/>
      <x:c r="K374" s="41"/>
      <x:c r="L374" s="21"/>
      <x:c r="M374" s="42"/>
      <x:c r="N374" s="21"/>
      <x:c r="O374" s="159"/>
    </x:row>
    <x:row r="375" spans="1:15" customHeight="1">
      <x:c r="A375" s="25" t="s">
        <x:v>40</x:v>
      </x:c>
      <x:c r="B375" s="26"/>
      <x:c r="C375" s="27"/>
      <x:c r="D375" s="37"/>
      <x:c r="E375" s="34"/>
      <x:c r="F375" s="34"/>
      <x:c r="G375" s="30"/>
      <x:c r="H375" s="35"/>
      <x:c r="I375" s="28">
        <x:f>SUM(I376:I383)</x:f>
        <x:v>5</x:v>
      </x:c>
      <x:c r="J375" s="30">
        <x:f>SUM(J376:J383)</x:f>
        <x:v>6</x:v>
      </x:c>
      <x:c r="K375" s="28" t="s">
        <x:v>554</x:v>
      </x:c>
      <x:c r="L375" s="28" t="s">
        <x:v>559</x:v>
      </x:c>
      <x:c r="M375" s="52">
        <x:f>AVERAGE(M376:M383)</x:f>
        <x:v>0</x:v>
      </x:c>
      <x:c r="N375" s="30"/>
      <x:c r="O375" s="36"/>
    </x:row>
    <x:row r="376" spans="1:15" customHeight="1" outlineLevel="1">
      <x:c r="A376" s="38"/>
      <x:c r="B376" s="39" t="s">
        <x:v>499</x:v>
      </x:c>
      <x:c r="C376" s="39"/>
      <x:c r="D376" s="39"/>
      <x:c r="E376" s="40"/>
      <x:c r="F376" s="40"/>
      <x:c r="G376" s="41"/>
      <x:c r="H376" s="20"/>
      <x:c r="I376" s="148"/>
      <x:c r="J376" s="160"/>
      <x:c r="K376" s="41"/>
      <x:c r="L376" s="41"/>
      <x:c r="M376" s="42">
        <x:v>0</x:v>
      </x:c>
      <x:c r="N376" s="41"/>
      <x:c r="O376" s="159"/>
    </x:row>
    <x:row r="377" spans="1:15" customHeight="1" outlineLevel="1">
      <x:c r="A377" s="38"/>
      <x:c r="B377" s="49" t="s">
        <x:v>42</x:v>
      </x:c>
      <x:c r="C377" s="19"/>
      <x:c r="D377" s="39"/>
      <x:c r="E377" s="40"/>
      <x:c r="F377" s="40"/>
      <x:c r="G377" s="41" t="s">
        <x:v>791</x:v>
      </x:c>
      <x:c r="H377" s="271" t="s">
        <x:v>5</x:v>
      </x:c>
      <x:c r="I377" s="264">
        <x:v>5</x:v>
      </x:c>
      <x:c r="J377" s="41"/>
      <x:c r="K377" s="41"/>
      <x:c r="L377" s="41"/>
      <x:c r="M377" s="41"/>
      <x:c r="N377" s="41"/>
      <x:c r="O377" s="273" t="s">
        <x:v>258</x:v>
      </x:c>
    </x:row>
    <x:row r="378" spans="1:15" customHeight="1" outlineLevel="1">
      <x:c r="A378" s="38"/>
      <x:c r="B378" s="49"/>
      <x:c r="C378" s="19" t="s">
        <x:v>160</x:v>
      </x:c>
      <x:c r="D378" s="39"/>
      <x:c r="E378" s="40"/>
      <x:c r="F378" s="40"/>
      <x:c r="G378" s="41"/>
      <x:c r="H378" s="272"/>
      <x:c r="I378" s="245"/>
      <x:c r="J378" s="41">
        <x:v>1</x:v>
      </x:c>
      <x:c r="K378" s="41"/>
      <x:c r="L378" s="21"/>
      <x:c r="M378" s="42"/>
      <x:c r="N378" s="41"/>
      <x:c r="O378" s="274"/>
    </x:row>
    <x:row r="379" spans="1:15" customHeight="1" outlineLevel="1">
      <x:c r="A379" s="38"/>
      <x:c r="B379" s="49"/>
      <x:c r="C379" s="19" t="s">
        <x:v>457</x:v>
      </x:c>
      <x:c r="D379" s="19"/>
      <x:c r="E379" s="40"/>
      <x:c r="F379" s="40"/>
      <x:c r="G379" s="41"/>
      <x:c r="H379" s="272"/>
      <x:c r="I379" s="245"/>
      <x:c r="J379" s="41">
        <x:v>1</x:v>
      </x:c>
      <x:c r="K379" s="41"/>
      <x:c r="L379" s="21"/>
      <x:c r="M379" s="42"/>
      <x:c r="N379" s="41"/>
      <x:c r="O379" s="274"/>
    </x:row>
    <x:row r="380" spans="1:15" customHeight="1" outlineLevel="1">
      <x:c r="A380" s="38"/>
      <x:c r="B380" s="49"/>
      <x:c r="C380" s="19" t="s">
        <x:v>884</x:v>
      </x:c>
      <x:c r="D380" s="39"/>
      <x:c r="E380" s="40"/>
      <x:c r="F380" s="40"/>
      <x:c r="G380" s="41"/>
      <x:c r="H380" s="272"/>
      <x:c r="I380" s="245"/>
      <x:c r="J380" s="41">
        <x:v>1</x:v>
      </x:c>
      <x:c r="K380" s="41"/>
      <x:c r="L380" s="21"/>
      <x:c r="M380" s="42"/>
      <x:c r="N380" s="41"/>
      <x:c r="O380" s="274"/>
    </x:row>
    <x:row r="381" spans="1:15" ht="21" customHeight="1" outlineLevel="1">
      <x:c r="A381" s="38"/>
      <x:c r="B381" s="49"/>
      <x:c r="C381" s="19" t="s">
        <x:v>874</x:v>
      </x:c>
      <x:c r="D381" s="39"/>
      <x:c r="E381" s="40"/>
      <x:c r="F381" s="40"/>
      <x:c r="G381" s="41"/>
      <x:c r="H381" s="272"/>
      <x:c r="I381" s="245"/>
      <x:c r="J381" s="41">
        <x:v>1</x:v>
      </x:c>
      <x:c r="K381" s="41"/>
      <x:c r="L381" s="21"/>
      <x:c r="M381" s="42"/>
      <x:c r="N381" s="41"/>
      <x:c r="O381" s="274"/>
    </x:row>
    <x:row r="382" spans="1:15" ht="21" customHeight="1" outlineLevel="1">
      <x:c r="A382" s="38"/>
      <x:c r="B382" s="49"/>
      <x:c r="C382" s="19" t="s">
        <x:v>470</x:v>
      </x:c>
      <x:c r="D382" s="39"/>
      <x:c r="E382" s="40"/>
      <x:c r="F382" s="40"/>
      <x:c r="G382" s="41"/>
      <x:c r="H382" s="272"/>
      <x:c r="I382" s="245"/>
      <x:c r="J382" s="41">
        <x:v>1</x:v>
      </x:c>
      <x:c r="K382" s="41"/>
      <x:c r="L382" s="21"/>
      <x:c r="M382" s="42"/>
      <x:c r="N382" s="41"/>
      <x:c r="O382" s="274"/>
    </x:row>
    <x:row r="383" spans="1:15" ht="21" customHeight="1" outlineLevel="1">
      <x:c r="A383" s="38"/>
      <x:c r="B383" s="49"/>
      <x:c r="C383" s="39" t="s">
        <x:v>880</x:v>
      </x:c>
      <x:c r="D383" s="39"/>
      <x:c r="E383" s="40"/>
      <x:c r="F383" s="40"/>
      <x:c r="G383" s="41"/>
      <x:c r="H383" s="272"/>
      <x:c r="I383" s="245"/>
      <x:c r="J383" s="41">
        <x:v>1</x:v>
      </x:c>
      <x:c r="K383" s="41" t="s">
        <x:v>801</x:v>
      </x:c>
      <x:c r="L383" s="21"/>
      <x:c r="M383" s="42"/>
      <x:c r="N383" s="41"/>
      <x:c r="O383" s="274"/>
    </x:row>
    <x:row r="384" spans="1:15" customHeight="1">
      <x:c r="A384" s="25" t="s">
        <x:v>694</x:v>
      </x:c>
      <x:c r="B384" s="26"/>
      <x:c r="C384" s="27"/>
      <x:c r="D384" s="37"/>
      <x:c r="E384" s="34"/>
      <x:c r="F384" s="34"/>
      <x:c r="G384" s="30"/>
      <x:c r="H384" s="35"/>
      <x:c r="I384" s="28">
        <x:f>SUM(I385:I410)</x:f>
        <x:v>0</x:v>
      </x:c>
      <x:c r="J384" s="30">
        <x:f>SUM(J385:J410)</x:f>
        <x:v>0</x:v>
      </x:c>
      <x:c r="K384" s="30"/>
      <x:c r="L384" s="30"/>
      <x:c r="M384" s="52">
        <x:f>AVERAGE(M385:M410)</x:f>
        <x:v>0</x:v>
      </x:c>
      <x:c r="N384" s="30"/>
      <x:c r="O384" s="36"/>
    </x:row>
    <x:row r="385" spans="1:15" customHeight="1" outlineLevel="1">
      <x:c r="A385" s="38"/>
      <x:c r="B385" s="39" t="s">
        <x:v>499</x:v>
      </x:c>
      <x:c r="C385" s="39"/>
      <x:c r="D385" s="39"/>
      <x:c r="E385" s="40"/>
      <x:c r="F385" s="40"/>
      <x:c r="G385" s="41"/>
      <x:c r="H385" s="20"/>
      <x:c r="I385" s="148"/>
      <x:c r="J385" s="160"/>
      <x:c r="K385" s="41"/>
      <x:c r="L385" s="41"/>
      <x:c r="M385" s="42">
        <x:v>0</x:v>
      </x:c>
      <x:c r="N385" s="41"/>
      <x:c r="O385" s="159"/>
    </x:row>
    <x:row r="386" spans="1:15" customHeight="1" outlineLevel="1">
      <x:c r="A386" s="38"/>
      <x:c r="B386" s="49" t="s">
        <x:v>174</x:v>
      </x:c>
      <x:c r="C386" s="19"/>
      <x:c r="D386" s="39"/>
      <x:c r="E386" s="40"/>
      <x:c r="F386" s="40"/>
      <x:c r="G386" s="41"/>
      <x:c r="H386" s="20"/>
      <x:c r="I386" s="153"/>
      <x:c r="J386" s="41"/>
      <x:c r="K386" s="41"/>
      <x:c r="L386" s="41"/>
      <x:c r="M386" s="41"/>
      <x:c r="N386" s="41"/>
      <x:c r="O386" s="159"/>
    </x:row>
    <x:row r="387" spans="1:15" customHeight="1" outlineLevel="1">
      <x:c r="A387" s="38"/>
      <x:c r="B387" s="49" t="s">
        <x:v>44</x:v>
      </x:c>
      <x:c r="C387" s="19"/>
      <x:c r="D387" s="39"/>
      <x:c r="E387" s="40"/>
      <x:c r="F387" s="40"/>
      <x:c r="G387" s="41"/>
      <x:c r="H387" s="20"/>
      <x:c r="I387" s="153"/>
      <x:c r="J387" s="41"/>
      <x:c r="K387" s="41"/>
      <x:c r="L387" s="41"/>
      <x:c r="M387" s="41"/>
      <x:c r="N387" s="41"/>
      <x:c r="O387" s="159"/>
    </x:row>
    <x:row r="388" spans="1:15" customHeight="1" outlineLevel="1">
      <x:c r="A388" s="38"/>
      <x:c r="B388" s="49"/>
      <x:c r="C388" s="19" t="s">
        <x:v>472</x:v>
      </x:c>
      <x:c r="D388" s="39"/>
      <x:c r="E388" s="40"/>
      <x:c r="F388" s="40"/>
      <x:c r="G388" s="41"/>
      <x:c r="H388" s="20"/>
      <x:c r="I388" s="153"/>
      <x:c r="J388" s="41"/>
      <x:c r="K388" s="41"/>
      <x:c r="L388" s="41"/>
      <x:c r="M388" s="41"/>
      <x:c r="N388" s="41"/>
      <x:c r="O388" s="159"/>
    </x:row>
    <x:row r="389" spans="1:15" customHeight="1" outlineLevel="1">
      <x:c r="A389" s="38"/>
      <x:c r="B389" s="49"/>
      <x:c r="C389" s="19" t="s">
        <x:v>351</x:v>
      </x:c>
      <x:c r="D389" s="39"/>
      <x:c r="E389" s="40"/>
      <x:c r="F389" s="40"/>
      <x:c r="G389" s="41"/>
      <x:c r="H389" s="20"/>
      <x:c r="I389" s="153"/>
      <x:c r="J389" s="41"/>
      <x:c r="K389" s="41"/>
      <x:c r="L389" s="41"/>
      <x:c r="M389" s="41"/>
      <x:c r="N389" s="41"/>
      <x:c r="O389" s="159"/>
    </x:row>
    <x:row r="390" spans="1:15" customHeight="1" outlineLevel="1">
      <x:c r="A390" s="38"/>
      <x:c r="B390" s="49"/>
      <x:c r="C390" s="19" t="s">
        <x:v>459</x:v>
      </x:c>
      <x:c r="D390" s="39"/>
      <x:c r="E390" s="40"/>
      <x:c r="F390" s="40"/>
      <x:c r="G390" s="41"/>
      <x:c r="H390" s="20"/>
      <x:c r="I390" s="153"/>
      <x:c r="J390" s="41"/>
      <x:c r="K390" s="41"/>
      <x:c r="L390" s="41"/>
      <x:c r="M390" s="41"/>
      <x:c r="N390" s="41"/>
      <x:c r="O390" s="159"/>
    </x:row>
    <x:row r="391" spans="1:15" customHeight="1" outlineLevel="1">
      <x:c r="A391" s="38"/>
      <x:c r="B391" s="49"/>
      <x:c r="C391" s="19" t="s">
        <x:v>350</x:v>
      </x:c>
      <x:c r="D391" s="39"/>
      <x:c r="E391" s="40"/>
      <x:c r="F391" s="40"/>
      <x:c r="G391" s="41"/>
      <x:c r="H391" s="20"/>
      <x:c r="I391" s="153"/>
      <x:c r="J391" s="41"/>
      <x:c r="K391" s="41"/>
      <x:c r="L391" s="41"/>
      <x:c r="M391" s="41"/>
      <x:c r="N391" s="41"/>
      <x:c r="O391" s="159"/>
    </x:row>
    <x:row r="392" spans="1:15" customHeight="1" outlineLevel="1">
      <x:c r="A392" s="38"/>
      <x:c r="B392" s="49" t="s">
        <x:v>154</x:v>
      </x:c>
      <x:c r="C392" s="19"/>
      <x:c r="D392" s="39"/>
      <x:c r="E392" s="40"/>
      <x:c r="F392" s="40"/>
      <x:c r="G392" s="41"/>
      <x:c r="H392" s="20"/>
      <x:c r="I392" s="153"/>
      <x:c r="J392" s="41"/>
      <x:c r="K392" s="41"/>
      <x:c r="L392" s="41"/>
      <x:c r="M392" s="41"/>
      <x:c r="N392" s="41"/>
      <x:c r="O392" s="159"/>
    </x:row>
    <x:row r="393" spans="1:15" customHeight="1" outlineLevel="1">
      <x:c r="A393" s="38"/>
      <x:c r="B393" s="49"/>
      <x:c r="C393" s="19" t="s">
        <x:v>443</x:v>
      </x:c>
      <x:c r="D393" s="39"/>
      <x:c r="E393" s="40"/>
      <x:c r="F393" s="40"/>
      <x:c r="G393" s="41"/>
      <x:c r="H393" s="20"/>
      <x:c r="I393" s="153"/>
      <x:c r="J393" s="41"/>
      <x:c r="K393" s="41"/>
      <x:c r="L393" s="41"/>
      <x:c r="M393" s="42"/>
      <x:c r="N393" s="41"/>
      <x:c r="O393" s="159"/>
    </x:row>
    <x:row r="394" spans="1:15" customHeight="1" outlineLevel="1">
      <x:c r="A394" s="38"/>
      <x:c r="B394" s="49"/>
      <x:c r="C394" s="19" t="s">
        <x:v>444</x:v>
      </x:c>
      <x:c r="D394" s="39"/>
      <x:c r="E394" s="40"/>
      <x:c r="F394" s="40"/>
      <x:c r="G394" s="41"/>
      <x:c r="H394" s="20"/>
      <x:c r="I394" s="153"/>
      <x:c r="J394" s="41"/>
      <x:c r="K394" s="41"/>
      <x:c r="L394" s="41"/>
      <x:c r="M394" s="42"/>
      <x:c r="N394" s="41"/>
      <x:c r="O394" s="159"/>
    </x:row>
    <x:row r="395" spans="1:15" customHeight="1" outlineLevel="1">
      <x:c r="A395" s="38"/>
      <x:c r="B395" s="49" t="s">
        <x:v>157</x:v>
      </x:c>
      <x:c r="C395" s="19"/>
      <x:c r="D395" s="39"/>
      <x:c r="E395" s="40"/>
      <x:c r="F395" s="40"/>
      <x:c r="G395" s="41"/>
      <x:c r="H395" s="20"/>
      <x:c r="I395" s="153"/>
      <x:c r="J395" s="41"/>
      <x:c r="K395" s="41"/>
      <x:c r="L395" s="41"/>
      <x:c r="M395" s="42"/>
      <x:c r="N395" s="21" t="s">
        <x:v>626</x:v>
      </x:c>
      <x:c r="O395" s="159"/>
    </x:row>
    <x:row r="396" spans="1:15" customHeight="1" outlineLevel="1">
      <x:c r="A396" s="38"/>
      <x:c r="B396" s="49"/>
      <x:c r="C396" s="19" t="s">
        <x:v>349</x:v>
      </x:c>
      <x:c r="D396" s="39"/>
      <x:c r="E396" s="40"/>
      <x:c r="F396" s="40"/>
      <x:c r="G396" s="41"/>
      <x:c r="H396" s="20"/>
      <x:c r="I396" s="153"/>
      <x:c r="J396" s="41"/>
      <x:c r="K396" s="41"/>
      <x:c r="L396" s="41"/>
      <x:c r="M396" s="42"/>
      <x:c r="N396" s="41"/>
      <x:c r="O396" s="159"/>
    </x:row>
    <x:row r="397" spans="1:15" customHeight="1" outlineLevel="1">
      <x:c r="A397" s="38"/>
      <x:c r="B397" s="49"/>
      <x:c r="C397" s="39" t="s">
        <x:v>451</x:v>
      </x:c>
      <x:c r="D397" s="39"/>
      <x:c r="E397" s="40"/>
      <x:c r="F397" s="40"/>
      <x:c r="G397" s="41"/>
      <x:c r="H397" s="20"/>
      <x:c r="I397" s="153"/>
      <x:c r="J397" s="41"/>
      <x:c r="K397" s="41"/>
      <x:c r="L397" s="41"/>
      <x:c r="M397" s="42"/>
      <x:c r="N397" s="41"/>
      <x:c r="O397" s="159"/>
    </x:row>
    <x:row r="398" spans="1:15" customHeight="1" outlineLevel="1">
      <x:c r="A398" s="38"/>
      <x:c r="B398" s="49"/>
      <x:c r="C398" s="39" t="s">
        <x:v>892</x:v>
      </x:c>
      <x:c r="D398" s="39"/>
      <x:c r="E398" s="40"/>
      <x:c r="F398" s="40"/>
      <x:c r="G398" s="41"/>
      <x:c r="H398" s="20"/>
      <x:c r="I398" s="153"/>
      <x:c r="J398" s="41"/>
      <x:c r="K398" s="41"/>
      <x:c r="L398" s="41"/>
      <x:c r="M398" s="42"/>
      <x:c r="N398" s="41"/>
      <x:c r="O398" s="159"/>
    </x:row>
    <x:row r="399" spans="1:15" customHeight="1" outlineLevel="1">
      <x:c r="A399" s="38"/>
      <x:c r="B399" s="49"/>
      <x:c r="C399" s="39" t="s">
        <x:v>460</x:v>
      </x:c>
      <x:c r="D399" s="39"/>
      <x:c r="E399" s="40"/>
      <x:c r="F399" s="40"/>
      <x:c r="G399" s="41"/>
      <x:c r="I399" s="153"/>
      <x:c r="J399" s="41"/>
      <x:c r="K399" s="41"/>
      <x:c r="L399" s="41"/>
      <x:c r="M399" s="42"/>
      <x:c r="N399" s="41"/>
      <x:c r="O399" s="159"/>
    </x:row>
    <x:row r="400" spans="1:15" customHeight="1" outlineLevel="1">
      <x:c r="A400" s="38"/>
      <x:c r="B400" s="49"/>
      <x:c r="C400" s="39" t="s">
        <x:v>875</x:v>
      </x:c>
      <x:c r="D400" s="39"/>
      <x:c r="E400" s="40"/>
      <x:c r="F400" s="40"/>
      <x:c r="G400" s="41"/>
      <x:c r="H400" s="20"/>
      <x:c r="I400" s="153"/>
      <x:c r="J400" s="41"/>
      <x:c r="K400" s="41"/>
      <x:c r="L400" s="41"/>
      <x:c r="M400" s="42"/>
      <x:c r="N400" s="41"/>
      <x:c r="O400" s="159"/>
    </x:row>
    <x:row r="401" spans="1:15" customHeight="1" outlineLevel="1">
      <x:c r="A401" s="38"/>
      <x:c r="B401" s="49"/>
      <x:c r="C401" s="39" t="s">
        <x:v>143</x:v>
      </x:c>
      <x:c r="D401" s="39"/>
      <x:c r="E401" s="40"/>
      <x:c r="F401" s="40"/>
      <x:c r="G401" s="41"/>
      <x:c r="H401" s="20"/>
      <x:c r="I401" s="153"/>
      <x:c r="J401" s="41"/>
      <x:c r="K401" s="41"/>
      <x:c r="L401" s="41"/>
      <x:c r="M401" s="42"/>
      <x:c r="N401" s="41"/>
      <x:c r="O401" s="159"/>
    </x:row>
    <x:row r="402" spans="1:15" customHeight="1" outlineLevel="1">
      <x:c r="A402" s="38"/>
      <x:c r="B402" s="49"/>
      <x:c r="C402" s="39" t="s">
        <x:v>159</x:v>
      </x:c>
      <x:c r="D402" s="39"/>
      <x:c r="E402" s="40"/>
      <x:c r="F402" s="40"/>
      <x:c r="G402" s="41"/>
      <x:c r="H402" s="20"/>
      <x:c r="I402" s="153"/>
      <x:c r="J402" s="41"/>
      <x:c r="K402" s="41"/>
      <x:c r="L402" s="41"/>
      <x:c r="M402" s="42"/>
      <x:c r="N402" s="41"/>
      <x:c r="O402" s="159"/>
    </x:row>
    <x:row r="403" spans="1:15" customHeight="1" outlineLevel="1">
      <x:c r="A403" s="38"/>
      <x:c r="B403" s="49"/>
      <x:c r="C403" s="39" t="s">
        <x:v>461</x:v>
      </x:c>
      <x:c r="D403" s="39"/>
      <x:c r="E403" s="40"/>
      <x:c r="F403" s="40"/>
      <x:c r="G403" s="41"/>
      <x:c r="H403" s="20"/>
      <x:c r="I403" s="153"/>
      <x:c r="J403" s="41"/>
      <x:c r="K403" s="41"/>
      <x:c r="L403" s="41"/>
      <x:c r="M403" s="42"/>
      <x:c r="N403" s="41"/>
      <x:c r="O403" s="159"/>
    </x:row>
    <x:row r="404" spans="1:15" customHeight="1" outlineLevel="1">
      <x:c r="A404" s="38"/>
      <x:c r="B404" s="49"/>
      <x:c r="C404" s="39" t="s">
        <x:v>147</x:v>
      </x:c>
      <x:c r="D404" s="39"/>
      <x:c r="E404" s="40"/>
      <x:c r="F404" s="40"/>
      <x:c r="G404" s="41"/>
      <x:c r="H404" s="20"/>
      <x:c r="I404" s="153"/>
      <x:c r="J404" s="41"/>
      <x:c r="K404" s="41"/>
      <x:c r="L404" s="41"/>
      <x:c r="M404" s="42"/>
      <x:c r="N404" s="41"/>
      <x:c r="O404" s="159"/>
    </x:row>
    <x:row r="405" spans="1:15" customHeight="1" outlineLevel="1">
      <x:c r="A405" s="38"/>
      <x:c r="B405" s="49"/>
      <x:c r="C405" s="39" t="s">
        <x:v>463</x:v>
      </x:c>
      <x:c r="D405" s="39"/>
      <x:c r="E405" s="40"/>
      <x:c r="F405" s="40"/>
      <x:c r="G405" s="41"/>
      <x:c r="H405" s="20"/>
      <x:c r="I405" s="153"/>
      <x:c r="J405" s="41"/>
      <x:c r="K405" s="41"/>
      <x:c r="L405" s="41"/>
      <x:c r="M405" s="42"/>
      <x:c r="N405" s="41"/>
      <x:c r="O405" s="159"/>
    </x:row>
    <x:row r="406" spans="1:15" customHeight="1" outlineLevel="1">
      <x:c r="A406" s="38"/>
      <x:c r="B406" s="49"/>
      <x:c r="C406" s="39" t="s">
        <x:v>462</x:v>
      </x:c>
      <x:c r="D406" s="39"/>
      <x:c r="E406" s="40"/>
      <x:c r="F406" s="40"/>
      <x:c r="G406" s="41"/>
      <x:c r="H406" s="20"/>
      <x:c r="I406" s="153"/>
      <x:c r="J406" s="41"/>
      <x:c r="K406" s="41"/>
      <x:c r="L406" s="41"/>
      <x:c r="M406" s="42"/>
      <x:c r="N406" s="41"/>
      <x:c r="O406" s="159"/>
    </x:row>
    <x:row r="407" spans="1:15" customHeight="1" outlineLevel="1">
      <x:c r="A407" s="38"/>
      <x:c r="B407" s="49" t="s">
        <x:v>182</x:v>
      </x:c>
      <x:c r="C407" s="39"/>
      <x:c r="D407" s="39"/>
      <x:c r="E407" s="40"/>
      <x:c r="F407" s="40"/>
      <x:c r="G407" s="41" t="s">
        <x:v>359</x:v>
      </x:c>
      <x:c r="H407" s="20"/>
      <x:c r="I407" s="153"/>
      <x:c r="J407" s="41"/>
      <x:c r="K407" s="41"/>
      <x:c r="L407" s="41"/>
      <x:c r="M407" s="42"/>
      <x:c r="N407" s="41"/>
      <x:c r="O407" s="159"/>
    </x:row>
    <x:row r="408" spans="1:15" customHeight="1" outlineLevel="1">
      <x:c r="A408" s="38"/>
      <x:c r="B408" s="49" t="s">
        <x:v>481</x:v>
      </x:c>
      <x:c r="C408" s="39"/>
      <x:c r="D408" s="39"/>
      <x:c r="E408" s="40"/>
      <x:c r="F408" s="40"/>
      <x:c r="G408" s="41" t="s">
        <x:v>359</x:v>
      </x:c>
      <x:c r="H408" s="20"/>
      <x:c r="I408" s="153"/>
      <x:c r="J408" s="41"/>
      <x:c r="K408" s="41"/>
      <x:c r="L408" s="41"/>
      <x:c r="M408" s="42"/>
      <x:c r="N408" s="41"/>
      <x:c r="O408" s="159"/>
    </x:row>
    <x:row r="409" spans="1:15" customHeight="1" outlineLevel="1">
      <x:c r="A409" s="38"/>
      <x:c r="B409" s="49" t="s">
        <x:v>476</x:v>
      </x:c>
      <x:c r="C409" s="39"/>
      <x:c r="D409" s="39"/>
      <x:c r="E409" s="40"/>
      <x:c r="F409" s="40"/>
      <x:c r="G409" s="41" t="s">
        <x:v>359</x:v>
      </x:c>
      <x:c r="H409" s="20"/>
      <x:c r="I409" s="153"/>
      <x:c r="J409" s="41"/>
      <x:c r="K409" s="41"/>
      <x:c r="L409" s="41"/>
      <x:c r="M409" s="42"/>
      <x:c r="N409" s="41"/>
      <x:c r="O409" s="159"/>
    </x:row>
    <x:row r="410" spans="1:15" customHeight="1" outlineLevel="1">
      <x:c r="A410" s="38"/>
      <x:c r="B410" s="49" t="s">
        <x:v>189</x:v>
      </x:c>
      <x:c r="C410" s="39"/>
      <x:c r="D410" s="39"/>
      <x:c r="E410" s="40"/>
      <x:c r="F410" s="40"/>
      <x:c r="G410" s="41" t="s">
        <x:v>359</x:v>
      </x:c>
      <x:c r="H410" s="20"/>
      <x:c r="I410" s="153"/>
      <x:c r="J410" s="41"/>
      <x:c r="K410" s="41"/>
      <x:c r="L410" s="41"/>
      <x:c r="M410" s="42"/>
      <x:c r="N410" s="41"/>
      <x:c r="O410" s="159"/>
    </x:row>
    <x:row r="411" spans="1:15" customHeight="1">
      <x:c r="A411" s="25" t="s">
        <x:v>809</x:v>
      </x:c>
      <x:c r="B411" s="26"/>
      <x:c r="C411" s="27"/>
      <x:c r="D411" s="37"/>
      <x:c r="E411" s="34"/>
      <x:c r="F411" s="34"/>
      <x:c r="G411" s="30"/>
      <x:c r="H411" s="35"/>
      <x:c r="I411" s="28">
        <x:f>SUM(I412:I423)</x:f>
        <x:v>0</x:v>
      </x:c>
      <x:c r="J411" s="30">
        <x:f>SUM(J412:J423)</x:f>
        <x:v>0</x:v>
      </x:c>
      <x:c r="K411" s="30"/>
      <x:c r="L411" s="30"/>
      <x:c r="M411" s="52">
        <x:f>AVERAGE(M412:M423)</x:f>
        <x:v>0</x:v>
      </x:c>
      <x:c r="N411" s="30"/>
      <x:c r="O411" s="36"/>
    </x:row>
    <x:row r="412" spans="1:15" customHeight="1" outlineLevel="1">
      <x:c r="A412" s="38"/>
      <x:c r="B412" s="39" t="s">
        <x:v>792</x:v>
      </x:c>
      <x:c r="C412" s="39"/>
      <x:c r="D412" s="39"/>
      <x:c r="E412" s="40"/>
      <x:c r="F412" s="40"/>
      <x:c r="G412" s="41"/>
      <x:c r="I412" s="148"/>
      <x:c r="J412" s="160"/>
      <x:c r="K412" s="41"/>
      <x:c r="L412" s="41"/>
      <x:c r="M412" s="42">
        <x:v>0</x:v>
      </x:c>
      <x:c r="N412" s="41"/>
      <x:c r="O412" s="159"/>
    </x:row>
    <x:row r="413" spans="1:15" customHeight="1" outlineLevel="1">
      <x:c r="A413" s="38"/>
      <x:c r="B413" s="49" t="s">
        <x:v>768</x:v>
      </x:c>
      <x:c r="C413" s="19"/>
      <x:c r="D413" s="39"/>
      <x:c r="E413" s="40"/>
      <x:c r="F413" s="40"/>
      <x:c r="G413" s="41"/>
      <x:c r="H413" s="20"/>
      <x:c r="I413" s="153"/>
      <x:c r="J413" s="41"/>
      <x:c r="K413" s="41"/>
      <x:c r="L413" s="41"/>
      <x:c r="M413" s="41"/>
      <x:c r="N413" s="41" t="s">
        <x:v>611</x:v>
      </x:c>
      <x:c r="O413" s="159"/>
    </x:row>
    <x:row r="414" spans="1:15" customHeight="1" outlineLevel="1">
      <x:c r="A414" s="38"/>
      <x:c r="B414" s="49"/>
      <x:c r="C414" s="19" t="s">
        <x:v>885</x:v>
      </x:c>
      <x:c r="D414" s="39"/>
      <x:c r="E414" s="40"/>
      <x:c r="F414" s="40"/>
      <x:c r="G414" s="41"/>
      <x:c r="H414" s="20"/>
      <x:c r="I414" s="153"/>
      <x:c r="J414" s="41"/>
      <x:c r="K414" s="41"/>
      <x:c r="L414" s="21"/>
      <x:c r="M414" s="42"/>
      <x:c r="N414" s="41"/>
      <x:c r="O414" s="159"/>
    </x:row>
    <x:row r="415" spans="1:15" customHeight="1" outlineLevel="1">
      <x:c r="A415" s="38"/>
      <x:c r="B415" s="49"/>
      <x:c r="C415" s="19" t="s">
        <x:v>636</x:v>
      </x:c>
      <x:c r="D415" s="39"/>
      <x:c r="E415" s="40"/>
      <x:c r="F415" s="40"/>
      <x:c r="G415" s="41"/>
      <x:c r="H415" s="20"/>
      <x:c r="I415" s="153"/>
      <x:c r="J415" s="41"/>
      <x:c r="K415" s="41"/>
      <x:c r="L415" s="21"/>
      <x:c r="M415" s="42"/>
      <x:c r="N415" s="41"/>
      <x:c r="O415" s="159"/>
    </x:row>
    <x:row r="416" spans="1:15" customHeight="1" outlineLevel="1">
      <x:c r="A416" s="38"/>
      <x:c r="B416" s="49"/>
      <x:c r="C416" s="19" t="s">
        <x:v>637</x:v>
      </x:c>
      <x:c r="D416" s="39"/>
      <x:c r="E416" s="40"/>
      <x:c r="F416" s="40"/>
      <x:c r="G416" s="41"/>
      <x:c r="H416" s="20"/>
      <x:c r="I416" s="153"/>
      <x:c r="J416" s="41"/>
      <x:c r="K416" s="41"/>
      <x:c r="L416" s="21"/>
      <x:c r="M416" s="42"/>
      <x:c r="N416" s="41"/>
      <x:c r="O416" s="159"/>
    </x:row>
    <x:row r="417" spans="1:15" customHeight="1" outlineLevel="1">
      <x:c r="A417" s="38"/>
      <x:c r="B417" s="49" t="s">
        <x:v>769</x:v>
      </x:c>
      <x:c r="C417" s="19"/>
      <x:c r="D417" s="39"/>
      <x:c r="E417" s="40"/>
      <x:c r="F417" s="40"/>
      <x:c r="G417" s="41"/>
      <x:c r="H417" s="20"/>
      <x:c r="I417" s="153"/>
      <x:c r="J417" s="41"/>
      <x:c r="K417" s="41"/>
      <x:c r="L417" s="21"/>
      <x:c r="M417" s="42"/>
      <x:c r="N417" s="41"/>
      <x:c r="O417" s="159"/>
    </x:row>
    <x:row r="418" spans="1:15" customHeight="1" outlineLevel="1">
      <x:c r="A418" s="38"/>
      <x:c r="B418" s="49"/>
      <x:c r="C418" s="19" t="s">
        <x:v>896</x:v>
      </x:c>
      <x:c r="D418" s="39"/>
      <x:c r="E418" s="40"/>
      <x:c r="F418" s="40"/>
      <x:c r="G418" s="41"/>
      <x:c r="H418" s="20"/>
      <x:c r="I418" s="153"/>
      <x:c r="J418" s="41"/>
      <x:c r="K418" s="41"/>
      <x:c r="L418" s="21"/>
      <x:c r="M418" s="42"/>
      <x:c r="N418" s="41"/>
      <x:c r="O418" s="159"/>
    </x:row>
    <x:row r="419" spans="1:15" customHeight="1" outlineLevel="1">
      <x:c r="A419" s="38"/>
      <x:c r="B419" s="49"/>
      <x:c r="C419" s="19" t="s">
        <x:v>897</x:v>
      </x:c>
      <x:c r="D419" s="39"/>
      <x:c r="E419" s="40"/>
      <x:c r="F419" s="40"/>
      <x:c r="G419" s="41"/>
      <x:c r="H419" s="20"/>
      <x:c r="I419" s="153"/>
      <x:c r="J419" s="41"/>
      <x:c r="K419" s="41"/>
      <x:c r="L419" s="21"/>
      <x:c r="M419" s="42"/>
      <x:c r="N419" s="41"/>
      <x:c r="O419" s="159"/>
    </x:row>
    <x:row r="420" spans="1:15" customHeight="1" outlineLevel="1">
      <x:c r="A420" s="38"/>
      <x:c r="B420" s="49"/>
      <x:c r="C420" s="19" t="s">
        <x:v>876</x:v>
      </x:c>
      <x:c r="D420" s="39"/>
      <x:c r="E420" s="40"/>
      <x:c r="F420" s="40"/>
      <x:c r="G420" s="41"/>
      <x:c r="H420" s="20"/>
      <x:c r="I420" s="153"/>
      <x:c r="J420" s="41"/>
      <x:c r="K420" s="41"/>
      <x:c r="L420" s="21"/>
      <x:c r="M420" s="42"/>
      <x:c r="N420" s="41"/>
      <x:c r="O420" s="159"/>
    </x:row>
    <x:row r="421" spans="1:15" customHeight="1" outlineLevel="1">
      <x:c r="A421" s="38"/>
      <x:c r="B421" s="49" t="s">
        <x:v>770</x:v>
      </x:c>
      <x:c r="C421" s="19"/>
      <x:c r="D421" s="39"/>
      <x:c r="E421" s="40"/>
      <x:c r="F421" s="40"/>
      <x:c r="G421" s="41"/>
      <x:c r="H421" s="20"/>
      <x:c r="I421" s="153"/>
      <x:c r="J421" s="41"/>
      <x:c r="K421" s="41"/>
      <x:c r="L421" s="21"/>
      <x:c r="M421" s="42"/>
      <x:c r="N421" s="41"/>
      <x:c r="O421" s="159"/>
    </x:row>
    <x:row r="422" spans="1:15" customHeight="1" outlineLevel="1">
      <x:c r="A422" s="38"/>
      <x:c r="B422" s="49"/>
      <x:c r="C422" s="19" t="s">
        <x:v>879</x:v>
      </x:c>
      <x:c r="D422" s="39"/>
      <x:c r="E422" s="40"/>
      <x:c r="F422" s="40"/>
      <x:c r="G422" s="41"/>
      <x:c r="H422" s="20"/>
      <x:c r="I422" s="153"/>
      <x:c r="J422" s="41"/>
      <x:c r="K422" s="41"/>
      <x:c r="L422" s="21"/>
      <x:c r="M422" s="42"/>
      <x:c r="N422" s="41"/>
      <x:c r="O422" s="159"/>
    </x:row>
    <x:row r="423" spans="1:15" customHeight="1" outlineLevel="1">
      <x:c r="A423" s="38"/>
      <x:c r="B423" s="49"/>
      <x:c r="C423" s="19" t="s">
        <x:v>354</x:v>
      </x:c>
      <x:c r="D423" s="39"/>
      <x:c r="E423" s="40"/>
      <x:c r="F423" s="40"/>
      <x:c r="G423" s="41"/>
      <x:c r="H423" s="20"/>
      <x:c r="I423" s="153"/>
      <x:c r="J423" s="41"/>
      <x:c r="K423" s="41"/>
      <x:c r="L423" s="21"/>
      <x:c r="M423" s="42"/>
      <x:c r="N423" s="41"/>
      <x:c r="O423" s="159"/>
    </x:row>
  </x:sheetData>
  <x:mergeCells count="94">
    <x:mergeCell ref="K182:K204"/>
    <x:mergeCell ref="K205:K212"/>
    <x:mergeCell ref="K161:K181"/>
    <x:mergeCell ref="K108:K115"/>
    <x:mergeCell ref="K119:K126"/>
    <x:mergeCell ref="K127:K131"/>
    <x:mergeCell ref="K154:K160"/>
    <x:mergeCell ref="K132:K153"/>
    <x:mergeCell ref="K80:K98"/>
    <x:mergeCell ref="L80:L98"/>
    <x:mergeCell ref="K99:K107"/>
    <x:mergeCell ref="H347:H348"/>
    <x:mergeCell ref="I347:I348"/>
    <x:mergeCell ref="H349:H374"/>
    <x:mergeCell ref="I349:I374"/>
    <x:mergeCell ref="H154:H160"/>
    <x:mergeCell ref="I154:I160"/>
    <x:mergeCell ref="I239:I247"/>
    <x:mergeCell ref="O291:O322"/>
    <x:mergeCell ref="G284:G291"/>
    <x:mergeCell ref="G313:G322"/>
    <x:mergeCell ref="I292:I305"/>
    <x:mergeCell ref="O257:O283"/>
    <x:mergeCell ref="O284:O290"/>
    <x:mergeCell ref="I284:I291"/>
    <x:mergeCell ref="I248:I283"/>
    <x:mergeCell ref="G262:G269"/>
    <x:mergeCell ref="G270:G283"/>
    <x:mergeCell ref="N273:N283"/>
    <x:mergeCell ref="G161:G181"/>
    <x:mergeCell ref="G182:G204"/>
    <x:mergeCell ref="G205:G212"/>
    <x:mergeCell ref="O215:O238"/>
    <x:mergeCell ref="O239:O256"/>
    <x:mergeCell ref="H205:H212"/>
    <x:mergeCell ref="I205:I212"/>
    <x:mergeCell ref="H215:H238"/>
    <x:mergeCell ref="I215:I238"/>
    <x:mergeCell ref="H182:H204"/>
    <x:mergeCell ref="I182:I204"/>
    <x:mergeCell ref="H161:H181"/>
    <x:mergeCell ref="I161:I181"/>
    <x:mergeCell ref="G248:G256"/>
    <x:mergeCell ref="H239:H247"/>
    <x:mergeCell ref="H248:H283"/>
    <x:mergeCell ref="I79:I131"/>
    <x:mergeCell ref="H137:H153"/>
    <x:mergeCell ref="H133:H136"/>
    <x:mergeCell ref="I137:I153"/>
    <x:mergeCell ref="I133:I136"/>
    <x:mergeCell ref="H79:H131"/>
    <x:mergeCell ref="O13:O26"/>
    <x:mergeCell ref="N73:N75"/>
    <x:mergeCell ref="H73:H75"/>
    <x:mergeCell ref="I73:I75"/>
    <x:mergeCell ref="H377:H383"/>
    <x:mergeCell ref="I377:I383"/>
    <x:mergeCell ref="O377:O383"/>
    <x:mergeCell ref="O325:O326"/>
    <x:mergeCell ref="H326:H332"/>
    <x:mergeCell ref="I326:I332"/>
    <x:mergeCell ref="H333:H346"/>
    <x:mergeCell ref="I333:I346"/>
    <x:mergeCell ref="H306:H322"/>
    <x:mergeCell ref="H284:H291"/>
    <x:mergeCell ref="I306:I322"/>
    <x:mergeCell ref="H292:H305"/>
    <x:mergeCell ref="H40:H51"/>
    <x:mergeCell ref="I40:I51"/>
    <x:mergeCell ref="G45:G50"/>
    <x:mergeCell ref="A52:F52"/>
    <x:mergeCell ref="H54:H62"/>
    <x:mergeCell ref="I54:I62"/>
    <x:mergeCell ref="I21:I26"/>
    <x:mergeCell ref="H27:H34"/>
    <x:mergeCell ref="I27:I34"/>
    <x:mergeCell ref="H35:H39"/>
    <x:mergeCell ref="I35:I39"/>
    <x:mergeCell ref="K41:K51"/>
    <x:mergeCell ref="L41:L51"/>
    <x:mergeCell ref="B6:N6"/>
    <x:mergeCell ref="B1:O1"/>
    <x:mergeCell ref="B2:N2"/>
    <x:mergeCell ref="B3:N3"/>
    <x:mergeCell ref="B4:N4"/>
    <x:mergeCell ref="B5:N5"/>
    <x:mergeCell ref="B7:N7"/>
    <x:mergeCell ref="A10:F10"/>
    <x:mergeCell ref="F11:H11"/>
    <x:mergeCell ref="H12:H20"/>
    <x:mergeCell ref="I12:I20"/>
    <x:mergeCell ref="K13:K20"/>
    <x:mergeCell ref="L13:L20"/>
    <x:mergeCell ref="H21:H26"/>
  </x:mergeCells>
  <x:dataValidations disablePrompts="1" count="1">
    <x:dataValidation type="textLength" imeMode="halfHangul" showErrorMessage="1" sqref="M54:M54">
      <x:formula1>Q52</x:formula1>
      <x:formula2>#REF!</x:formula2>
    </x:dataValidation>
  </x:dataValidations>
  <x:pageMargins left="0.25" right="0.25" top="0.75" bottom="0.75" header="0.30000001192092896" footer="0.30000001192092896"/>
  <x:pageSetup paperSize="9" scale="37" firstPageNumber="1" fitToWidth="1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8cb3e4"/>
    <x:pageSetUpPr autoPageBreaks="1" fitToPage="1"/>
  </x:sheetPr>
  <x:dimension ref="B2:L72"/>
  <x:sheetViews>
    <x:sheetView topLeftCell="A32" zoomScale="70" zoomScaleNormal="70" zoomScaleSheetLayoutView="100" workbookViewId="0">
      <x:selection activeCell="D43" activeCellId="0" sqref="D43:D43"/>
    </x:sheetView>
  </x:sheetViews>
  <x:sheetFormatPr defaultColWidth="8.92578125" defaultRowHeight="17.600000000000001"/>
  <x:cols>
    <x:col min="1" max="1" width="4.28515625" style="9" customWidth="1"/>
    <x:col min="2" max="2" width="23" style="9" customWidth="1"/>
    <x:col min="3" max="3" width="31.7109375" style="9" customWidth="1"/>
    <x:col min="4" max="4" width="157.640625" style="9" customWidth="1"/>
    <x:col min="5" max="5" width="15.2109375" style="9" customWidth="1"/>
    <x:col min="6" max="6" width="10.85546875" style="9" customWidth="1"/>
    <x:col min="7" max="7" width="19" style="9" customWidth="1"/>
    <x:col min="8" max="8" width="17.0703125" style="9" bestFit="1" customWidth="1"/>
    <x:col min="9" max="9" width="30.5" style="9" customWidth="1"/>
    <x:col min="10" max="10" width="20" style="9" customWidth="1"/>
    <x:col min="11" max="16384" width="8.92578125" style="9"/>
  </x:cols>
  <x:sheetData>
    <x:row r="2" spans="2:2">
      <x:c r="B2" s="99" t="s">
        <x:v>290</x:v>
      </x:c>
    </x:row>
    <x:row r="3" spans="2:2">
      <x:c r="B3" s="99" t="s">
        <x:v>838</x:v>
      </x:c>
    </x:row>
    <x:row r="4" spans="2:2" ht="18">
      <x:c r="B4" s="99" t="s">
        <x:v>583</x:v>
      </x:c>
    </x:row>
    <x:row r="5" spans="2:6" ht="18">
      <x:c r="B5" s="162" t="s">
        <x:v>683</x:v>
      </x:c>
      <x:c r="C5" s="163" t="s">
        <x:v>711</x:v>
      </x:c>
      <x:c r="D5" s="163" t="s">
        <x:v>707</x:v>
      </x:c>
      <x:c r="E5" s="163" t="s">
        <x:v>820</x:v>
      </x:c>
      <x:c r="F5" s="164" t="s">
        <x:v>494</x:v>
      </x:c>
    </x:row>
    <x:row r="6" spans="2:6">
      <x:c r="B6" s="311" t="s">
        <x:v>297</x:v>
      </x:c>
      <x:c r="C6" s="100" t="s">
        <x:v>722</x:v>
      </x:c>
      <x:c r="D6" s="167" t="s">
        <x:v>239</x:v>
      </x:c>
      <x:c r="E6" s="100">
        <x:v>5</x:v>
      </x:c>
      <x:c r="F6" s="318">
        <x:v>20</x:v>
      </x:c>
    </x:row>
    <x:row r="7" spans="2:6">
      <x:c r="B7" s="315"/>
      <x:c r="C7" s="100" t="s">
        <x:v>728</x:v>
      </x:c>
      <x:c r="D7" s="167" t="s">
        <x:v>269</x:v>
      </x:c>
      <x:c r="E7" s="100">
        <x:v>5</x:v>
      </x:c>
      <x:c r="F7" s="320"/>
    </x:row>
    <x:row r="8" spans="2:6">
      <x:c r="B8" s="315"/>
      <x:c r="C8" s="100" t="s">
        <x:v>714</x:v>
      </x:c>
      <x:c r="D8" s="167" t="s">
        <x:v>0</x:v>
      </x:c>
      <x:c r="E8" s="100">
        <x:v>5</x:v>
      </x:c>
      <x:c r="F8" s="320"/>
    </x:row>
    <x:row r="9" spans="2:6">
      <x:c r="B9" s="315"/>
      <x:c r="C9" s="169" t="s">
        <x:v>585</x:v>
      </x:c>
      <x:c r="D9" s="174" t="s">
        <x:v>213</x:v>
      </x:c>
      <x:c r="E9" s="169">
        <x:v>5</x:v>
      </x:c>
      <x:c r="F9" s="320"/>
    </x:row>
    <x:row r="10" spans="2:6">
      <x:c r="B10" s="311" t="s">
        <x:v>727</x:v>
      </x:c>
      <x:c r="C10" s="100" t="s">
        <x:v>710</x:v>
      </x:c>
      <x:c r="D10" s="167" t="s">
        <x:v>206</x:v>
      </x:c>
      <x:c r="E10" s="100">
        <x:v>5</x:v>
      </x:c>
      <x:c r="F10" s="318">
        <x:v>25</x:v>
      </x:c>
    </x:row>
    <x:row r="11" spans="2:6">
      <x:c r="B11" s="315"/>
      <x:c r="C11" s="100" t="s">
        <x:v>544</x:v>
      </x:c>
      <x:c r="D11" s="167" t="s">
        <x:v>3</x:v>
      </x:c>
      <x:c r="E11" s="100">
        <x:v>10</x:v>
      </x:c>
      <x:c r="F11" s="320"/>
    </x:row>
    <x:row r="12" spans="2:6">
      <x:c r="B12" s="315"/>
      <x:c r="C12" s="100" t="s">
        <x:v>721</x:v>
      </x:c>
      <x:c r="D12" s="167" t="s">
        <x:v>261</x:v>
      </x:c>
      <x:c r="E12" s="100">
        <x:v>5</x:v>
      </x:c>
      <x:c r="F12" s="320"/>
    </x:row>
    <x:row r="13" spans="2:6">
      <x:c r="B13" s="315"/>
      <x:c r="C13" s="169" t="s">
        <x:v>584</x:v>
      </x:c>
      <x:c r="D13" s="174" t="s">
        <x:v>2</x:v>
      </x:c>
      <x:c r="E13" s="169">
        <x:v>5</x:v>
      </x:c>
      <x:c r="F13" s="320"/>
    </x:row>
    <x:row r="14" spans="2:6">
      <x:c r="B14" s="311" t="s">
        <x:v>703</x:v>
      </x:c>
      <x:c r="C14" s="100" t="s">
        <x:v>719</x:v>
      </x:c>
      <x:c r="D14" s="167" t="s">
        <x:v>219</x:v>
      </x:c>
      <x:c r="E14" s="100">
        <x:v>5</x:v>
      </x:c>
      <x:c r="F14" s="318">
        <x:v>10</x:v>
      </x:c>
    </x:row>
    <x:row r="15" spans="2:6">
      <x:c r="B15" s="315"/>
      <x:c r="C15" s="100" t="s">
        <x:v>692</x:v>
      </x:c>
      <x:c r="D15" s="167" t="s">
        <x:v>191</x:v>
      </x:c>
      <x:c r="E15" s="100">
        <x:v>3</x:v>
      </x:c>
      <x:c r="F15" s="320"/>
    </x:row>
    <x:row r="16" spans="2:6">
      <x:c r="B16" s="312"/>
      <x:c r="C16" s="100" t="s">
        <x:v>686</x:v>
      </x:c>
      <x:c r="D16" s="167" t="s">
        <x:v>214</x:v>
      </x:c>
      <x:c r="E16" s="100">
        <x:v>2</x:v>
      </x:c>
      <x:c r="F16" s="319"/>
    </x:row>
    <x:row r="17" spans="2:6">
      <x:c r="B17" s="311" t="s">
        <x:v>730</x:v>
      </x:c>
      <x:c r="C17" s="100" t="s">
        <x:v>712</x:v>
      </x:c>
      <x:c r="D17" s="167" t="s">
        <x:v>266</x:v>
      </x:c>
      <x:c r="E17" s="100">
        <x:v>5</x:v>
      </x:c>
      <x:c r="F17" s="318">
        <x:v>15</x:v>
      </x:c>
    </x:row>
    <x:row r="18" spans="2:6">
      <x:c r="B18" s="315"/>
      <x:c r="C18" s="100" t="s">
        <x:v>724</x:v>
      </x:c>
      <x:c r="D18" s="167" t="s">
        <x:v>208</x:v>
      </x:c>
      <x:c r="E18" s="100">
        <x:v>2</x:v>
      </x:c>
      <x:c r="F18" s="320"/>
    </x:row>
    <x:row r="19" spans="2:6">
      <x:c r="B19" s="315"/>
      <x:c r="C19" s="169" t="s">
        <x:v>818</x:v>
      </x:c>
      <x:c r="D19" s="174" t="s">
        <x:v>267</x:v>
      </x:c>
      <x:c r="E19" s="169">
        <x:v>3</x:v>
      </x:c>
      <x:c r="F19" s="320"/>
    </x:row>
    <x:row r="20" spans="2:6">
      <x:c r="B20" s="315"/>
      <x:c r="C20" s="169" t="s">
        <x:v>580</x:v>
      </x:c>
      <x:c r="D20" s="174" t="s">
        <x:v>209</x:v>
      </x:c>
      <x:c r="E20" s="175">
        <x:v>3</x:v>
      </x:c>
      <x:c r="F20" s="320"/>
    </x:row>
    <x:row r="21" spans="2:6">
      <x:c r="B21" s="312"/>
      <x:c r="C21" s="170" t="s">
        <x:v>731</x:v>
      </x:c>
      <x:c r="D21" s="171" t="s">
        <x:v>6</x:v>
      </x:c>
      <x:c r="E21" s="170">
        <x:v>2</x:v>
      </x:c>
      <x:c r="F21" s="319"/>
    </x:row>
    <x:row r="22" spans="2:6">
      <x:c r="B22" s="311" t="s">
        <x:v>720</x:v>
      </x:c>
      <x:c r="C22" s="100" t="s">
        <x:v>725</x:v>
      </x:c>
      <x:c r="D22" s="167" t="s">
        <x:v>212</x:v>
      </x:c>
      <x:c r="E22" s="100">
        <x:v>2</x:v>
      </x:c>
      <x:c r="F22" s="318">
        <x:v>10</x:v>
      </x:c>
    </x:row>
    <x:row r="23" spans="2:6">
      <x:c r="B23" s="315"/>
      <x:c r="C23" s="100" t="s">
        <x:v>700</x:v>
      </x:c>
      <x:c r="D23" s="167" t="s">
        <x:v>199</x:v>
      </x:c>
      <x:c r="E23" s="100">
        <x:v>3</x:v>
      </x:c>
      <x:c r="F23" s="320"/>
    </x:row>
    <x:row r="24" spans="2:6">
      <x:c r="B24" s="312"/>
      <x:c r="C24" s="100" t="s">
        <x:v>715</x:v>
      </x:c>
      <x:c r="D24" s="167" t="s">
        <x:v>200</x:v>
      </x:c>
      <x:c r="E24" s="100">
        <x:v>5</x:v>
      </x:c>
      <x:c r="F24" s="319"/>
    </x:row>
    <x:row r="25" spans="2:6" ht="45">
      <x:c r="B25" s="166" t="s">
        <x:v>542</x:v>
      </x:c>
      <x:c r="C25" s="169" t="s">
        <x:v>579</x:v>
      </x:c>
      <x:c r="D25" s="174" t="s">
        <x:v>627</x:v>
      </x:c>
      <x:c r="E25" s="169">
        <x:v>5</x:v>
      </x:c>
      <x:c r="F25" s="168">
        <x:v>5</x:v>
      </x:c>
    </x:row>
    <x:row r="26" spans="2:6" ht="18">
      <x:c r="B26" s="172" t="s">
        <x:v>541</x:v>
      </x:c>
      <x:c r="C26" s="308"/>
      <x:c r="D26" s="309"/>
      <x:c r="E26" s="310"/>
      <x:c r="F26" s="173">
        <x:v>85</x:v>
      </x:c>
    </x:row>
    <x:row r="27" ht="18"/>
    <x:row r="28" spans="2:2" ht="18">
      <x:c r="B28" s="9" t="s">
        <x:v>581</x:v>
      </x:c>
    </x:row>
    <x:row r="29" spans="2:6" ht="18">
      <x:c r="B29" s="321" t="s">
        <x:v>683</x:v>
      </x:c>
      <x:c r="C29" s="316" t="s">
        <x:v>711</x:v>
      </x:c>
      <x:c r="D29" s="316" t="s">
        <x:v>707</x:v>
      </x:c>
      <x:c r="E29" s="163" t="s">
        <x:v>575</x:v>
      </x:c>
      <x:c r="F29" s="313" t="s">
        <x:v>494</x:v>
      </x:c>
    </x:row>
    <x:row r="30" spans="2:6">
      <x:c r="B30" s="322"/>
      <x:c r="C30" s="317"/>
      <x:c r="D30" s="317"/>
      <x:c r="E30" s="165" t="s">
        <x:v>571</x:v>
      </x:c>
      <x:c r="F30" s="314"/>
    </x:row>
    <x:row r="31" spans="2:7">
      <x:c r="B31" s="311" t="s">
        <x:v>798</x:v>
      </x:c>
      <x:c r="C31" s="169" t="s">
        <x:v>718</x:v>
      </x:c>
      <x:c r="D31" s="174" t="s">
        <x:v>7</x:v>
      </x:c>
      <x:c r="E31" s="169">
        <x:v>5</x:v>
      </x:c>
      <x:c r="F31" s="318">
        <x:v>10</x:v>
      </x:c>
      <x:c r="G31" s="9" t="s">
        <x:v>645</x:v>
      </x:c>
    </x:row>
    <x:row r="32" spans="2:7">
      <x:c r="B32" s="312"/>
      <x:c r="C32" s="100" t="s">
        <x:v>706</x:v>
      </x:c>
      <x:c r="D32" s="167" t="s">
        <x:v>232</x:v>
      </x:c>
      <x:c r="E32" s="100">
        <x:v>5</x:v>
      </x:c>
      <x:c r="F32" s="319"/>
      <x:c r="G32" s="9" t="s">
        <x:v>803</x:v>
      </x:c>
    </x:row>
    <x:row r="33" spans="2:7">
      <x:c r="B33" s="306" t="s">
        <x:v>810</x:v>
      </x:c>
      <x:c r="C33" s="307"/>
      <x:c r="D33" s="167" t="s">
        <x:v>283</x:v>
      </x:c>
      <x:c r="E33" s="100">
        <x:v>5</x:v>
      </x:c>
      <x:c r="F33" s="101">
        <x:v>5</x:v>
      </x:c>
      <x:c r="G33" s="9" t="s">
        <x:v>645</x:v>
      </x:c>
    </x:row>
    <x:row r="34" spans="2:6" ht="18">
      <x:c r="B34" s="172" t="s">
        <x:v>541</x:v>
      </x:c>
      <x:c r="C34" s="308"/>
      <x:c r="D34" s="309"/>
      <x:c r="E34" s="310"/>
      <x:c r="F34" s="173">
        <x:v>15</x:v>
      </x:c>
    </x:row>
    <x:row r="35" ht="18"/>
    <x:row r="36" spans="2:2">
      <x:c r="B36" s="9" t="s">
        <x:v>177</x:v>
      </x:c>
    </x:row>
    <x:row r="37" spans="2:5">
      <x:c r="B37" s="41" t="s">
        <x:v>718</x:v>
      </x:c>
      <x:c r="C37" s="41" t="s">
        <x:v>560</x:v>
      </x:c>
      <x:c r="D37" s="41" t="s">
        <x:v>571</x:v>
      </x:c>
      <x:c r="E37" s="41" t="s">
        <x:v>564</x:v>
      </x:c>
    </x:row>
    <x:row r="38" spans="2:5">
      <x:c r="B38" s="41" t="s">
        <x:v>793</x:v>
      </x:c>
      <x:c r="C38" s="41" t="s">
        <x:v>812</x:v>
      </x:c>
      <x:c r="D38" s="41">
        <x:f>5*E38</x:f>
        <x:v>2.5</x:v>
      </x:c>
      <x:c r="E38" s="218">
        <x:v>0.5</x:v>
      </x:c>
    </x:row>
    <x:row r="39" spans="2:5">
      <x:c r="B39" s="41" t="s">
        <x:v>811</x:v>
      </x:c>
      <x:c r="C39" s="41" t="s">
        <x:v>812</x:v>
      </x:c>
      <x:c r="D39" s="41">
        <x:f t="shared" ref="D39:D40" si="0">5*E39</x:f>
        <x:v>1.75</x:v>
      </x:c>
      <x:c r="E39" s="218">
        <x:v>0.34999999999999998</x:v>
      </x:c>
    </x:row>
    <x:row r="40" spans="2:5">
      <x:c r="B40" s="41" t="s">
        <x:v>358</x:v>
      </x:c>
      <x:c r="C40" s="41" t="s">
        <x:v>812</x:v>
      </x:c>
      <x:c r="D40" s="41">
        <x:f t="shared" si="0"/>
        <x:v>0.75</x:v>
      </x:c>
      <x:c r="E40" s="218">
        <x:v>0.14999999999999999</x:v>
      </x:c>
    </x:row>
    <x:row r="42" spans="2:6">
      <x:c r="B42" s="41" t="s">
        <x:v>706</x:v>
      </x:c>
      <x:c r="C42" s="41" t="s">
        <x:v>562</x:v>
      </x:c>
      <x:c r="D42" s="41" t="s">
        <x:v>361</x:v>
      </x:c>
      <x:c r="E42" s="41" t="s">
        <x:v>564</x:v>
      </x:c>
      <x:c r="F42" s="41" t="s">
        <x:v>816</x:v>
      </x:c>
    </x:row>
    <x:row r="43" spans="2:6">
      <x:c r="B43" s="41" t="s">
        <x:v>793</x:v>
      </x:c>
      <x:c r="C43" s="41" t="s">
        <x:v>360</x:v>
      </x:c>
      <x:c r="D43" s="41">
        <x:f>5*E43</x:f>
        <x:v>2.5</x:v>
      </x:c>
      <x:c r="E43" s="218">
        <x:v>0.5</x:v>
      </x:c>
      <x:c r="F43" s="41">
        <x:v>0</x:v>
      </x:c>
    </x:row>
    <x:row r="44" spans="2:6">
      <x:c r="B44" s="41" t="s">
        <x:v>811</x:v>
      </x:c>
      <x:c r="C44" s="41" t="s">
        <x:v>360</x:v>
      </x:c>
      <x:c r="D44" s="41">
        <x:f t="shared" ref="D44:D45" si="1">5*E44</x:f>
        <x:v>1.75</x:v>
      </x:c>
      <x:c r="E44" s="218">
        <x:v>0.34999999999999998</x:v>
      </x:c>
      <x:c r="F44" s="41">
        <x:v>0</x:v>
      </x:c>
    </x:row>
    <x:row r="45" spans="2:6">
      <x:c r="B45" s="41" t="s">
        <x:v>358</x:v>
      </x:c>
      <x:c r="C45" s="211" t="s">
        <x:v>181</x:v>
      </x:c>
      <x:c r="D45" s="41">
        <x:f t="shared" si="1"/>
        <x:v>0.75</x:v>
      </x:c>
      <x:c r="E45" s="218">
        <x:v>0.14999999999999999</x:v>
      </x:c>
      <x:c r="F45" s="41">
        <x:f>D$45-D45</x:f>
        <x:v>0</x:v>
      </x:c>
    </x:row>
    <x:row r="46" spans="2:6">
      <x:c r="B46" s="41" t="s">
        <x:v>358</x:v>
      </x:c>
      <x:c r="C46" s="211" t="s">
        <x:v>475</x:v>
      </x:c>
      <x:c r="D46" s="41">
        <x:f>5*0.9*E46</x:f>
        <x:v>0.67499999999999993</x:v>
      </x:c>
      <x:c r="E46" s="218">
        <x:v>0.14999999999999999</x:v>
      </x:c>
      <x:c r="F46" s="41">
        <x:f t="shared" ref="F46:F48" si="2">D$45-D46</x:f>
        <x:v>0.075000000000000067</x:v>
      </x:c>
    </x:row>
    <x:row r="47" spans="2:6">
      <x:c r="B47" s="41" t="s">
        <x:v>358</x:v>
      </x:c>
      <x:c r="C47" s="211" t="s">
        <x:v>900</x:v>
      </x:c>
      <x:c r="D47" s="41">
        <x:f>5*0.8*E47</x:f>
        <x:v>0.59999999999999998</x:v>
      </x:c>
      <x:c r="E47" s="218">
        <x:v>0.14999999999999999</x:v>
      </x:c>
      <x:c r="F47" s="41">
        <x:f t="shared" si="2"/>
        <x:v>0.15000000000000002</x:v>
      </x:c>
    </x:row>
    <x:row r="48" spans="2:6">
      <x:c r="B48" s="41" t="s">
        <x:v>358</x:v>
      </x:c>
      <x:c r="C48" s="211" t="s">
        <x:v>482</x:v>
      </x:c>
      <x:c r="D48" s="41">
        <x:f>5*0.7*E48</x:f>
        <x:v>0.52500000000000002</x:v>
      </x:c>
      <x:c r="E48" s="218">
        <x:v>0.14999999999999999</x:v>
      </x:c>
      <x:c r="F48" s="41">
        <x:f t="shared" si="2"/>
        <x:v>0.22499999999999998</x:v>
      </x:c>
    </x:row>
    <x:row r="49" spans="2:6">
      <x:c r="B49" s="41" t="s">
        <x:v>358</x:v>
      </x:c>
      <x:c r="C49" s="211" t="s">
        <x:v>181</x:v>
      </x:c>
      <x:c r="D49" s="41">
        <x:f>5*E49</x:f>
        <x:v>0.5</x:v>
      </x:c>
      <x:c r="E49" s="218">
        <x:v>0.10000000000000001</x:v>
      </x:c>
      <x:c r="F49" s="41">
        <x:f>D$49-D49</x:f>
        <x:v>0</x:v>
      </x:c>
    </x:row>
    <x:row r="50" spans="2:6">
      <x:c r="B50" s="41" t="s">
        <x:v>358</x:v>
      </x:c>
      <x:c r="C50" s="211" t="s">
        <x:v>475</x:v>
      </x:c>
      <x:c r="D50" s="41">
        <x:f>5*0.9*E50</x:f>
        <x:v>0.45000000000000001</x:v>
      </x:c>
      <x:c r="E50" s="218">
        <x:v>0.10000000000000001</x:v>
      </x:c>
      <x:c r="F50" s="41">
        <x:f t="shared" ref="F50:F52" si="3">D$49-D50</x:f>
        <x:v>0.049999999999999989</x:v>
      </x:c>
    </x:row>
    <x:row r="51" spans="2:6">
      <x:c r="B51" s="41" t="s">
        <x:v>358</x:v>
      </x:c>
      <x:c r="C51" s="211" t="s">
        <x:v>900</x:v>
      </x:c>
      <x:c r="D51" s="41">
        <x:f>5*0.8*E51</x:f>
        <x:v>0.40000000000000002</x:v>
      </x:c>
      <x:c r="E51" s="218">
        <x:v>0.10000000000000001</x:v>
      </x:c>
      <x:c r="F51" s="41">
        <x:f t="shared" si="3"/>
        <x:v>0.09999999999999998</x:v>
      </x:c>
    </x:row>
    <x:row r="52" spans="2:6">
      <x:c r="B52" s="41" t="s">
        <x:v>358</x:v>
      </x:c>
      <x:c r="C52" s="211" t="s">
        <x:v>482</x:v>
      </x:c>
      <x:c r="D52" s="41">
        <x:f>5*0.7*E52</x:f>
        <x:v>0.35000000000000003</x:v>
      </x:c>
      <x:c r="E52" s="218">
        <x:v>0.10000000000000001</x:v>
      </x:c>
      <x:c r="F52" s="41">
        <x:f t="shared" si="3"/>
        <x:v>0.14999999999999997</x:v>
      </x:c>
    </x:row>
    <x:row r="53" ht="18"/>
    <x:row r="54" spans="2:5" ht="18">
      <x:c r="B54" s="9" t="s">
        <x:v>814</x:v>
      </x:c>
      <x:c r="C54" s="9" t="s">
        <x:v>814</x:v>
      </x:c>
      <x:c r="D54" s="219" t="s">
        <x:v>813</x:v>
      </x:c>
      <x:c r="E54" s="220" t="s">
        <x:v>569</x:v>
      </x:c>
    </x:row>
    <x:row r="55" spans="2:5">
      <x:c r="B55" s="9">
        <x:v>57.799999999999997</x:v>
      </x:c>
      <x:c r="C55" s="9">
        <x:v>57.799999999999997</x:v>
      </x:c>
      <x:c r="D55" s="221" t="s">
        <x:v>908</x:v>
      </x:c>
      <x:c r="E55" s="222" t="s">
        <x:v>913</x:v>
      </x:c>
    </x:row>
    <x:row r="56" spans="2:5">
      <x:c r="B56" s="9">
        <x:f>B55*0.7</x:f>
        <x:v>40.459999999999994</x:v>
      </x:c>
      <x:c r="C56" s="9">
        <x:f>C55*1</x:f>
        <x:v>57.799999999999997</x:v>
      </x:c>
      <x:c r="D56" s="221" t="s">
        <x:v>630</x:v>
      </x:c>
      <x:c r="E56" s="222" t="s">
        <x:v>907</x:v>
      </x:c>
    </x:row>
    <x:row r="57" spans="2:5">
      <x:c r="B57" s="9">
        <x:f>B55*0.4</x:f>
        <x:v>23.120000000000001</x:v>
      </x:c>
      <x:c r="C57" s="9">
        <x:f>C55*0.7</x:f>
        <x:v>40.459999999999994</x:v>
      </x:c>
      <x:c r="D57" s="221" t="s">
        <x:v>629</x:v>
      </x:c>
      <x:c r="E57" s="222" t="s">
        <x:v>911</x:v>
      </x:c>
    </x:row>
    <x:row r="58" spans="2:5" ht="18">
      <x:c r="B58" s="9">
        <x:f>B55*0.4</x:f>
        <x:v>23.120000000000001</x:v>
      </x:c>
      <x:c r="C58" s="9">
        <x:f>C55*0.4</x:f>
        <x:v>23.120000000000001</x:v>
      </x:c>
      <x:c r="D58" s="223" t="s">
        <x:v>910</x:v>
      </x:c>
      <x:c r="E58" s="224" t="s">
        <x:v>909</x:v>
      </x:c>
    </x:row>
    <x:row r="59" ht="18"/>
    <x:row r="62" spans="8:12" ht="28.300000000000001" customHeight="1">
      <x:c r="H62" s="225" t="s">
        <x:v>706</x:v>
      </x:c>
      <x:c r="I62" s="225" t="s">
        <x:v>562</x:v>
      </x:c>
      <x:c r="J62" s="225" t="s">
        <x:v>361</x:v>
      </x:c>
      <x:c r="K62" s="225" t="s">
        <x:v>564</x:v>
      </x:c>
      <x:c r="L62" s="225" t="s">
        <x:v>816</x:v>
      </x:c>
    </x:row>
    <x:row r="63" spans="8:12" ht="28.300000000000001" customHeight="1">
      <x:c r="H63" s="225" t="s">
        <x:v>793</x:v>
      </x:c>
      <x:c r="I63" s="225" t="s">
        <x:v>360</x:v>
      </x:c>
      <x:c r="J63" s="225">
        <x:f>5*K63</x:f>
        <x:v>2.5</x:v>
      </x:c>
      <x:c r="K63" s="226">
        <x:v>0.5</x:v>
      </x:c>
      <x:c r="L63" s="225">
        <x:v>0</x:v>
      </x:c>
    </x:row>
    <x:row r="64" spans="8:12" ht="28.300000000000001" customHeight="1">
      <x:c r="H64" s="225" t="s">
        <x:v>811</x:v>
      </x:c>
      <x:c r="I64" s="225" t="s">
        <x:v>360</x:v>
      </x:c>
      <x:c r="J64" s="225">
        <x:f t="shared" ref="J64:J65" si="4">5*K64</x:f>
        <x:v>1.75</x:v>
      </x:c>
      <x:c r="K64" s="226">
        <x:v>0.34999999999999998</x:v>
      </x:c>
      <x:c r="L64" s="225">
        <x:v>0</x:v>
      </x:c>
    </x:row>
    <x:row r="65" spans="8:12" ht="28.300000000000001" customHeight="1">
      <x:c r="H65" s="225" t="s">
        <x:v>358</x:v>
      </x:c>
      <x:c r="I65" s="227" t="s">
        <x:v>181</x:v>
      </x:c>
      <x:c r="J65" s="225">
        <x:f t="shared" si="4"/>
        <x:v>0.75</x:v>
      </x:c>
      <x:c r="K65" s="226">
        <x:v>0.14999999999999999</x:v>
      </x:c>
      <x:c r="L65" s="225">
        <x:f>J$65-J65</x:f>
        <x:v>0</x:v>
      </x:c>
    </x:row>
    <x:row r="66" spans="8:12" ht="28.300000000000001" customHeight="1">
      <x:c r="H66" s="225" t="s">
        <x:v>358</x:v>
      </x:c>
      <x:c r="I66" s="227" t="s">
        <x:v>475</x:v>
      </x:c>
      <x:c r="J66" s="225">
        <x:f>5*0.9*K66</x:f>
        <x:v>0.67499999999999993</x:v>
      </x:c>
      <x:c r="K66" s="226">
        <x:v>0.14999999999999999</x:v>
      </x:c>
      <x:c r="L66" s="225">
        <x:f t="shared" ref="L66:L68" si="5">J$65-J66</x:f>
        <x:v>0.075000000000000067</x:v>
      </x:c>
    </x:row>
    <x:row r="67" spans="8:12" ht="28.300000000000001" customHeight="1">
      <x:c r="H67" s="225" t="s">
        <x:v>358</x:v>
      </x:c>
      <x:c r="I67" s="227" t="s">
        <x:v>900</x:v>
      </x:c>
      <x:c r="J67" s="225">
        <x:f>5*0.8*K67</x:f>
        <x:v>0.59999999999999998</x:v>
      </x:c>
      <x:c r="K67" s="226">
        <x:v>0.14999999999999999</x:v>
      </x:c>
      <x:c r="L67" s="225">
        <x:f t="shared" si="5"/>
        <x:v>0.15000000000000002</x:v>
      </x:c>
    </x:row>
    <x:row r="68" spans="8:12" ht="28.300000000000001" customHeight="1">
      <x:c r="H68" s="225" t="s">
        <x:v>358</x:v>
      </x:c>
      <x:c r="I68" s="227" t="s">
        <x:v>482</x:v>
      </x:c>
      <x:c r="J68" s="225">
        <x:f>5*0.7*K68</x:f>
        <x:v>0.52500000000000002</x:v>
      </x:c>
      <x:c r="K68" s="226">
        <x:v>0.14999999999999999</x:v>
      </x:c>
      <x:c r="L68" s="225">
        <x:f t="shared" si="5"/>
        <x:v>0.22499999999999998</x:v>
      </x:c>
    </x:row>
    <x:row r="69" spans="8:12" ht="28.300000000000001" customHeight="1">
      <x:c r="H69" s="225" t="s">
        <x:v>358</x:v>
      </x:c>
      <x:c r="I69" s="227" t="s">
        <x:v>181</x:v>
      </x:c>
      <x:c r="J69" s="225">
        <x:f>5*K69</x:f>
        <x:v>0.5</x:v>
      </x:c>
      <x:c r="K69" s="226">
        <x:v>0.10000000000000001</x:v>
      </x:c>
      <x:c r="L69" s="225">
        <x:f>J$69-J69</x:f>
        <x:v>0</x:v>
      </x:c>
    </x:row>
    <x:row r="70" spans="8:12" ht="28.300000000000001" customHeight="1">
      <x:c r="H70" s="225" t="s">
        <x:v>358</x:v>
      </x:c>
      <x:c r="I70" s="227" t="s">
        <x:v>475</x:v>
      </x:c>
      <x:c r="J70" s="225">
        <x:f>5*0.9*K70</x:f>
        <x:v>0.45000000000000001</x:v>
      </x:c>
      <x:c r="K70" s="226">
        <x:v>0.10000000000000001</x:v>
      </x:c>
      <x:c r="L70" s="225">
        <x:f t="shared" ref="L70:L72" si="6">J$69-J70</x:f>
        <x:v>0.049999999999999989</x:v>
      </x:c>
    </x:row>
    <x:row r="71" spans="8:12" ht="28.300000000000001" customHeight="1">
      <x:c r="H71" s="225" t="s">
        <x:v>358</x:v>
      </x:c>
      <x:c r="I71" s="227" t="s">
        <x:v>900</x:v>
      </x:c>
      <x:c r="J71" s="225">
        <x:f>5*0.8*K71</x:f>
        <x:v>0.40000000000000002</x:v>
      </x:c>
      <x:c r="K71" s="226">
        <x:v>0.10000000000000001</x:v>
      </x:c>
      <x:c r="L71" s="225">
        <x:f t="shared" si="6"/>
        <x:v>0.09999999999999998</x:v>
      </x:c>
    </x:row>
    <x:row r="72" spans="8:12" ht="28.300000000000001" customHeight="1">
      <x:c r="H72" s="225" t="s">
        <x:v>358</x:v>
      </x:c>
      <x:c r="I72" s="227" t="s">
        <x:v>482</x:v>
      </x:c>
      <x:c r="J72" s="225">
        <x:f>5*0.7*K72</x:f>
        <x:v>0.35000000000000003</x:v>
      </x:c>
      <x:c r="K72" s="226">
        <x:v>0.10000000000000001</x:v>
      </x:c>
      <x:c r="L72" s="225">
        <x:f t="shared" si="6"/>
        <x:v>0.14999999999999997</x:v>
      </x:c>
    </x:row>
  </x:sheetData>
  <x:mergeCells count="19">
    <x:mergeCell ref="B33:C33"/>
    <x:mergeCell ref="C34:E34"/>
    <x:mergeCell ref="B31:B32"/>
    <x:mergeCell ref="F29:F30"/>
    <x:mergeCell ref="C26:E26"/>
    <x:mergeCell ref="B6:B9"/>
    <x:mergeCell ref="C29:C30"/>
    <x:mergeCell ref="F31:F32"/>
    <x:mergeCell ref="F6:F9"/>
    <x:mergeCell ref="B10:B13"/>
    <x:mergeCell ref="F10:F13"/>
    <x:mergeCell ref="B14:B16"/>
    <x:mergeCell ref="F14:F16"/>
    <x:mergeCell ref="B17:B21"/>
    <x:mergeCell ref="F17:F21"/>
    <x:mergeCell ref="B22:B24"/>
    <x:mergeCell ref="F22:F24"/>
    <x:mergeCell ref="B29:B30"/>
    <x:mergeCell ref="D29:D30"/>
  </x:mergeCells>
  <x:pageMargins left="0.69999998807907104" right="0.69999998807907104" top="0.75" bottom="0.75" header="0.30000001192092896" footer="0.30000001192092896"/>
  <x:pageSetup paperSize="9" scale="80" firstPageNumber="1" fitToWidth="1" fitToHeight="0" orientation="landscape" usePrinterDefaults="1" blackAndWhite="0" draft="0" useFirstPageNumber="0" horizontalDpi="600" verticalDpi="600" copies="3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8cb3e4"/>
  </x:sheetPr>
  <x:dimension ref="B2:F39"/>
  <x:sheetViews>
    <x:sheetView topLeftCell="A11" zoomScale="85" zoomScaleNormal="85" zoomScaleSheetLayoutView="75" workbookViewId="0">
      <x:selection activeCell="F17" activeCellId="0" sqref="F17:F17"/>
    </x:sheetView>
  </x:sheetViews>
  <x:sheetFormatPr defaultColWidth="50.42578125" defaultRowHeight="17.600000000000001"/>
  <x:cols>
    <x:col min="1" max="1" width="6.42578125" style="1" customWidth="1"/>
    <x:col min="2" max="2" width="6.7109375" style="1" bestFit="1" customWidth="1"/>
    <x:col min="3" max="3" width="12.7109375" style="1" customWidth="1"/>
    <x:col min="4" max="4" width="11.35546875" style="1" customWidth="1"/>
    <x:col min="5" max="5" width="51.42578125" style="1" customWidth="1"/>
    <x:col min="6" max="16384" width="50.42578125" style="1"/>
  </x:cols>
  <x:sheetData>
    <x:row r="2" spans="2:6" ht="18">
      <x:c r="B2" s="214" t="s">
        <x:v>528</x:v>
      </x:c>
      <x:c r="C2" s="324" t="s">
        <x:v>298</x:v>
      </x:c>
      <x:c r="D2" s="324"/>
      <x:c r="E2" s="214" t="s">
        <x:v>693</x:v>
      </x:c>
      <x:c r="F2" s="214" t="s">
        <x:v>640</x:v>
      </x:c>
    </x:row>
    <x:row r="3" spans="2:6" ht="18">
      <x:c r="B3" s="215">
        <x:v>1</x:v>
      </x:c>
      <x:c r="C3" s="323" t="s">
        <x:v>548</x:v>
      </x:c>
      <x:c r="D3" s="215">
        <x:v>1</x:v>
      </x:c>
      <x:c r="E3" s="215" t="s">
        <x:v>299</x:v>
      </x:c>
      <x:c r="F3" s="217" t="s">
        <x:v>299</x:v>
      </x:c>
    </x:row>
    <x:row r="4" spans="2:6" ht="18">
      <x:c r="B4" s="215">
        <x:v>2</x:v>
      </x:c>
      <x:c r="C4" s="323"/>
      <x:c r="D4" s="215">
        <x:v>2</x:v>
      </x:c>
      <x:c r="E4" s="215" t="s">
        <x:v>8</x:v>
      </x:c>
      <x:c r="F4" s="217" t="s">
        <x:v>8</x:v>
      </x:c>
    </x:row>
    <x:row r="5" spans="2:6" ht="18">
      <x:c r="B5" s="215">
        <x:v>3</x:v>
      </x:c>
      <x:c r="C5" s="323"/>
      <x:c r="D5" s="215">
        <x:v>3</x:v>
      </x:c>
      <x:c r="E5" s="215" t="s">
        <x:v>12</x:v>
      </x:c>
      <x:c r="F5" s="217" t="s">
        <x:v>12</x:v>
      </x:c>
    </x:row>
    <x:row r="6" spans="2:6" ht="18">
      <x:c r="B6" s="215">
        <x:v>4</x:v>
      </x:c>
      <x:c r="C6" s="323"/>
      <x:c r="D6" s="215">
        <x:v>4</x:v>
      </x:c>
      <x:c r="E6" s="215" t="s">
        <x:v>9</x:v>
      </x:c>
      <x:c r="F6" s="217" t="s">
        <x:v>9</x:v>
      </x:c>
    </x:row>
    <x:row r="7" spans="2:6" ht="18">
      <x:c r="B7" s="215">
        <x:v>5</x:v>
      </x:c>
      <x:c r="C7" s="323"/>
      <x:c r="D7" s="215">
        <x:v>5</x:v>
      </x:c>
      <x:c r="E7" s="215" t="s">
        <x:v>391</x:v>
      </x:c>
      <x:c r="F7" s="217" t="s">
        <x:v>391</x:v>
      </x:c>
    </x:row>
    <x:row r="8" spans="2:6" ht="18">
      <x:c r="B8" s="215">
        <x:v>6</x:v>
      </x:c>
      <x:c r="C8" s="323"/>
      <x:c r="D8" s="215">
        <x:v>6</x:v>
      </x:c>
      <x:c r="E8" s="215" t="s">
        <x:v>23</x:v>
      </x:c>
      <x:c r="F8" s="217" t="s">
        <x:v>23</x:v>
      </x:c>
    </x:row>
    <x:row r="9" spans="2:6" ht="18">
      <x:c r="B9" s="215">
        <x:v>7</x:v>
      </x:c>
      <x:c r="C9" s="323"/>
      <x:c r="D9" s="215">
        <x:v>7</x:v>
      </x:c>
      <x:c r="E9" s="215" t="s">
        <x:v>726</x:v>
      </x:c>
      <x:c r="F9" s="217" t="s">
        <x:v>726</x:v>
      </x:c>
    </x:row>
    <x:row r="10" spans="2:6" ht="18">
      <x:c r="B10" s="215">
        <x:v>8</x:v>
      </x:c>
      <x:c r="C10" s="323"/>
      <x:c r="D10" s="215">
        <x:v>8</x:v>
      </x:c>
      <x:c r="E10" s="215" t="s">
        <x:v>229</x:v>
      </x:c>
      <x:c r="F10" s="217" t="s">
        <x:v>229</x:v>
      </x:c>
    </x:row>
    <x:row r="11" spans="2:6" ht="18">
      <x:c r="B11" s="215">
        <x:v>9</x:v>
      </x:c>
      <x:c r="C11" s="323"/>
      <x:c r="D11" s="215">
        <x:v>9</x:v>
      </x:c>
      <x:c r="E11" s="215" t="s">
        <x:v>713</x:v>
      </x:c>
      <x:c r="F11" s="217" t="s">
        <x:v>713</x:v>
      </x:c>
    </x:row>
    <x:row r="12" spans="2:6" ht="18">
      <x:c r="B12" s="215">
        <x:v>10</x:v>
      </x:c>
      <x:c r="C12" s="323"/>
      <x:c r="D12" s="215">
        <x:v>10</x:v>
      </x:c>
      <x:c r="E12" s="215" t="s">
        <x:v>403</x:v>
      </x:c>
      <x:c r="F12" s="217" t="s">
        <x:v>403</x:v>
      </x:c>
    </x:row>
    <x:row r="13" spans="2:6" ht="18">
      <x:c r="B13" s="215">
        <x:v>11</x:v>
      </x:c>
      <x:c r="C13" s="323" t="s">
        <x:v>533</x:v>
      </x:c>
      <x:c r="D13" s="215">
        <x:v>1</x:v>
      </x:c>
      <x:c r="E13" s="215" t="s">
        <x:v>17</x:v>
      </x:c>
      <x:c r="F13" s="217" t="s">
        <x:v>17</x:v>
      </x:c>
    </x:row>
    <x:row r="14" spans="2:6" ht="18">
      <x:c r="B14" s="215">
        <x:v>12</x:v>
      </x:c>
      <x:c r="C14" s="323"/>
      <x:c r="D14" s="215">
        <x:v>2</x:v>
      </x:c>
      <x:c r="E14" s="215" t="s">
        <x:v>227</x:v>
      </x:c>
      <x:c r="F14" s="217" t="s">
        <x:v>227</x:v>
      </x:c>
    </x:row>
    <x:row r="15" spans="2:6" ht="18">
      <x:c r="B15" s="215">
        <x:v>13</x:v>
      </x:c>
      <x:c r="C15" s="323"/>
      <x:c r="D15" s="215">
        <x:v>3</x:v>
      </x:c>
      <x:c r="E15" s="215" t="s">
        <x:v>732</x:v>
      </x:c>
      <x:c r="F15" s="217" t="s">
        <x:v>732</x:v>
      </x:c>
    </x:row>
    <x:row r="16" spans="2:6" ht="18">
      <x:c r="B16" s="215">
        <x:v>14</x:v>
      </x:c>
      <x:c r="C16" s="323" t="s">
        <x:v>539</x:v>
      </x:c>
      <x:c r="D16" s="215">
        <x:v>1</x:v>
      </x:c>
      <x:c r="E16" s="215" t="s">
        <x:v>228</x:v>
      </x:c>
      <x:c r="F16" s="217" t="s">
        <x:v>228</x:v>
      </x:c>
    </x:row>
    <x:row r="17" spans="2:6" ht="18">
      <x:c r="B17" s="215">
        <x:v>15</x:v>
      </x:c>
      <x:c r="C17" s="323"/>
      <x:c r="D17" s="215">
        <x:v>2</x:v>
      </x:c>
      <x:c r="E17" s="215" t="s">
        <x:v>14</x:v>
      </x:c>
      <x:c r="F17" s="217" t="s">
        <x:v>14</x:v>
      </x:c>
    </x:row>
    <x:row r="18" spans="2:6" ht="18">
      <x:c r="B18" s="215">
        <x:v>16</x:v>
      </x:c>
      <x:c r="C18" s="323"/>
      <x:c r="D18" s="215">
        <x:v>3</x:v>
      </x:c>
      <x:c r="E18" s="215" t="s">
        <x:v>701</x:v>
      </x:c>
      <x:c r="F18" s="217" t="s">
        <x:v>701</x:v>
      </x:c>
    </x:row>
    <x:row r="19" spans="2:6" ht="18">
      <x:c r="B19" s="215">
        <x:v>17</x:v>
      </x:c>
      <x:c r="C19" s="323" t="s">
        <x:v>529</x:v>
      </x:c>
      <x:c r="D19" s="215">
        <x:v>1</x:v>
      </x:c>
      <x:c r="E19" s="215" t="s">
        <x:v>702</x:v>
      </x:c>
      <x:c r="F19" s="217" t="s">
        <x:v>702</x:v>
      </x:c>
    </x:row>
    <x:row r="20" spans="2:6" ht="18">
      <x:c r="B20" s="215">
        <x:v>18</x:v>
      </x:c>
      <x:c r="C20" s="323"/>
      <x:c r="D20" s="215">
        <x:v>2</x:v>
      </x:c>
      <x:c r="E20" s="215" t="s">
        <x:v>225</x:v>
      </x:c>
      <x:c r="F20" s="217" t="s">
        <x:v>225</x:v>
      </x:c>
    </x:row>
    <x:row r="21" spans="2:6" ht="18">
      <x:c r="B21" s="215">
        <x:v>19</x:v>
      </x:c>
      <x:c r="C21" s="323"/>
      <x:c r="D21" s="215">
        <x:v>3</x:v>
      </x:c>
      <x:c r="E21" s="215" t="s">
        <x:v>224</x:v>
      </x:c>
      <x:c r="F21" s="217" t="s">
        <x:v>224</x:v>
      </x:c>
    </x:row>
    <x:row r="22" spans="2:6" ht="18">
      <x:c r="B22" s="215">
        <x:v>20</x:v>
      </x:c>
      <x:c r="C22" s="323"/>
      <x:c r="D22" s="215">
        <x:v>4</x:v>
      </x:c>
      <x:c r="E22" s="215" t="s">
        <x:v>704</x:v>
      </x:c>
      <x:c r="F22" s="217" t="s">
        <x:v>704</x:v>
      </x:c>
    </x:row>
    <x:row r="23" spans="2:6" ht="18">
      <x:c r="B23" s="215">
        <x:v>21</x:v>
      </x:c>
      <x:c r="C23" s="323"/>
      <x:c r="D23" s="215">
        <x:v>5</x:v>
      </x:c>
      <x:c r="E23" s="215" t="s">
        <x:v>705</x:v>
      </x:c>
      <x:c r="F23" s="217" t="s">
        <x:v>705</x:v>
      </x:c>
    </x:row>
    <x:row r="24" spans="2:6" ht="18">
      <x:c r="B24" s="215">
        <x:v>22</x:v>
      </x:c>
      <x:c r="C24" s="323"/>
      <x:c r="D24" s="215">
        <x:v>6</x:v>
      </x:c>
      <x:c r="E24" s="215" t="s">
        <x:v>226</x:v>
      </x:c>
      <x:c r="F24" s="217" t="s">
        <x:v>226</x:v>
      </x:c>
    </x:row>
    <x:row r="25" spans="2:6" ht="18">
      <x:c r="B25" s="215">
        <x:v>23</x:v>
      </x:c>
      <x:c r="C25" s="323"/>
      <x:c r="D25" s="215">
        <x:v>7</x:v>
      </x:c>
      <x:c r="E25" s="215" t="s">
        <x:v>708</x:v>
      </x:c>
      <x:c r="F25" s="217" t="s">
        <x:v>708</x:v>
      </x:c>
    </x:row>
    <x:row r="26" spans="2:6" ht="18">
      <x:c r="B26" s="215">
        <x:v>24</x:v>
      </x:c>
      <x:c r="C26" s="323"/>
      <x:c r="D26" s="216">
        <x:v>8</x:v>
      </x:c>
      <x:c r="E26" s="216" t="s">
        <x:v>731</x:v>
      </x:c>
      <x:c r="F26" s="217" t="s">
        <x:v>716</x:v>
      </x:c>
    </x:row>
    <x:row r="27" spans="2:6" ht="18">
      <x:c r="B27" s="215">
        <x:v>25</x:v>
      </x:c>
      <x:c r="C27" s="323"/>
      <x:c r="D27" s="215">
        <x:v>9</x:v>
      </x:c>
      <x:c r="E27" s="215" t="s">
        <x:v>716</x:v>
      </x:c>
      <x:c r="F27" s="217" t="s">
        <x:v>520</x:v>
      </x:c>
    </x:row>
    <x:row r="28" spans="2:6" ht="18">
      <x:c r="B28" s="215">
        <x:v>26</x:v>
      </x:c>
      <x:c r="C28" s="323"/>
      <x:c r="D28" s="215">
        <x:v>10</x:v>
      </x:c>
      <x:c r="E28" s="215" t="s">
        <x:v>520</x:v>
      </x:c>
      <x:c r="F28" s="217" t="s">
        <x:v>557</x:v>
      </x:c>
    </x:row>
    <x:row r="29" spans="2:6" ht="18">
      <x:c r="B29" s="215">
        <x:v>27</x:v>
      </x:c>
      <x:c r="C29" s="323" t="s">
        <x:v>536</x:v>
      </x:c>
      <x:c r="D29" s="215">
        <x:v>1</x:v>
      </x:c>
      <x:c r="E29" s="215" t="s">
        <x:v>223</x:v>
      </x:c>
      <x:c r="F29" s="217" t="s">
        <x:v>223</x:v>
      </x:c>
    </x:row>
    <x:row r="30" spans="2:6" ht="18">
      <x:c r="B30" s="215">
        <x:v>28</x:v>
      </x:c>
      <x:c r="C30" s="323"/>
      <x:c r="D30" s="215">
        <x:v>2</x:v>
      </x:c>
      <x:c r="E30" s="215" t="s">
        <x:v>751</x:v>
      </x:c>
      <x:c r="F30" s="217" t="s">
        <x:v>751</x:v>
      </x:c>
    </x:row>
    <x:row r="31" spans="2:6" ht="18">
      <x:c r="B31" s="215">
        <x:v>29</x:v>
      </x:c>
      <x:c r="C31" s="323"/>
      <x:c r="D31" s="215">
        <x:v>3</x:v>
      </x:c>
      <x:c r="E31" s="215" t="s">
        <x:v>220</x:v>
      </x:c>
      <x:c r="F31" s="217" t="s">
        <x:v>220</x:v>
      </x:c>
    </x:row>
    <x:row r="32" spans="2:6" ht="18">
      <x:c r="B32" s="215">
        <x:v>31</x:v>
      </x:c>
      <x:c r="C32" s="323"/>
      <x:c r="D32" s="215">
        <x:v>4</x:v>
      </x:c>
      <x:c r="E32" s="215" t="s">
        <x:v>743</x:v>
      </x:c>
      <x:c r="F32" s="217" t="s">
        <x:v>743</x:v>
      </x:c>
    </x:row>
    <x:row r="33" spans="2:6" ht="18">
      <x:c r="B33" s="215">
        <x:v>32</x:v>
      </x:c>
      <x:c r="C33" s="323"/>
      <x:c r="D33" s="215">
        <x:v>5</x:v>
      </x:c>
      <x:c r="E33" s="215" t="s">
        <x:v>221</x:v>
      </x:c>
      <x:c r="F33" s="217" t="s">
        <x:v>221</x:v>
      </x:c>
    </x:row>
    <x:row r="34" spans="2:6" ht="18">
      <x:c r="B34" s="215">
        <x:v>33</x:v>
      </x:c>
      <x:c r="C34" s="323"/>
      <x:c r="D34" s="215">
        <x:v>6</x:v>
      </x:c>
      <x:c r="E34" s="215" t="s">
        <x:v>18</x:v>
      </x:c>
      <x:c r="F34" s="217" t="s">
        <x:v>18</x:v>
      </x:c>
    </x:row>
    <x:row r="35" spans="2:6" ht="18">
      <x:c r="B35" s="215">
        <x:v>34</x:v>
      </x:c>
      <x:c r="C35" s="323"/>
      <x:c r="D35" s="215">
        <x:v>7</x:v>
      </x:c>
      <x:c r="E35" s="215" t="s">
        <x:v>734</x:v>
      </x:c>
      <x:c r="F35" s="217" t="s">
        <x:v>734</x:v>
      </x:c>
    </x:row>
    <x:row r="36" spans="2:6" ht="18">
      <x:c r="B36" s="215">
        <x:v>35</x:v>
      </x:c>
      <x:c r="C36" s="323" t="s">
        <x:v>546</x:v>
      </x:c>
      <x:c r="D36" s="215">
        <x:v>1</x:v>
      </x:c>
      <x:c r="E36" s="215" t="s">
        <x:v>742</x:v>
      </x:c>
      <x:c r="F36" s="217" t="s">
        <x:v>742</x:v>
      </x:c>
    </x:row>
    <x:row r="37" spans="2:6" ht="18">
      <x:c r="B37" s="215">
        <x:v>36</x:v>
      </x:c>
      <x:c r="C37" s="323"/>
      <x:c r="D37" s="215">
        <x:v>2</x:v>
      </x:c>
      <x:c r="E37" s="215" t="s">
        <x:v>744</x:v>
      </x:c>
      <x:c r="F37" s="217" t="s">
        <x:v>744</x:v>
      </x:c>
    </x:row>
    <x:row r="38" spans="2:6" ht="18">
      <x:c r="B38" s="215">
        <x:v>37</x:v>
      </x:c>
      <x:c r="C38" s="323"/>
      <x:c r="D38" s="215">
        <x:v>3</x:v>
      </x:c>
      <x:c r="E38" s="215" t="s">
        <x:v>757</x:v>
      </x:c>
      <x:c r="F38" s="217" t="s">
        <x:v>757</x:v>
      </x:c>
    </x:row>
    <x:row r="39" spans="2:6" ht="18">
      <x:c r="B39" s="215">
        <x:v>38</x:v>
      </x:c>
      <x:c r="C39" s="323"/>
      <x:c r="D39" s="215">
        <x:v>4</x:v>
      </x:c>
      <x:c r="E39" s="215" t="s">
        <x:v>13</x:v>
      </x:c>
      <x:c r="F39" s="217" t="s">
        <x:v>13</x:v>
      </x:c>
    </x:row>
  </x:sheetData>
  <x:mergeCells count="7">
    <x:mergeCell ref="C29:C35"/>
    <x:mergeCell ref="C36:C39"/>
    <x:mergeCell ref="C2:D2"/>
    <x:mergeCell ref="C3:C12"/>
    <x:mergeCell ref="C13:C15"/>
    <x:mergeCell ref="C16:C18"/>
    <x:mergeCell ref="C19:C28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8cb3e4"/>
  </x:sheetPr>
  <x:dimension ref="B1:M32"/>
  <x:sheetViews>
    <x:sheetView topLeftCell="A1" zoomScale="85" zoomScaleNormal="85" zoomScaleSheetLayoutView="75" workbookViewId="0">
      <x:selection activeCell="F21" activeCellId="0" sqref="F21:F21"/>
    </x:sheetView>
  </x:sheetViews>
  <x:sheetFormatPr defaultColWidth="9.00390625" defaultRowHeight="17.600000000000001"/>
  <x:cols>
    <x:col min="1" max="1" width="3.140625" customWidth="1"/>
    <x:col min="2" max="2" width="11.5" customWidth="1"/>
    <x:col min="3" max="3" width="16" customWidth="1"/>
    <x:col min="4" max="5" width="15.85546875" bestFit="1" customWidth="1"/>
    <x:col min="6" max="6" width="13.42578125" customWidth="1"/>
    <x:col min="7" max="7" width="20.5" customWidth="1"/>
    <x:col min="8" max="8" width="26.85546875" customWidth="1"/>
    <x:col min="9" max="9" width="13.640625" customWidth="1"/>
    <x:col min="10" max="10" width="12" customWidth="1"/>
    <x:col min="11" max="11" width="15.78515625" customWidth="1"/>
    <x:col min="13" max="13" width="16.92578125" customWidth="1"/>
  </x:cols>
  <x:sheetData>
    <x:row r="1" spans="2:2">
      <x:c r="B1" t="s">
        <x:v>238</x:v>
      </x:c>
    </x:row>
    <x:row r="2" spans="2:2" ht="18">
      <x:c r="B2" t="s">
        <x:v>839</x:v>
      </x:c>
    </x:row>
    <x:row r="3" spans="2:5" ht="18.449999999999999">
      <x:c r="B3" s="105"/>
      <x:c r="C3" s="106" t="s">
        <x:v>745</x:v>
      </x:c>
      <x:c r="D3" s="106" t="s">
        <x:v>222</x:v>
      </x:c>
      <x:c r="E3" s="106" t="s">
        <x:v>593</x:v>
      </x:c>
    </x:row>
    <x:row r="4" spans="2:5" ht="18.449999999999999">
      <x:c r="B4" s="107" t="s">
        <x:v>756</x:v>
      </x:c>
      <x:c r="C4" s="108">
        <x:v>5783317</x:v>
      </x:c>
      <x:c r="D4" s="108">
        <x:v>2836856</x:v>
      </x:c>
      <x:c r="E4" s="108">
        <x:v>2946461</x:v>
      </x:c>
    </x:row>
    <x:row r="5" ht="18"/>
    <x:row r="6" spans="2:2" ht="18">
      <x:c r="B6" t="s">
        <x:v>19</x:v>
      </x:c>
    </x:row>
    <x:row r="7" spans="2:10" ht="18">
      <x:c r="B7" s="109" t="s">
        <x:v>537</x:v>
      </x:c>
      <x:c r="C7" s="110" t="s">
        <x:v>541</x:v>
      </x:c>
      <x:c r="D7" s="110" t="s">
        <x:v>545</x:v>
      </x:c>
      <x:c r="E7" s="110" t="s">
        <x:v>753</x:v>
      </x:c>
      <x:c r="F7" s="110" t="s">
        <x:v>684</x:v>
      </x:c>
      <x:c r="G7" s="110" t="s">
        <x:v>680</x:v>
      </x:c>
      <x:c r="H7" s="110" t="s">
        <x:v>295</x:v>
      </x:c>
      <x:c r="I7" s="110" t="s">
        <x:v>752</x:v>
      </x:c>
      <x:c r="J7" s="111" t="s">
        <x:v>498</x:v>
      </x:c>
    </x:row>
    <x:row r="8" spans="2:10" ht="18">
      <x:c r="B8" s="112">
        <x:v>2025</x:v>
      </x:c>
      <x:c r="C8" s="113">
        <x:v>48281</x:v>
      </x:c>
      <x:c r="D8" s="103">
        <x:v>85</x:v>
      </x:c>
      <x:c r="E8" s="113">
        <x:v>7383</x:v>
      </x:c>
      <x:c r="F8" s="103">
        <x:v>711</x:v>
      </x:c>
      <x:c r="G8" s="103">
        <x:v>16</x:v>
      </x:c>
      <x:c r="H8" s="113">
        <x:v>12575</x:v>
      </x:c>
      <x:c r="I8" s="103">
        <x:v>74</x:v>
      </x:c>
      <x:c r="J8" s="114">
        <x:v>27437</x:v>
      </x:c>
    </x:row>
    <x:row r="9" spans="2:10" ht="18.449999999999999">
      <x:c r="B9" s="115">
        <x:v>2026</x:v>
      </x:c>
      <x:c r="C9" s="116">
        <x:v>48353</x:v>
      </x:c>
      <x:c r="D9" s="104">
        <x:v>85</x:v>
      </x:c>
      <x:c r="E9" s="116">
        <x:v>7462</x:v>
      </x:c>
      <x:c r="F9" s="104">
        <x:v>708</x:v>
      </x:c>
      <x:c r="G9" s="104">
        <x:v>16</x:v>
      </x:c>
      <x:c r="H9" s="116">
        <x:v>12571</x:v>
      </x:c>
      <x:c r="I9" s="104">
        <x:v>74</x:v>
      </x:c>
      <x:c r="J9" s="117">
        <x:v>27437</x:v>
      </x:c>
    </x:row>
    <x:row r="10" ht="18"/>
    <x:row r="11" spans="2:2" ht="18">
      <x:c r="B11" t="s">
        <x:v>15</x:v>
      </x:c>
    </x:row>
    <x:row r="12" spans="2:8" ht="18">
      <x:c r="B12" s="328" t="s">
        <x:v>537</x:v>
      </x:c>
      <x:c r="C12" s="330" t="s">
        <x:v>541</x:v>
      </x:c>
      <x:c r="D12" s="332" t="s">
        <x:v>545</x:v>
      </x:c>
      <x:c r="E12" s="333"/>
      <x:c r="F12" s="334" t="s">
        <x:v>541</x:v>
      </x:c>
      <x:c r="G12" s="325" t="s">
        <x:v>749</x:v>
      </x:c>
      <x:c r="H12" s="327"/>
    </x:row>
    <x:row r="13" spans="2:8" ht="35.149999999999999">
      <x:c r="B13" s="329"/>
      <x:c r="C13" s="331"/>
      <x:c r="D13" s="118" t="s">
        <x:v>523</x:v>
      </x:c>
      <x:c r="E13" s="118" t="s">
        <x:v>738</x:v>
      </x:c>
      <x:c r="F13" s="335"/>
      <x:c r="G13" s="119" t="s">
        <x:v>865</x:v>
      </x:c>
      <x:c r="H13" s="120" t="s">
        <x:v>856</x:v>
      </x:c>
    </x:row>
    <x:row r="14" spans="2:8">
      <x:c r="B14" s="121">
        <x:v>2025</x:v>
      </x:c>
      <x:c r="C14" s="122">
        <x:v>85</x:v>
      </x:c>
      <x:c r="D14" s="122">
        <x:v>78</x:v>
      </x:c>
      <x:c r="E14" s="122">
        <x:v>7</x:v>
      </x:c>
      <x:c r="F14" s="123">
        <x:v>7383</x:v>
      </x:c>
      <x:c r="G14" s="123">
        <x:v>1402</x:v>
      </x:c>
      <x:c r="H14" s="124">
        <x:v>5981</x:v>
      </x:c>
    </x:row>
    <x:row r="15" spans="2:8" ht="18">
      <x:c r="B15" s="125">
        <x:v>2026</x:v>
      </x:c>
      <x:c r="C15" s="126">
        <x:v>85</x:v>
      </x:c>
      <x:c r="D15" s="126">
        <x:v>78</x:v>
      </x:c>
      <x:c r="E15" s="126">
        <x:v>7</x:v>
      </x:c>
      <x:c r="F15" s="127">
        <x:v>7462</x:v>
      </x:c>
      <x:c r="G15" s="127">
        <x:v>1402</x:v>
      </x:c>
      <x:c r="H15" s="128">
        <x:v>6060</x:v>
      </x:c>
    </x:row>
    <x:row r="16" ht="18"/>
    <x:row r="17" spans="2:2" ht="18">
      <x:c r="B17" t="s">
        <x:v>20</x:v>
      </x:c>
    </x:row>
    <x:row r="18" spans="2:13" ht="18">
      <x:c r="B18" s="328" t="s">
        <x:v>537</x:v>
      </x:c>
      <x:c r="C18" s="330" t="s">
        <x:v>541</x:v>
      </x:c>
      <x:c r="D18" s="332" t="s">
        <x:v>684</x:v>
      </x:c>
      <x:c r="E18" s="336"/>
      <x:c r="F18" s="336"/>
      <x:c r="G18" s="336"/>
      <x:c r="H18" s="333"/>
      <x:c r="I18" s="334" t="s">
        <x:v>541</x:v>
      </x:c>
      <x:c r="J18" s="325" t="s">
        <x:v>680</x:v>
      </x:c>
      <x:c r="K18" s="326"/>
      <x:c r="L18" s="326"/>
      <x:c r="M18" s="327"/>
    </x:row>
    <x:row r="19" spans="2:13">
      <x:c r="B19" s="329"/>
      <x:c r="C19" s="331"/>
      <x:c r="D19" s="118" t="s">
        <x:v>547</x:v>
      </x:c>
      <x:c r="E19" s="118" t="s">
        <x:v>549</x:v>
      </x:c>
      <x:c r="F19" s="118" t="s">
        <x:v>525</x:v>
      </x:c>
      <x:c r="G19" s="118" t="s">
        <x:v>746</x:v>
      </x:c>
      <x:c r="H19" s="118" t="s">
        <x:v>498</x:v>
      </x:c>
      <x:c r="I19" s="335"/>
      <x:c r="J19" s="119" t="s">
        <x:v>526</x:v>
      </x:c>
      <x:c r="K19" s="119" t="s">
        <x:v>518</x:v>
      </x:c>
      <x:c r="L19" s="119" t="s">
        <x:v>534</x:v>
      </x:c>
      <x:c r="M19" s="120" t="s">
        <x:v>592</x:v>
      </x:c>
    </x:row>
    <x:row r="20" spans="2:13">
      <x:c r="B20" s="121">
        <x:v>2025</x:v>
      </x:c>
      <x:c r="C20" s="122">
        <x:v>711</x:v>
      </x:c>
      <x:c r="D20" s="122">
        <x:v>5</x:v>
      </x:c>
      <x:c r="E20" s="122">
        <x:v>47</x:v>
      </x:c>
      <x:c r="F20" s="122">
        <x:v>14</x:v>
      </x:c>
      <x:c r="G20" s="122">
        <x:v>597</x:v>
      </x:c>
      <x:c r="H20" s="122">
        <x:v>48</x:v>
      </x:c>
      <x:c r="I20" s="129">
        <x:v>16</x:v>
      </x:c>
      <x:c r="J20" s="129">
        <x:v>4</x:v>
      </x:c>
      <x:c r="K20" s="129">
        <x:v>2</x:v>
      </x:c>
      <x:c r="L20" s="129">
        <x:v>2</x:v>
      </x:c>
      <x:c r="M20" s="130">
        <x:v>8</x:v>
      </x:c>
    </x:row>
    <x:row r="21" spans="2:13" ht="18">
      <x:c r="B21" s="125">
        <x:v>2026</x:v>
      </x:c>
      <x:c r="C21" s="126">
        <x:v>707</x:v>
      </x:c>
      <x:c r="D21" s="126">
        <x:v>5</x:v>
      </x:c>
      <x:c r="E21" s="126">
        <x:v>47</x:v>
      </x:c>
      <x:c r="F21" s="126">
        <x:v>10</x:v>
      </x:c>
      <x:c r="G21" s="126">
        <x:v>597</x:v>
      </x:c>
      <x:c r="H21" s="126">
        <x:v>48</x:v>
      </x:c>
      <x:c r="I21" s="131">
        <x:v>16</x:v>
      </x:c>
      <x:c r="J21" s="131">
        <x:v>4</x:v>
      </x:c>
      <x:c r="K21" s="131">
        <x:v>2</x:v>
      </x:c>
      <x:c r="L21" s="131">
        <x:v>2</x:v>
      </x:c>
      <x:c r="M21" s="132">
        <x:v>8</x:v>
      </x:c>
    </x:row>
    <x:row r="22" ht="18"/>
    <x:row r="23" spans="2:2" ht="18">
      <x:c r="B23" t="s">
        <x:v>591</x:v>
      </x:c>
    </x:row>
    <x:row r="24" spans="2:11" ht="18">
      <x:c r="B24" s="109" t="s">
        <x:v>537</x:v>
      </x:c>
      <x:c r="C24" s="110" t="s">
        <x:v>541</x:v>
      </x:c>
      <x:c r="D24" s="110" t="s">
        <x:v>561</x:v>
      </x:c>
      <x:c r="E24" s="110" t="s">
        <x:v>570</x:v>
      </x:c>
      <x:c r="F24" s="110" t="s">
        <x:v>558</x:v>
      </x:c>
      <x:c r="G24" s="110" t="s">
        <x:v>565</x:v>
      </x:c>
      <x:c r="H24" s="110" t="s">
        <x:v>563</x:v>
      </x:c>
      <x:c r="I24" s="110" t="s">
        <x:v>737</x:v>
      </x:c>
      <x:c r="J24" s="110" t="s">
        <x:v>574</x:v>
      </x:c>
      <x:c r="K24" s="111" t="s">
        <x:v>740</x:v>
      </x:c>
    </x:row>
    <x:row r="25" spans="2:11" ht="18">
      <x:c r="B25" s="112">
        <x:v>2025</x:v>
      </x:c>
      <x:c r="C25" s="133">
        <x:v>12575</x:v>
      </x:c>
      <x:c r="D25" s="133">
        <x:v>5417</x:v>
      </x:c>
      <x:c r="E25" s="134">
        <x:v>298</x:v>
      </x:c>
      <x:c r="F25" s="133">
        <x:v>5495</x:v>
      </x:c>
      <x:c r="G25" s="133">
        <x:v>1228</x:v>
      </x:c>
      <x:c r="H25" s="134">
        <x:v>121</x:v>
      </x:c>
      <x:c r="I25" s="134">
        <x:v>14</x:v>
      </x:c>
      <x:c r="J25" s="134">
        <x:v>1</x:v>
      </x:c>
      <x:c r="K25" s="135">
        <x:v>1</x:v>
      </x:c>
    </x:row>
    <x:row r="26" spans="2:11" ht="18.449999999999999">
      <x:c r="B26" s="115">
        <x:v>2026</x:v>
      </x:c>
      <x:c r="C26" s="136">
        <x:v>12821</x:v>
      </x:c>
      <x:c r="D26" s="136">
        <x:v>5428</x:v>
      </x:c>
      <x:c r="E26" s="137">
        <x:v>298</x:v>
      </x:c>
      <x:c r="F26" s="136">
        <x:v>5495</x:v>
      </x:c>
      <x:c r="G26" s="136">
        <x:v>1213</x:v>
      </x:c>
      <x:c r="H26" s="137">
        <x:v>121</x:v>
      </x:c>
      <x:c r="I26" s="137">
        <x:v>14</x:v>
      </x:c>
      <x:c r="J26" s="137">
        <x:v>1</x:v>
      </x:c>
      <x:c r="K26" s="138">
        <x:v>1</x:v>
      </x:c>
    </x:row>
    <x:row r="27" ht="18"/>
    <x:row r="28" spans="2:2" ht="18">
      <x:c r="B28" t="s">
        <x:v>10</x:v>
      </x:c>
    </x:row>
    <x:row r="29" spans="2:9" ht="18">
      <x:c r="B29" s="328" t="s">
        <x:v>537</x:v>
      </x:c>
      <x:c r="C29" s="330" t="s">
        <x:v>541</x:v>
      </x:c>
      <x:c r="D29" s="332" t="s">
        <x:v>698</x:v>
      </x:c>
      <x:c r="E29" s="336"/>
      <x:c r="F29" s="336"/>
      <x:c r="G29" s="336"/>
      <x:c r="H29" s="333"/>
      <x:c r="I29" s="337" t="s">
        <x:v>594</x:v>
      </x:c>
    </x:row>
    <x:row r="30" spans="2:9">
      <x:c r="B30" s="329"/>
      <x:c r="C30" s="331"/>
      <x:c r="D30" s="118" t="s">
        <x:v>566</x:v>
      </x:c>
      <x:c r="E30" s="118" t="s">
        <x:v>758</x:v>
      </x:c>
      <x:c r="F30" s="118" t="s">
        <x:v>739</x:v>
      </x:c>
      <x:c r="G30" s="118" t="s">
        <x:v>755</x:v>
      </x:c>
      <x:c r="H30" s="118" t="s">
        <x:v>573</x:v>
      </x:c>
      <x:c r="I30" s="338"/>
    </x:row>
    <x:row r="31" spans="2:9" ht="18">
      <x:c r="B31" s="112">
        <x:v>2025</x:v>
      </x:c>
      <x:c r="C31" s="122">
        <x:v>74</x:v>
      </x:c>
      <x:c r="D31" s="122">
        <x:v>13</x:v>
      </x:c>
      <x:c r="E31" s="122">
        <x:v>16</x:v>
      </x:c>
      <x:c r="F31" s="122">
        <x:v>14</x:v>
      </x:c>
      <x:c r="G31" s="122">
        <x:v>16</x:v>
      </x:c>
      <x:c r="H31" s="122">
        <x:v>15</x:v>
      </x:c>
      <x:c r="I31" s="124">
        <x:v>27437</x:v>
      </x:c>
    </x:row>
    <x:row r="32" spans="2:9" ht="18.449999999999999">
      <x:c r="B32" s="115">
        <x:v>2026</x:v>
      </x:c>
      <x:c r="C32" s="126">
        <x:v>74</x:v>
      </x:c>
      <x:c r="D32" s="126">
        <x:v>13</x:v>
      </x:c>
      <x:c r="E32" s="126">
        <x:v>16</x:v>
      </x:c>
      <x:c r="F32" s="126">
        <x:v>14</x:v>
      </x:c>
      <x:c r="G32" s="126">
        <x:v>16</x:v>
      </x:c>
      <x:c r="H32" s="126">
        <x:v>15</x:v>
      </x:c>
      <x:c r="I32" s="128">
        <x:v>27437</x:v>
      </x:c>
    </x:row>
    <x:row r="33" ht="18"/>
  </x:sheetData>
  <x:mergeCells count="14">
    <x:mergeCell ref="J18:M18"/>
    <x:mergeCell ref="B12:B13"/>
    <x:mergeCell ref="C12:C13"/>
    <x:mergeCell ref="D12:E12"/>
    <x:mergeCell ref="F12:F13"/>
    <x:mergeCell ref="G12:H12"/>
    <x:mergeCell ref="B29:B30"/>
    <x:mergeCell ref="C29:C30"/>
    <x:mergeCell ref="D29:H29"/>
    <x:mergeCell ref="I29:I30"/>
    <x:mergeCell ref="B18:B19"/>
    <x:mergeCell ref="C18:C19"/>
    <x:mergeCell ref="D18:H18"/>
    <x:mergeCell ref="I18:I1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8cb3e4"/>
  </x:sheetPr>
  <x:dimension ref="B2:F30"/>
  <x:sheetViews>
    <x:sheetView topLeftCell="A6" zoomScale="85" zoomScaleNormal="85" zoomScaleSheetLayoutView="75" workbookViewId="0">
      <x:selection activeCell="C24" activeCellId="0" sqref="C24:C24"/>
    </x:sheetView>
  </x:sheetViews>
  <x:sheetFormatPr defaultColWidth="9.00390625" defaultRowHeight="17.600000000000001"/>
  <x:cols>
    <x:col min="1" max="1" width="3.35546875" style="177" customWidth="1"/>
    <x:col min="2" max="2" width="17.78515625" style="177" customWidth="1"/>
    <x:col min="3" max="3" width="47.78515625" style="177" customWidth="1"/>
    <x:col min="4" max="4" width="16.5" style="177" customWidth="1"/>
    <x:col min="5" max="5" width="66.85546875" style="177" customWidth="1"/>
    <x:col min="6" max="6" width="32.78515625" style="177" customWidth="1"/>
    <x:col min="7" max="16384" width="9.140625" style="177"/>
  </x:cols>
  <x:sheetData>
    <x:row r="2" spans="2:3">
      <x:c r="B2" s="177" t="s">
        <x:v>797</x:v>
      </x:c>
      <x:c r="C2" s="177" t="s">
        <x:v>588</x:v>
      </x:c>
    </x:row>
    <x:row r="3" spans="2:2">
      <x:c r="B3" s="177" t="s">
        <x:v>1</x:v>
      </x:c>
    </x:row>
    <x:row r="4" spans="2:6">
      <x:c r="B4" s="176" t="s">
        <x:v>522</x:v>
      </x:c>
      <x:c r="C4" s="176" t="s">
        <x:v>588</x:v>
      </x:c>
      <x:c r="D4" s="176" t="s">
        <x:v>552</x:v>
      </x:c>
      <x:c r="E4" s="176" t="s">
        <x:v>567</x:v>
      </x:c>
      <x:c r="F4" s="176" t="s">
        <x:v>805</x:v>
      </x:c>
    </x:row>
    <x:row r="5" spans="2:6">
      <x:c r="B5" s="161" t="s">
        <x:v>644</x:v>
      </x:c>
      <x:c r="C5" s="161" t="s">
        <x:v>590</x:v>
      </x:c>
      <x:c r="D5" s="161" t="s">
        <x:v>821</x:v>
      </x:c>
      <x:c r="E5" s="102" t="s">
        <x:v>826</x:v>
      </x:c>
      <x:c r="F5" s="178" t="s">
        <x:v>556</x:v>
      </x:c>
    </x:row>
    <x:row r="6" spans="2:6">
      <x:c r="B6" s="341" t="s">
        <x:v>840</x:v>
      </x:c>
      <x:c r="C6" s="161" t="s">
        <x:v>270</x:v>
      </x:c>
      <x:c r="D6" s="161" t="s">
        <x:v>821</x:v>
      </x:c>
      <x:c r="E6" s="102" t="s">
        <x:v>488</x:v>
      </x:c>
      <x:c r="F6" s="178" t="s">
        <x:v>556</x:v>
      </x:c>
    </x:row>
    <x:row r="7" spans="2:6">
      <x:c r="B7" s="341"/>
      <x:c r="C7" s="161" t="s">
        <x:v>383</x:v>
      </x:c>
      <x:c r="D7" s="161" t="s">
        <x:v>821</x:v>
      </x:c>
      <x:c r="E7" s="102" t="s">
        <x:v>365</x:v>
      </x:c>
      <x:c r="F7" s="178" t="s">
        <x:v>556</x:v>
      </x:c>
    </x:row>
    <x:row r="8" spans="2:6">
      <x:c r="B8" s="341"/>
      <x:c r="C8" s="161" t="s">
        <x:v>854</x:v>
      </x:c>
      <x:c r="D8" s="161" t="s">
        <x:v>821</x:v>
      </x:c>
      <x:c r="E8" s="102" t="s">
        <x:v>827</x:v>
      </x:c>
      <x:c r="F8" s="178" t="s">
        <x:v>556</x:v>
      </x:c>
    </x:row>
    <x:row r="9" spans="2:6">
      <x:c r="B9" s="341"/>
      <x:c r="C9" s="161" t="s">
        <x:v>858</x:v>
      </x:c>
      <x:c r="D9" s="161" t="s">
        <x:v>821</x:v>
      </x:c>
      <x:c r="E9" s="102" t="s">
        <x:v>829</x:v>
      </x:c>
      <x:c r="F9" s="178" t="s">
        <x:v>556</x:v>
      </x:c>
    </x:row>
    <x:row r="10" spans="2:6">
      <x:c r="B10" s="341"/>
      <x:c r="C10" s="161" t="s">
        <x:v>586</x:v>
      </x:c>
      <x:c r="D10" s="161" t="s">
        <x:v>804</x:v>
      </x:c>
      <x:c r="E10" s="102" t="s">
        <x:v>284</x:v>
      </x:c>
      <x:c r="F10" s="178" t="s">
        <x:v>556</x:v>
      </x:c>
    </x:row>
    <x:row r="11" spans="2:6">
      <x:c r="B11" s="341"/>
      <x:c r="C11" s="161" t="s">
        <x:v>795</x:v>
      </x:c>
      <x:c r="D11" s="342" t="s">
        <x:v>821</x:v>
      </x:c>
      <x:c r="E11" s="343" t="s">
        <x:v>279</x:v>
      </x:c>
      <x:c r="F11" s="339" t="s">
        <x:v>556</x:v>
      </x:c>
    </x:row>
    <x:row r="12" spans="2:6" ht="30">
      <x:c r="B12" s="341"/>
      <x:c r="C12" s="161" t="s">
        <x:v>197</x:v>
      </x:c>
      <x:c r="D12" s="342"/>
      <x:c r="E12" s="343"/>
      <x:c r="F12" s="339"/>
    </x:row>
    <x:row r="13" spans="2:6">
      <x:c r="B13" s="341"/>
      <x:c r="C13" s="161" t="s">
        <x:v>194</x:v>
      </x:c>
      <x:c r="D13" s="161" t="s">
        <x:v>804</x:v>
      </x:c>
      <x:c r="E13" s="102" t="s">
        <x:v>272</x:v>
      </x:c>
      <x:c r="F13" s="179" t="s">
        <x:v>398</x:v>
      </x:c>
    </x:row>
    <x:row r="14" spans="2:6">
      <x:c r="B14" s="341"/>
      <x:c r="C14" s="161" t="s">
        <x:v>285</x:v>
      </x:c>
      <x:c r="D14" s="161" t="s">
        <x:v>821</x:v>
      </x:c>
      <x:c r="E14" s="102" t="s">
        <x:v>826</x:v>
      </x:c>
      <x:c r="F14" s="179" t="s">
        <x:v>25</x:v>
      </x:c>
    </x:row>
    <x:row r="15" spans="2:6" customHeight="1">
      <x:c r="B15" s="341"/>
      <x:c r="C15" s="341" t="s">
        <x:v>492</x:v>
      </x:c>
      <x:c r="D15" s="341" t="s">
        <x:v>804</x:v>
      </x:c>
      <x:c r="E15" s="343" t="s">
        <x:v>237</x:v>
      </x:c>
      <x:c r="F15" s="340" t="s">
        <x:v>257</x:v>
      </x:c>
    </x:row>
    <x:row r="16" spans="2:6">
      <x:c r="B16" s="341"/>
      <x:c r="C16" s="341"/>
      <x:c r="D16" s="341"/>
      <x:c r="E16" s="343"/>
      <x:c r="F16" s="340"/>
    </x:row>
    <x:row r="17" spans="2:6">
      <x:c r="B17" s="341"/>
      <x:c r="C17" s="341"/>
      <x:c r="D17" s="341"/>
      <x:c r="E17" s="343"/>
      <x:c r="F17" s="340"/>
    </x:row>
    <x:row r="18" spans="2:6">
      <x:c r="B18" s="341"/>
      <x:c r="C18" s="341"/>
      <x:c r="D18" s="341"/>
      <x:c r="E18" s="343"/>
      <x:c r="F18" s="340"/>
    </x:row>
    <x:row r="19" spans="2:6">
      <x:c r="B19" s="341"/>
      <x:c r="C19" s="341"/>
      <x:c r="D19" s="341"/>
      <x:c r="E19" s="343"/>
      <x:c r="F19" s="340"/>
    </x:row>
    <x:row r="20" spans="2:6">
      <x:c r="B20" s="341"/>
      <x:c r="C20" s="341"/>
      <x:c r="D20" s="341"/>
      <x:c r="E20" s="343"/>
      <x:c r="F20" s="340"/>
    </x:row>
    <x:row r="21" spans="2:6">
      <x:c r="B21" s="341"/>
      <x:c r="C21" s="341"/>
      <x:c r="D21" s="341"/>
      <x:c r="E21" s="343"/>
      <x:c r="F21" s="340"/>
    </x:row>
    <x:row r="22" spans="2:6">
      <x:c r="B22" s="341"/>
      <x:c r="C22" s="341"/>
      <x:c r="D22" s="341"/>
      <x:c r="E22" s="343"/>
      <x:c r="F22" s="340"/>
    </x:row>
    <x:row r="23" spans="2:6">
      <x:c r="B23" s="341"/>
      <x:c r="C23" s="341"/>
      <x:c r="D23" s="341"/>
      <x:c r="E23" s="343"/>
      <x:c r="F23" s="340"/>
    </x:row>
    <x:row r="24" spans="2:6">
      <x:c r="B24" s="341" t="s">
        <x:v>646</x:v>
      </x:c>
      <x:c r="C24" s="161" t="s">
        <x:v>589</x:v>
      </x:c>
      <x:c r="D24" s="161" t="s">
        <x:v>821</x:v>
      </x:c>
      <x:c r="E24" s="344" t="s">
        <x:v>292</x:v>
      </x:c>
      <x:c r="F24" s="178" t="s">
        <x:v>556</x:v>
      </x:c>
    </x:row>
    <x:row r="25" spans="2:6">
      <x:c r="B25" s="341"/>
      <x:c r="C25" s="161" t="s">
        <x:v>587</x:v>
      </x:c>
      <x:c r="D25" s="161" t="s">
        <x:v>804</x:v>
      </x:c>
      <x:c r="E25" s="344"/>
      <x:c r="F25" s="178" t="s">
        <x:v>556</x:v>
      </x:c>
    </x:row>
    <x:row r="26" spans="2:6">
      <x:c r="B26" s="341"/>
      <x:c r="C26" s="161" t="s">
        <x:v>807</x:v>
      </x:c>
      <x:c r="D26" s="161" t="s">
        <x:v>821</x:v>
      </x:c>
      <x:c r="E26" s="344"/>
      <x:c r="F26" s="178" t="s">
        <x:v>556</x:v>
      </x:c>
    </x:row>
    <x:row r="27" spans="2:6" ht="30">
      <x:c r="B27" s="341"/>
      <x:c r="C27" s="161" t="s">
        <x:v>819</x:v>
      </x:c>
      <x:c r="D27" s="161" t="s">
        <x:v>804</x:v>
      </x:c>
      <x:c r="E27" s="102" t="s">
        <x:v>231</x:v>
      </x:c>
      <x:c r="F27" s="178" t="s">
        <x:v>556</x:v>
      </x:c>
    </x:row>
    <x:row r="28" spans="2:6">
      <x:c r="B28" s="341" t="s">
        <x:v>643</x:v>
      </x:c>
      <x:c r="C28" s="161" t="s">
        <x:v>828</x:v>
      </x:c>
      <x:c r="D28" s="161" t="s">
        <x:v>821</x:v>
      </x:c>
      <x:c r="E28" s="102" t="s">
        <x:v>859</x:v>
      </x:c>
      <x:c r="F28" s="178" t="s">
        <x:v>556</x:v>
      </x:c>
    </x:row>
    <x:row r="29" spans="2:6">
      <x:c r="B29" s="341"/>
      <x:c r="C29" s="161" t="s">
        <x:v>642</x:v>
      </x:c>
      <x:c r="D29" s="161" t="s">
        <x:v>808</x:v>
      </x:c>
      <x:c r="E29" s="102" t="s">
        <x:v>842</x:v>
      </x:c>
      <x:c r="F29" s="178" t="s">
        <x:v>556</x:v>
      </x:c>
    </x:row>
    <x:row r="30" spans="2:6">
      <x:c r="B30" s="161" t="s">
        <x:v>641</x:v>
      </x:c>
      <x:c r="C30" s="161" t="s">
        <x:v>400</x:v>
      </x:c>
      <x:c r="D30" s="161" t="s">
        <x:v>821</x:v>
      </x:c>
      <x:c r="E30" s="102" t="s">
        <x:v>265</x:v>
      </x:c>
      <x:c r="F30" s="178" t="s">
        <x:v>556</x:v>
      </x:c>
    </x:row>
  </x:sheetData>
  <x:mergeCells count="11">
    <x:mergeCell ref="F11:F12"/>
    <x:mergeCell ref="F15:F23"/>
    <x:mergeCell ref="B6:B23"/>
    <x:mergeCell ref="D11:D12"/>
    <x:mergeCell ref="E11:E12"/>
    <x:mergeCell ref="B24:B27"/>
    <x:mergeCell ref="B28:B29"/>
    <x:mergeCell ref="C15:C23"/>
    <x:mergeCell ref="D15:D23"/>
    <x:mergeCell ref="E24:E26"/>
    <x:mergeCell ref="E15:E23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ff00"/>
  </x:sheetPr>
  <x:dimension ref="B1:I53"/>
  <x:sheetViews>
    <x:sheetView topLeftCell="A1" zoomScale="70" zoomScaleNormal="70" zoomScaleSheetLayoutView="75" workbookViewId="0">
      <x:selection activeCell="D12" activeCellId="0" sqref="D12:D12"/>
    </x:sheetView>
  </x:sheetViews>
  <x:sheetFormatPr defaultColWidth="9.92578125" defaultRowHeight="17.600000000000001"/>
  <x:cols>
    <x:col min="1" max="1" width="3.92578125" style="10" customWidth="1"/>
    <x:col min="2" max="2" width="21.42578125" style="10" customWidth="1"/>
    <x:col min="3" max="3" width="14.2109375" style="10" customWidth="1"/>
    <x:col min="4" max="4" width="68.2109375" style="10" customWidth="1"/>
    <x:col min="5" max="5" width="16.85546875" style="10" customWidth="1"/>
    <x:col min="6" max="6" width="20.2109375" style="10" customWidth="1"/>
    <x:col min="7" max="7" width="13.42578125" style="10" customWidth="1"/>
    <x:col min="8" max="8" width="34.28515625" style="10" customWidth="1"/>
    <x:col min="9" max="9" width="21.28515625" style="10" customWidth="1"/>
    <x:col min="10" max="16384" width="9.92578125" style="10"/>
  </x:cols>
  <x:sheetData>
    <x:row r="1" spans="2:9" ht="31.300000000000001" customHeight="1">
      <x:c r="B1" s="345" t="s">
        <x:v>853</x:v>
      </x:c>
      <x:c r="C1" s="345"/>
      <x:c r="D1" s="345"/>
      <x:c r="E1" s="345"/>
      <x:c r="F1" s="345"/>
      <x:c r="G1" s="345"/>
      <x:c r="H1" s="345"/>
      <x:c r="I1" s="345"/>
    </x:row>
    <x:row r="2" spans="2:9" ht="31.300000000000001" customHeight="1">
      <x:c r="B2" s="345" t="s">
        <x:v>256</x:v>
      </x:c>
      <x:c r="C2" s="345"/>
      <x:c r="D2" s="345"/>
      <x:c r="E2" s="345"/>
      <x:c r="F2" s="345"/>
      <x:c r="G2" s="345"/>
      <x:c r="H2" s="345"/>
      <x:c r="I2" s="345"/>
    </x:row>
    <x:row r="3" spans="2:9" ht="33.899999999999999" customHeight="1">
      <x:c r="B3" s="92" t="s">
        <x:v>522</x:v>
      </x:c>
      <x:c r="C3" s="92" t="s">
        <x:v>535</x:v>
      </x:c>
      <x:c r="D3" s="92" t="s">
        <x:v>691</x:v>
      </x:c>
      <x:c r="E3" s="92" t="s">
        <x:v>697</x:v>
      </x:c>
      <x:c r="F3" s="92" t="s">
        <x:v>717</x:v>
      </x:c>
      <x:c r="G3" s="92" t="s">
        <x:v>535</x:v>
      </x:c>
      <x:c r="H3" s="92" t="s">
        <x:v>605</x:v>
      </x:c>
      <x:c r="I3" s="92" t="s">
        <x:v>817</x:v>
      </x:c>
    </x:row>
    <x:row r="4" spans="2:9">
      <x:c r="B4" s="346" t="s">
        <x:v>582</x:v>
      </x:c>
      <x:c r="C4" s="346">
        <x:v>1</x:v>
      </x:c>
      <x:c r="D4" s="93" t="s">
        <x:v>846</x:v>
      </x:c>
      <x:c r="E4" s="346" t="s">
        <x:v>860</x:v>
      </x:c>
      <x:c r="F4" s="347" t="s">
        <x:v>723</x:v>
      </x:c>
      <x:c r="G4" s="346">
        <x:v>1</x:v>
      </x:c>
      <x:c r="H4" s="346"/>
      <x:c r="I4" s="346"/>
    </x:row>
    <x:row r="5" spans="2:9">
      <x:c r="B5" s="346"/>
      <x:c r="C5" s="346"/>
      <x:c r="D5" s="93" t="s">
        <x:v>11</x:v>
      </x:c>
      <x:c r="E5" s="346"/>
      <x:c r="F5" s="347"/>
      <x:c r="G5" s="346"/>
      <x:c r="H5" s="346"/>
      <x:c r="I5" s="346"/>
    </x:row>
    <x:row r="6" spans="2:9">
      <x:c r="B6" s="346"/>
      <x:c r="C6" s="346"/>
      <x:c r="D6" s="93" t="s">
        <x:v>293</x:v>
      </x:c>
      <x:c r="E6" s="346"/>
      <x:c r="F6" s="347"/>
      <x:c r="G6" s="346"/>
      <x:c r="H6" s="346"/>
      <x:c r="I6" s="346"/>
    </x:row>
    <x:row r="7" spans="2:9">
      <x:c r="B7" s="346" t="s">
        <x:v>402</x:v>
      </x:c>
      <x:c r="C7" s="346" t="s">
        <x:v>296</x:v>
      </x:c>
      <x:c r="D7" s="93" t="s">
        <x:v>844</x:v>
      </x:c>
      <x:c r="E7" s="346"/>
      <x:c r="F7" s="347" t="s">
        <x:v>772</x:v>
      </x:c>
      <x:c r="G7" s="346">
        <x:v>2</x:v>
      </x:c>
      <x:c r="H7" s="346"/>
      <x:c r="I7" s="346"/>
    </x:row>
    <x:row r="8" spans="2:9">
      <x:c r="B8" s="346"/>
      <x:c r="C8" s="346"/>
      <x:c r="D8" s="93" t="s">
        <x:v>370</x:v>
      </x:c>
      <x:c r="E8" s="346"/>
      <x:c r="F8" s="347"/>
      <x:c r="G8" s="346"/>
      <x:c r="H8" s="346"/>
      <x:c r="I8" s="346"/>
    </x:row>
    <x:row r="9" spans="2:9">
      <x:c r="B9" s="346"/>
      <x:c r="C9" s="346"/>
      <x:c r="D9" s="93" t="s">
        <x:v>250</x:v>
      </x:c>
      <x:c r="E9" s="346"/>
      <x:c r="F9" s="347"/>
      <x:c r="G9" s="346"/>
      <x:c r="H9" s="346"/>
      <x:c r="I9" s="346"/>
    </x:row>
    <x:row r="10" spans="2:9">
      <x:c r="B10" s="346"/>
      <x:c r="C10" s="346"/>
      <x:c r="D10" s="93" t="s">
        <x:v>849</x:v>
      </x:c>
      <x:c r="E10" s="346"/>
      <x:c r="F10" s="347"/>
      <x:c r="G10" s="346"/>
      <x:c r="H10" s="346"/>
      <x:c r="I10" s="346"/>
    </x:row>
    <x:row r="11" spans="2:9">
      <x:c r="B11" s="346"/>
      <x:c r="C11" s="346"/>
      <x:c r="D11" s="93" t="s">
        <x:v>489</x:v>
      </x:c>
      <x:c r="E11" s="346"/>
      <x:c r="F11" s="347"/>
      <x:c r="G11" s="346"/>
      <x:c r="H11" s="346"/>
      <x:c r="I11" s="346"/>
    </x:row>
    <x:row r="12" spans="2:9">
      <x:c r="B12" s="346"/>
      <x:c r="C12" s="346"/>
      <x:c r="D12" s="93" t="s">
        <x:v>847</x:v>
      </x:c>
      <x:c r="E12" s="346"/>
      <x:c r="F12" s="347"/>
      <x:c r="G12" s="346"/>
      <x:c r="H12" s="346"/>
      <x:c r="I12" s="346"/>
    </x:row>
    <x:row r="13" spans="2:9">
      <x:c r="B13" s="346"/>
      <x:c r="C13" s="346"/>
      <x:c r="D13" s="94" t="s">
        <x:v>287</x:v>
      </x:c>
      <x:c r="E13" s="346"/>
      <x:c r="F13" s="347"/>
      <x:c r="G13" s="346"/>
      <x:c r="H13" s="346"/>
      <x:c r="I13" s="346"/>
    </x:row>
    <x:row r="14" spans="2:9">
      <x:c r="B14" s="346"/>
      <x:c r="C14" s="346"/>
      <x:c r="D14" s="93" t="s">
        <x:v>835</x:v>
      </x:c>
      <x:c r="E14" s="346"/>
      <x:c r="F14" s="347"/>
      <x:c r="G14" s="346"/>
      <x:c r="H14" s="346"/>
      <x:c r="I14" s="346"/>
    </x:row>
    <x:row r="15" spans="2:9">
      <x:c r="B15" s="346" t="s">
        <x:v>16</x:v>
      </x:c>
      <x:c r="C15" s="346">
        <x:v>1</x:v>
      </x:c>
      <x:c r="D15" s="93" t="s">
        <x:v>843</x:v>
      </x:c>
      <x:c r="E15" s="346"/>
      <x:c r="F15" s="347" t="s">
        <x:v>723</x:v>
      </x:c>
      <x:c r="G15" s="346">
        <x:v>1</x:v>
      </x:c>
      <x:c r="H15" s="346"/>
      <x:c r="I15" s="346"/>
    </x:row>
    <x:row r="16" spans="2:9">
      <x:c r="B16" s="346"/>
      <x:c r="C16" s="346"/>
      <x:c r="D16" s="93" t="s">
        <x:v>370</x:v>
      </x:c>
      <x:c r="E16" s="346"/>
      <x:c r="F16" s="347"/>
      <x:c r="G16" s="346"/>
      <x:c r="H16" s="346"/>
      <x:c r="I16" s="346"/>
    </x:row>
    <x:row r="17" spans="2:9">
      <x:c r="B17" s="346"/>
      <x:c r="C17" s="346"/>
      <x:c r="D17" s="93" t="s">
        <x:v>250</x:v>
      </x:c>
      <x:c r="E17" s="346"/>
      <x:c r="F17" s="347"/>
      <x:c r="G17" s="346"/>
      <x:c r="H17" s="346"/>
      <x:c r="I17" s="346"/>
    </x:row>
    <x:row r="18" spans="2:9">
      <x:c r="B18" s="346"/>
      <x:c r="C18" s="346"/>
      <x:c r="D18" s="93" t="s">
        <x:v>851</x:v>
      </x:c>
      <x:c r="E18" s="346"/>
      <x:c r="F18" s="347"/>
      <x:c r="G18" s="346"/>
      <x:c r="H18" s="346"/>
      <x:c r="I18" s="346"/>
    </x:row>
    <x:row r="19" spans="2:9">
      <x:c r="B19" s="346"/>
      <x:c r="C19" s="346"/>
      <x:c r="D19" s="93" t="s">
        <x:v>289</x:v>
      </x:c>
      <x:c r="E19" s="346"/>
      <x:c r="F19" s="347"/>
      <x:c r="G19" s="346"/>
      <x:c r="H19" s="346"/>
      <x:c r="I19" s="346"/>
    </x:row>
    <x:row r="20" spans="2:9">
      <x:c r="B20" s="346"/>
      <x:c r="C20" s="346"/>
      <x:c r="D20" s="93" t="s">
        <x:v>845</x:v>
      </x:c>
      <x:c r="E20" s="346"/>
      <x:c r="F20" s="347"/>
      <x:c r="G20" s="346"/>
      <x:c r="H20" s="346"/>
      <x:c r="I20" s="346"/>
    </x:row>
    <x:row r="21" spans="2:9">
      <x:c r="B21" s="346"/>
      <x:c r="C21" s="346"/>
      <x:c r="D21" s="94" t="s">
        <x:v>241</x:v>
      </x:c>
      <x:c r="E21" s="346"/>
      <x:c r="F21" s="347"/>
      <x:c r="G21" s="346"/>
      <x:c r="H21" s="346"/>
      <x:c r="I21" s="346"/>
    </x:row>
    <x:row r="22" spans="2:9">
      <x:c r="B22" s="346"/>
      <x:c r="C22" s="346"/>
      <x:c r="D22" s="93" t="s">
        <x:v>273</x:v>
      </x:c>
      <x:c r="E22" s="346"/>
      <x:c r="F22" s="347"/>
      <x:c r="G22" s="346"/>
      <x:c r="H22" s="346"/>
      <x:c r="I22" s="346"/>
    </x:row>
    <x:row r="23" spans="2:9">
      <x:c r="B23" s="346" t="s">
        <x:v>684</x:v>
      </x:c>
      <x:c r="C23" s="346" t="s">
        <x:v>296</x:v>
      </x:c>
      <x:c r="D23" s="93" t="s">
        <x:v>371</x:v>
      </x:c>
      <x:c r="E23" s="346"/>
      <x:c r="F23" s="347" t="s">
        <x:v>772</x:v>
      </x:c>
      <x:c r="G23" s="346">
        <x:v>2</x:v>
      </x:c>
      <x:c r="H23" s="346"/>
      <x:c r="I23" s="346"/>
    </x:row>
    <x:row r="24" spans="2:9">
      <x:c r="B24" s="346"/>
      <x:c r="C24" s="346"/>
      <x:c r="D24" s="93" t="s">
        <x:v>848</x:v>
      </x:c>
      <x:c r="E24" s="346"/>
      <x:c r="F24" s="347"/>
      <x:c r="G24" s="346"/>
      <x:c r="H24" s="346"/>
      <x:c r="I24" s="346"/>
    </x:row>
    <x:row r="25" spans="2:9">
      <x:c r="B25" s="346"/>
      <x:c r="C25" s="346"/>
      <x:c r="D25" s="93" t="s">
        <x:v>250</x:v>
      </x:c>
      <x:c r="E25" s="346"/>
      <x:c r="F25" s="347"/>
      <x:c r="G25" s="346"/>
      <x:c r="H25" s="346"/>
      <x:c r="I25" s="346"/>
    </x:row>
    <x:row r="26" spans="2:9">
      <x:c r="B26" s="346"/>
      <x:c r="C26" s="346"/>
      <x:c r="D26" s="93" t="s">
        <x:v>372</x:v>
      </x:c>
      <x:c r="E26" s="346"/>
      <x:c r="F26" s="347"/>
      <x:c r="G26" s="346"/>
      <x:c r="H26" s="346"/>
      <x:c r="I26" s="346"/>
    </x:row>
    <x:row r="27" spans="2:9">
      <x:c r="B27" s="346"/>
      <x:c r="C27" s="346"/>
      <x:c r="D27" s="93" t="s">
        <x:v>490</x:v>
      </x:c>
      <x:c r="E27" s="346"/>
      <x:c r="F27" s="347"/>
      <x:c r="G27" s="346"/>
      <x:c r="H27" s="346"/>
      <x:c r="I27" s="346"/>
    </x:row>
    <x:row r="28" spans="2:9">
      <x:c r="B28" s="348" t="s">
        <x:v>680</x:v>
      </x:c>
      <x:c r="C28" s="348">
        <x:v>1</x:v>
      </x:c>
      <x:c r="D28" s="95" t="s">
        <x:v>844</x:v>
      </x:c>
      <x:c r="E28" s="346"/>
      <x:c r="F28" s="347" t="s">
        <x:v>723</x:v>
      </x:c>
      <x:c r="G28" s="348">
        <x:v>1</x:v>
      </x:c>
      <x:c r="H28" s="348"/>
      <x:c r="I28" s="348"/>
    </x:row>
    <x:row r="29" spans="2:9">
      <x:c r="B29" s="348"/>
      <x:c r="C29" s="348"/>
      <x:c r="D29" s="95" t="s">
        <x:v>861</x:v>
      </x:c>
      <x:c r="E29" s="346"/>
      <x:c r="F29" s="347"/>
      <x:c r="G29" s="348"/>
      <x:c r="H29" s="348"/>
      <x:c r="I29" s="348"/>
    </x:row>
    <x:row r="30" spans="2:9">
      <x:c r="B30" s="348"/>
      <x:c r="C30" s="348"/>
      <x:c r="D30" s="95" t="s">
        <x:v>253</x:v>
      </x:c>
      <x:c r="E30" s="346"/>
      <x:c r="F30" s="347"/>
      <x:c r="G30" s="348"/>
      <x:c r="H30" s="348"/>
      <x:c r="I30" s="348"/>
    </x:row>
    <x:row r="31" spans="2:9">
      <x:c r="B31" s="348"/>
      <x:c r="C31" s="348"/>
      <x:c r="D31" s="95" t="s">
        <x:v>867</x:v>
      </x:c>
      <x:c r="E31" s="346"/>
      <x:c r="F31" s="347"/>
      <x:c r="G31" s="348"/>
      <x:c r="H31" s="348"/>
      <x:c r="I31" s="348"/>
    </x:row>
    <x:row r="32" spans="2:9">
      <x:c r="B32" s="348"/>
      <x:c r="C32" s="348"/>
      <x:c r="D32" s="95" t="s">
        <x:v>286</x:v>
      </x:c>
      <x:c r="E32" s="346"/>
      <x:c r="F32" s="347"/>
      <x:c r="G32" s="348"/>
      <x:c r="H32" s="348"/>
      <x:c r="I32" s="348"/>
    </x:row>
    <x:row r="33" spans="2:9">
      <x:c r="B33" s="348"/>
      <x:c r="C33" s="348"/>
      <x:c r="D33" s="94" t="s">
        <x:v>193</x:v>
      </x:c>
      <x:c r="E33" s="346"/>
      <x:c r="F33" s="347"/>
      <x:c r="G33" s="348"/>
      <x:c r="H33" s="348"/>
      <x:c r="I33" s="348"/>
    </x:row>
    <x:row r="34" spans="2:9">
      <x:c r="B34" s="346" t="s">
        <x:v>698</x:v>
      </x:c>
      <x:c r="C34" s="346">
        <x:v>1</x:v>
      </x:c>
      <x:c r="D34" s="93" t="s">
        <x:v>373</x:v>
      </x:c>
      <x:c r="E34" s="346"/>
      <x:c r="F34" s="347" t="s">
        <x:v>772</x:v>
      </x:c>
      <x:c r="G34" s="346">
        <x:v>1</x:v>
      </x:c>
      <x:c r="H34" s="346"/>
      <x:c r="I34" s="346"/>
    </x:row>
    <x:row r="35" spans="2:9">
      <x:c r="B35" s="346"/>
      <x:c r="C35" s="346"/>
      <x:c r="D35" s="93" t="s">
        <x:v>862</x:v>
      </x:c>
      <x:c r="E35" s="346"/>
      <x:c r="F35" s="347"/>
      <x:c r="G35" s="346"/>
      <x:c r="H35" s="346"/>
      <x:c r="I35" s="346"/>
    </x:row>
    <x:row r="36" spans="2:9">
      <x:c r="B36" s="346"/>
      <x:c r="C36" s="346"/>
      <x:c r="D36" s="93" t="s">
        <x:v>277</x:v>
      </x:c>
      <x:c r="E36" s="346"/>
      <x:c r="F36" s="347"/>
      <x:c r="G36" s="346"/>
      <x:c r="H36" s="346"/>
      <x:c r="I36" s="346"/>
    </x:row>
    <x:row r="37" spans="2:9">
      <x:c r="B37" s="346" t="s">
        <x:v>295</x:v>
      </x:c>
      <x:c r="C37" s="346">
        <x:v>9</x:v>
      </x:c>
      <x:c r="D37" s="93" t="s">
        <x:v>373</x:v>
      </x:c>
      <x:c r="E37" s="346"/>
      <x:c r="F37" s="347" t="s">
        <x:v>772</x:v>
      </x:c>
      <x:c r="G37" s="346">
        <x:v>9</x:v>
      </x:c>
      <x:c r="H37" s="346"/>
      <x:c r="I37" s="346"/>
    </x:row>
    <x:row r="38" spans="2:9">
      <x:c r="B38" s="346"/>
      <x:c r="C38" s="346"/>
      <x:c r="D38" s="93" t="s">
        <x:v>374</x:v>
      </x:c>
      <x:c r="E38" s="346"/>
      <x:c r="F38" s="347"/>
      <x:c r="G38" s="346"/>
      <x:c r="H38" s="346"/>
      <x:c r="I38" s="346"/>
    </x:row>
    <x:row r="39" spans="2:9">
      <x:c r="B39" s="346"/>
      <x:c r="C39" s="346"/>
      <x:c r="D39" s="93" t="s">
        <x:v>253</x:v>
      </x:c>
      <x:c r="E39" s="346"/>
      <x:c r="F39" s="347"/>
      <x:c r="G39" s="346"/>
      <x:c r="H39" s="346"/>
      <x:c r="I39" s="346"/>
    </x:row>
    <x:row r="40" spans="2:9">
      <x:c r="B40" s="346"/>
      <x:c r="C40" s="346"/>
      <x:c r="D40" s="93" t="s">
        <x:v>837</x:v>
      </x:c>
      <x:c r="E40" s="346"/>
      <x:c r="F40" s="347"/>
      <x:c r="G40" s="346"/>
      <x:c r="H40" s="346"/>
      <x:c r="I40" s="346"/>
    </x:row>
    <x:row r="41" spans="2:9">
      <x:c r="B41" s="346"/>
      <x:c r="C41" s="346"/>
      <x:c r="D41" s="93" t="s">
        <x:v>825</x:v>
      </x:c>
      <x:c r="E41" s="346"/>
      <x:c r="F41" s="347"/>
      <x:c r="G41" s="346"/>
      <x:c r="H41" s="346"/>
      <x:c r="I41" s="346"/>
    </x:row>
    <x:row r="42" spans="2:9">
      <x:c r="B42" s="346" t="s">
        <x:v>524</x:v>
      </x:c>
      <x:c r="C42" s="346">
        <x:v>3</x:v>
      </x:c>
      <x:c r="D42" s="93" t="s">
        <x:v>373</x:v>
      </x:c>
      <x:c r="E42" s="346"/>
      <x:c r="F42" s="347" t="s">
        <x:v>723</x:v>
      </x:c>
      <x:c r="G42" s="346">
        <x:v>3</x:v>
      </x:c>
      <x:c r="H42" s="346"/>
      <x:c r="I42" s="346"/>
    </x:row>
    <x:row r="43" spans="2:9">
      <x:c r="B43" s="346"/>
      <x:c r="C43" s="346"/>
      <x:c r="D43" s="93" t="s">
        <x:v>852</x:v>
      </x:c>
      <x:c r="E43" s="346"/>
      <x:c r="F43" s="347"/>
      <x:c r="G43" s="346"/>
      <x:c r="H43" s="346"/>
      <x:c r="I43" s="346"/>
    </x:row>
    <x:row r="44" spans="2:9">
      <x:c r="B44" s="346"/>
      <x:c r="C44" s="346"/>
      <x:c r="D44" s="93" t="s">
        <x:v>376</x:v>
      </x:c>
      <x:c r="E44" s="346"/>
      <x:c r="F44" s="347"/>
      <x:c r="G44" s="346"/>
      <x:c r="H44" s="346"/>
      <x:c r="I44" s="346"/>
    </x:row>
    <x:row r="45" spans="2:9">
      <x:c r="B45" s="346" t="s">
        <x:v>709</x:v>
      </x:c>
      <x:c r="C45" s="346">
        <x:v>2</x:v>
      </x:c>
      <x:c r="D45" s="96" t="s">
        <x:v>373</x:v>
      </x:c>
      <x:c r="E45" s="346"/>
      <x:c r="F45" s="347" t="s">
        <x:v>723</x:v>
      </x:c>
      <x:c r="G45" s="346">
        <x:v>2</x:v>
      </x:c>
      <x:c r="H45" s="346"/>
      <x:c r="I45" s="346"/>
    </x:row>
    <x:row r="46" spans="2:9">
      <x:c r="B46" s="346"/>
      <x:c r="C46" s="346"/>
      <x:c r="D46" s="96" t="s">
        <x:v>377</x:v>
      </x:c>
      <x:c r="E46" s="346"/>
      <x:c r="F46" s="347"/>
      <x:c r="G46" s="346"/>
      <x:c r="H46" s="346"/>
      <x:c r="I46" s="346"/>
    </x:row>
    <x:row r="47" spans="2:9">
      <x:c r="B47" s="346"/>
      <x:c r="C47" s="346"/>
      <x:c r="D47" s="96" t="s">
        <x:v>487</x:v>
      </x:c>
      <x:c r="E47" s="346"/>
      <x:c r="F47" s="347"/>
      <x:c r="G47" s="346"/>
      <x:c r="H47" s="346"/>
      <x:c r="I47" s="346"/>
    </x:row>
    <x:row r="48" spans="2:9">
      <x:c r="B48" s="346" t="s">
        <x:v>729</x:v>
      </x:c>
      <x:c r="C48" s="346">
        <x:v>2</x:v>
      </x:c>
      <x:c r="D48" s="93" t="s">
        <x:v>373</x:v>
      </x:c>
      <x:c r="E48" s="346"/>
      <x:c r="F48" s="347" t="s">
        <x:v>551</x:v>
      </x:c>
      <x:c r="G48" s="346">
        <x:v>2</x:v>
      </x:c>
      <x:c r="H48" s="346"/>
      <x:c r="I48" s="346"/>
    </x:row>
    <x:row r="49" spans="2:9">
      <x:c r="B49" s="346"/>
      <x:c r="C49" s="346"/>
      <x:c r="D49" s="93" t="s">
        <x:v>836</x:v>
      </x:c>
      <x:c r="E49" s="346"/>
      <x:c r="F49" s="347"/>
      <x:c r="G49" s="346"/>
      <x:c r="H49" s="346"/>
      <x:c r="I49" s="346"/>
    </x:row>
    <x:row r="50" spans="2:9">
      <x:c r="B50" s="346"/>
      <x:c r="C50" s="346"/>
      <x:c r="D50" s="93" t="s">
        <x:v>278</x:v>
      </x:c>
      <x:c r="E50" s="346"/>
      <x:c r="F50" s="347"/>
      <x:c r="G50" s="346"/>
      <x:c r="H50" s="346"/>
      <x:c r="I50" s="346"/>
    </x:row>
    <x:row r="51" spans="2:7" ht="26.600000000000001" customHeight="1">
      <x:c r="B51" s="97" t="s">
        <x:v>527</x:v>
      </x:c>
      <x:c r="C51" s="97">
        <x:v>24</x:v>
      </x:c>
      <x:c r="D51" s="341"/>
      <x:c r="E51" s="341"/>
      <x:c r="F51" s="41" t="s">
        <x:v>723</x:v>
      </x:c>
      <x:c r="G51" s="97">
        <x:f>G4+G15+G28+G42+G45</x:f>
        <x:v>8</x:v>
      </x:c>
    </x:row>
    <x:row r="52" spans="6:7" ht="26.600000000000001" customHeight="1">
      <x:c r="F52" s="41" t="s">
        <x:v>772</x:v>
      </x:c>
      <x:c r="G52" s="97">
        <x:v>14</x:v>
      </x:c>
    </x:row>
    <x:row r="53" spans="6:7" ht="26.600000000000001" customHeight="1">
      <x:c r="F53" s="41" t="s">
        <x:v>551</x:v>
      </x:c>
      <x:c r="G53" s="97">
        <x:v>2</x:v>
      </x:c>
    </x:row>
  </x:sheetData>
  <x:mergeCells count="64">
    <x:mergeCell ref="B1:I1"/>
    <x:mergeCell ref="B2:I2"/>
    <x:mergeCell ref="C34:C36"/>
    <x:mergeCell ref="C37:C41"/>
    <x:mergeCell ref="B4:B6"/>
    <x:mergeCell ref="C4:C6"/>
    <x:mergeCell ref="C15:C22"/>
    <x:mergeCell ref="B23:B27"/>
    <x:mergeCell ref="F4:F6"/>
    <x:mergeCell ref="F7:F14"/>
    <x:mergeCell ref="F15:F22"/>
    <x:mergeCell ref="F23:F27"/>
    <x:mergeCell ref="F28:F33"/>
    <x:mergeCell ref="F34:F36"/>
    <x:mergeCell ref="F37:F41"/>
    <x:mergeCell ref="H4:H6"/>
    <x:mergeCell ref="D51:E51"/>
    <x:mergeCell ref="E4:E50"/>
    <x:mergeCell ref="B7:B14"/>
    <x:mergeCell ref="C7:C14"/>
    <x:mergeCell ref="B15:B22"/>
    <x:mergeCell ref="C23:C27"/>
    <x:mergeCell ref="B37:B41"/>
    <x:mergeCell ref="B42:B44"/>
    <x:mergeCell ref="C42:C44"/>
    <x:mergeCell ref="B45:B47"/>
    <x:mergeCell ref="C45:C47"/>
    <x:mergeCell ref="B48:B50"/>
    <x:mergeCell ref="C48:C50"/>
    <x:mergeCell ref="B28:B33"/>
    <x:mergeCell ref="C28:C33"/>
    <x:mergeCell ref="B34:B36"/>
    <x:mergeCell ref="F48:F50"/>
    <x:mergeCell ref="G4:G6"/>
    <x:mergeCell ref="G7:G14"/>
    <x:mergeCell ref="G15:G22"/>
    <x:mergeCell ref="G23:G27"/>
    <x:mergeCell ref="G28:G33"/>
    <x:mergeCell ref="G34:G36"/>
    <x:mergeCell ref="G37:G41"/>
    <x:mergeCell ref="G42:G44"/>
    <x:mergeCell ref="G45:G47"/>
    <x:mergeCell ref="G48:G50"/>
    <x:mergeCell ref="F42:F44"/>
    <x:mergeCell ref="F45:F47"/>
    <x:mergeCell ref="H37:H41"/>
    <x:mergeCell ref="H42:H44"/>
    <x:mergeCell ref="H45:H47"/>
    <x:mergeCell ref="H48:H50"/>
    <x:mergeCell ref="I4:I6"/>
    <x:mergeCell ref="I7:I14"/>
    <x:mergeCell ref="I15:I22"/>
    <x:mergeCell ref="I23:I27"/>
    <x:mergeCell ref="I28:I33"/>
    <x:mergeCell ref="I34:I36"/>
    <x:mergeCell ref="I37:I41"/>
    <x:mergeCell ref="I42:I44"/>
    <x:mergeCell ref="I45:I47"/>
    <x:mergeCell ref="I48:I50"/>
    <x:mergeCell ref="H7:H14"/>
    <x:mergeCell ref="H15:H22"/>
    <x:mergeCell ref="H23:H27"/>
    <x:mergeCell ref="H28:H33"/>
    <x:mergeCell ref="H34:H36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8cb3e4"/>
  </x:sheetPr>
  <x:dimension ref="A1:G27"/>
  <x:sheetViews>
    <x:sheetView topLeftCell="A1" zoomScaleNormal="100" zoomScaleSheetLayoutView="75" workbookViewId="0">
      <x:selection activeCell="D17" activeCellId="0" sqref="D17:D17"/>
    </x:sheetView>
  </x:sheetViews>
  <x:sheetFormatPr defaultColWidth="9" defaultRowHeight="17.600000000000001"/>
  <x:cols>
    <x:col min="1" max="1" width="9" style="1"/>
    <x:col min="2" max="2" width="15.5703125" style="98" customWidth="1"/>
    <x:col min="3" max="3" width="18.42578125" style="1" customWidth="1"/>
    <x:col min="4" max="4" width="16.42578125" style="1" customWidth="1"/>
    <x:col min="5" max="5" width="10.78515625" style="1" customWidth="1"/>
    <x:col min="6" max="6" width="15.0703125" style="1" customWidth="1"/>
    <x:col min="7" max="7" width="16.28515625" style="1" customWidth="1"/>
    <x:col min="8" max="16384" width="9" style="1"/>
  </x:cols>
  <x:sheetData>
    <x:row r="1" spans="1:7" ht="18.449999999999999">
      <x:c r="A1" s="349" t="s">
        <x:v>268</x:v>
      </x:c>
      <x:c r="B1" s="349"/>
      <x:c r="C1" s="349"/>
      <x:c r="D1" s="349"/>
      <x:c r="E1" s="349"/>
      <x:c r="F1" s="349"/>
      <x:c r="G1" s="349"/>
    </x:row>
    <x:row r="2" spans="2:2">
      <x:c r="B2" s="98" t="s">
        <x:v>392</x:v>
      </x:c>
    </x:row>
    <x:row r="3" spans="2:6">
      <x:c r="B3" s="350" t="s">
        <x:v>759</x:v>
      </x:c>
      <x:c r="C3" s="351"/>
      <x:c r="D3" s="352"/>
      <x:c r="E3" s="350" t="s">
        <x:v>572</x:v>
      </x:c>
      <x:c r="F3" s="353"/>
    </x:row>
    <x:row r="4" spans="2:6">
      <x:c r="B4" s="139" t="s">
        <x:v>530</x:v>
      </x:c>
      <x:c r="C4" s="139" t="s">
        <x:v>735</x:v>
      </x:c>
      <x:c r="D4" s="139" t="s">
        <x:v>750</x:v>
      </x:c>
      <x:c r="E4" s="139" t="s">
        <x:v>530</x:v>
      </x:c>
      <x:c r="F4" s="140" t="s">
        <x:v>750</x:v>
      </x:c>
    </x:row>
    <x:row r="5" spans="2:6">
      <x:c r="B5" s="141" t="s">
        <x:v>747</x:v>
      </x:c>
      <x:c r="C5" s="100" t="s">
        <x:v>748</x:v>
      </x:c>
      <x:c r="D5" s="100">
        <x:v>15</x:v>
      </x:c>
      <x:c r="E5" s="142" t="s">
        <x:v>912</x:v>
      </x:c>
      <x:c r="F5" s="101" t="s">
        <x:v>733</x:v>
      </x:c>
    </x:row>
    <x:row r="6" spans="2:6" ht="18">
      <x:c r="B6" s="143" t="s">
        <x:v>550</x:v>
      </x:c>
      <x:c r="C6" s="143" t="s">
        <x:v>550</x:v>
      </x:c>
      <x:c r="D6" s="143" t="s">
        <x:v>550</x:v>
      </x:c>
      <x:c r="E6" s="143" t="s">
        <x:v>550</x:v>
      </x:c>
      <x:c r="F6" s="144" t="s">
        <x:v>550</x:v>
      </x:c>
    </x:row>
    <x:row r="7" ht="18"/>
    <x:row r="8" spans="2:2">
      <x:c r="B8" s="98" t="s">
        <x:v>397</x:v>
      </x:c>
    </x:row>
    <x:row r="9" spans="2:5">
      <x:c r="B9" s="354" t="s">
        <x:v>683</x:v>
      </x:c>
      <x:c r="C9" s="354" t="s">
        <x:v>754</x:v>
      </x:c>
      <x:c r="D9" s="350" t="s">
        <x:v>572</x:v>
      </x:c>
      <x:c r="E9" s="353"/>
    </x:row>
    <x:row r="10" spans="2:5">
      <x:c r="B10" s="355"/>
      <x:c r="C10" s="355"/>
      <x:c r="D10" s="145" t="s">
        <x:v>530</x:v>
      </x:c>
      <x:c r="E10" s="146" t="s">
        <x:v>750</x:v>
      </x:c>
    </x:row>
    <x:row r="11" spans="2:5">
      <x:c r="B11" s="142" t="s">
        <x:v>297</x:v>
      </x:c>
      <x:c r="C11" s="142" t="s">
        <x:v>722</x:v>
      </x:c>
      <x:c r="D11" s="142" t="s">
        <x:v>914</x:v>
      </x:c>
      <x:c r="E11" s="101" t="s">
        <x:v>595</x:v>
      </x:c>
    </x:row>
    <x:row r="12" spans="2:5" ht="18">
      <x:c r="B12" s="143" t="s">
        <x:v>550</x:v>
      </x:c>
      <x:c r="C12" s="147"/>
      <x:c r="D12" s="143" t="s">
        <x:v>550</x:v>
      </x:c>
      <x:c r="E12" s="144" t="s">
        <x:v>550</x:v>
      </x:c>
    </x:row>
    <x:row r="13" ht="18"/>
    <x:row r="14" spans="2:2" ht="18">
      <x:c r="B14" s="98" t="s">
        <x:v>833</x:v>
      </x:c>
    </x:row>
    <x:row r="15" spans="2:6" ht="18">
      <x:c r="B15" s="183" t="s">
        <x:v>794</x:v>
      </x:c>
      <x:c r="C15" s="184" t="s">
        <x:v>815</x:v>
      </x:c>
      <x:c r="D15" s="184" t="s">
        <x:v>822</x:v>
      </x:c>
      <x:c r="E15" s="184" t="s">
        <x:v>806</x:v>
      </x:c>
      <x:c r="F15" s="185" t="s">
        <x:v>567</x:v>
      </x:c>
    </x:row>
    <x:row r="16" spans="2:6" ht="18">
      <x:c r="B16" s="186"/>
      <x:c r="C16" s="187"/>
      <x:c r="D16" s="187"/>
      <x:c r="E16" s="187"/>
      <x:c r="F16" s="188"/>
    </x:row>
    <x:row r="17" spans="2:6" ht="18">
      <x:c r="B17" s="186"/>
      <x:c r="C17" s="187"/>
      <x:c r="D17" s="187"/>
      <x:c r="E17" s="187"/>
      <x:c r="F17" s="188"/>
    </x:row>
    <x:row r="18" spans="2:6" ht="18">
      <x:c r="B18" s="186"/>
      <x:c r="C18" s="187"/>
      <x:c r="D18" s="187"/>
      <x:c r="E18" s="187"/>
      <x:c r="F18" s="188"/>
    </x:row>
    <x:row r="19" spans="2:6" ht="18">
      <x:c r="B19" s="186"/>
      <x:c r="C19" s="187"/>
      <x:c r="D19" s="187"/>
      <x:c r="E19" s="187"/>
      <x:c r="F19" s="188"/>
    </x:row>
    <x:row r="20" spans="2:6" ht="18">
      <x:c r="B20" s="186"/>
      <x:c r="C20" s="187"/>
      <x:c r="D20" s="187"/>
      <x:c r="E20" s="187"/>
      <x:c r="F20" s="188"/>
    </x:row>
    <x:row r="21" spans="2:6" ht="18">
      <x:c r="B21" s="186"/>
      <x:c r="C21" s="187"/>
      <x:c r="D21" s="187"/>
      <x:c r="E21" s="187"/>
      <x:c r="F21" s="188"/>
    </x:row>
    <x:row r="22" spans="2:6" ht="18">
      <x:c r="B22" s="186"/>
      <x:c r="C22" s="187"/>
      <x:c r="D22" s="187"/>
      <x:c r="E22" s="187"/>
      <x:c r="F22" s="188"/>
    </x:row>
    <x:row r="23" spans="2:6" ht="18">
      <x:c r="B23" s="186"/>
      <x:c r="C23" s="187"/>
      <x:c r="D23" s="187"/>
      <x:c r="E23" s="187"/>
      <x:c r="F23" s="188"/>
    </x:row>
    <x:row r="24" spans="2:6" ht="18">
      <x:c r="B24" s="186"/>
      <x:c r="C24" s="187"/>
      <x:c r="D24" s="187"/>
      <x:c r="E24" s="187"/>
      <x:c r="F24" s="188"/>
    </x:row>
    <x:row r="25" spans="2:6" ht="18">
      <x:c r="B25" s="186"/>
      <x:c r="C25" s="187"/>
      <x:c r="D25" s="187"/>
      <x:c r="E25" s="187"/>
      <x:c r="F25" s="188"/>
    </x:row>
    <x:row r="26" spans="2:6" ht="18">
      <x:c r="B26" s="186"/>
      <x:c r="C26" s="187"/>
      <x:c r="D26" s="187"/>
      <x:c r="E26" s="187"/>
      <x:c r="F26" s="188"/>
    </x:row>
    <x:row r="27" spans="2:6" ht="18.449999999999999">
      <x:c r="B27" s="189"/>
      <x:c r="C27" s="190"/>
      <x:c r="D27" s="190"/>
      <x:c r="E27" s="190"/>
      <x:c r="F27" s="191"/>
    </x:row>
    <x:row r="28" ht="18"/>
  </x:sheetData>
  <x:mergeCells count="6">
    <x:mergeCell ref="A1:G1"/>
    <x:mergeCell ref="B3:D3"/>
    <x:mergeCell ref="E3:F3"/>
    <x:mergeCell ref="B9:B10"/>
    <x:mergeCell ref="C9:C10"/>
    <x:mergeCell ref="D9:E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8cb3e4"/>
  </x:sheetPr>
  <x:dimension ref="A1:C19"/>
  <x:sheetViews>
    <x:sheetView topLeftCell="A3" zoomScaleNormal="100" zoomScaleSheetLayoutView="75" workbookViewId="0">
      <x:selection activeCell="B10" activeCellId="0" sqref="B10:B10"/>
    </x:sheetView>
  </x:sheetViews>
  <x:sheetFormatPr defaultColWidth="50.5703125" defaultRowHeight="17.600000000000001"/>
  <x:cols>
    <x:col min="1" max="1" width="8.42578125" customWidth="1"/>
    <x:col min="2" max="2" width="54.0703125" customWidth="1"/>
    <x:col min="3" max="3" width="50.0703125" customWidth="1"/>
  </x:cols>
  <x:sheetData>
    <x:row r="1" spans="1:3">
      <x:c r="A1" s="2" t="s">
        <x:v>495</x:v>
      </x:c>
      <x:c r="B1" s="2" t="s">
        <x:v>696</x:v>
      </x:c>
      <x:c r="C1" s="2" t="s">
        <x:v>496</x:v>
      </x:c>
    </x:row>
    <x:row r="2" spans="1:3" ht="37.850000000000001" customHeight="1">
      <x:c r="A2" s="134">
        <x:v>1</x:v>
      </x:c>
      <x:c r="B2" s="3" t="s">
        <x:v>244</x:v>
      </x:c>
      <x:c r="C2" s="182" t="s">
        <x:v>294</x:v>
      </x:c>
    </x:row>
    <x:row r="3" spans="1:3" ht="66.450000000000003" customHeight="1">
      <x:c r="A3" s="356">
        <x:v>2</x:v>
      </x:c>
      <x:c r="B3" s="3" t="s">
        <x:v>628</x:v>
      </x:c>
      <x:c r="C3" s="182" t="s">
        <x:v>207</x:v>
      </x:c>
    </x:row>
    <x:row r="4" spans="1:3" ht="66.450000000000003" customHeight="1">
      <x:c r="A4" s="358"/>
      <x:c r="B4" s="3" t="s">
        <x:v>648</x:v>
      </x:c>
      <x:c r="C4" s="181" t="s">
        <x:v>192</x:v>
      </x:c>
    </x:row>
    <x:row r="5" spans="1:3">
      <x:c r="A5" s="356">
        <x:v>3</x:v>
      </x:c>
      <x:c r="B5" s="3" t="s">
        <x:v>31</x:v>
      </x:c>
      <x:c r="C5" s="5"/>
    </x:row>
    <x:row r="6" spans="1:3">
      <x:c r="A6" s="357"/>
      <x:c r="B6" s="3" t="s">
        <x:v>27</x:v>
      </x:c>
      <x:c r="C6" s="5"/>
    </x:row>
    <x:row r="7" spans="1:3">
      <x:c r="A7" s="357"/>
      <x:c r="B7" s="3" t="s">
        <x:v>647</x:v>
      </x:c>
      <x:c r="C7" s="5"/>
    </x:row>
    <x:row r="8" spans="1:3">
      <x:c r="A8" s="356">
        <x:v>4</x:v>
      </x:c>
      <x:c r="B8" s="3" t="s">
        <x:v>401</x:v>
      </x:c>
      <x:c r="C8" s="5" t="s">
        <x:v>32</x:v>
      </x:c>
    </x:row>
    <x:row r="9" spans="1:3">
      <x:c r="A9" s="357"/>
      <x:c r="B9" s="4" t="s">
        <x:v>275</x:v>
      </x:c>
      <x:c r="C9" s="5"/>
    </x:row>
    <x:row r="10" spans="1:3">
      <x:c r="A10" s="357"/>
      <x:c r="B10" s="4" t="s">
        <x:v>366</x:v>
      </x:c>
      <x:c r="C10" s="5"/>
    </x:row>
    <x:row r="11" spans="1:3">
      <x:c r="A11" s="357"/>
      <x:c r="B11" s="4" t="s">
        <x:v>368</x:v>
      </x:c>
      <x:c r="C11" s="5"/>
    </x:row>
    <x:row r="12" spans="1:3">
      <x:c r="A12" s="357"/>
      <x:c r="B12" s="4" t="s">
        <x:v>280</x:v>
      </x:c>
      <x:c r="C12" s="5" t="s">
        <x:v>281</x:v>
      </x:c>
    </x:row>
    <x:row r="13" spans="1:3" ht="43.75" customHeight="1">
      <x:c r="A13" s="357"/>
      <x:c r="B13" s="4" t="s">
        <x:v>381</x:v>
      </x:c>
      <x:c r="C13" s="5" t="s">
        <x:v>190</x:v>
      </x:c>
    </x:row>
    <x:row r="14" spans="1:3">
      <x:c r="A14" s="134">
        <x:v>5</x:v>
      </x:c>
      <x:c r="B14" s="3" t="s">
        <x:v>685</x:v>
      </x:c>
      <x:c r="C14" s="5" t="s">
        <x:v>274</x:v>
      </x:c>
    </x:row>
    <x:row r="15" spans="1:3">
      <x:c r="A15" s="356" t="s">
        <x:v>498</x:v>
      </x:c>
      <x:c r="B15" s="4" t="s">
        <x:v>271</x:v>
      </x:c>
      <x:c r="C15" s="5"/>
    </x:row>
    <x:row r="16" spans="1:3">
      <x:c r="A16" s="357"/>
      <x:c r="B16" s="4"/>
      <x:c r="C16" s="5"/>
    </x:row>
    <x:row r="17" spans="1:3">
      <x:c r="A17" s="357"/>
      <x:c r="B17" s="3"/>
      <x:c r="C17" s="5"/>
    </x:row>
    <x:row r="18" spans="1:3">
      <x:c r="A18" s="357"/>
      <x:c r="B18" s="3"/>
      <x:c r="C18" s="5"/>
    </x:row>
    <x:row r="19" spans="1:3">
      <x:c r="A19" s="358"/>
      <x:c r="B19" s="3"/>
      <x:c r="C19" s="5"/>
    </x:row>
  </x:sheetData>
  <x:mergeCells count="4">
    <x:mergeCell ref="A5:A7"/>
    <x:mergeCell ref="A15:A19"/>
    <x:mergeCell ref="A8:A13"/>
    <x:mergeCell ref="A3:A4"/>
  </x:mergeCells>
  <x:pageMargins left="0.69999998807907104" right="0.69999998807907104" top="0.75" bottom="0.75" header="0.30000001192092896" footer="0.30000001192092896"/>
  <x:pageSetup paperSize="0" scale="100" firstPageNumber="1" fitToWidth="1" fitToHeight="1" orientation="portrait" usePrinterDefaults="1" blackAndWhite="0" draft="0" useFirstPageNumber="0" horizontalDpi="0" verticalDpi="0" copie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9" baseType="lpstr">
      <vt:lpstr>제안일정</vt:lpstr>
      <vt:lpstr>제안서목차</vt:lpstr>
      <vt:lpstr>배점표</vt:lpstr>
      <vt:lpstr>요구사항</vt:lpstr>
      <vt:lpstr>대상현황</vt:lpstr>
      <vt:lpstr>필수대상</vt:lpstr>
      <vt:lpstr>투입인력</vt:lpstr>
      <vt:lpstr>조견표</vt:lpstr>
      <vt:lpstr>제출서류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스토리보드</dc:title>
  <cp:lastModifiedBy>test</cp:lastModifiedBy>
  <cp:revision>1</cp:revision>
  <cp:lastPrinted>2016-12-21T21:40:42.000</cp:lastPrinted>
  <dcterms:created xsi:type="dcterms:W3CDTF">2006-09-16T00:00:00.000</dcterms:created>
  <dcterms:modified xsi:type="dcterms:W3CDTF">2024-11-20T03:50:55.207</dcterms:modified>
  <cp:version>0906.0200.01</cp:version>
</cp:coreProperties>
</file>