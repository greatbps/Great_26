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6A3EAF-577F-4EEB-BAC8-52ABE7519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년도 계획_김태영" sheetId="11" r:id="rId1"/>
  </sheets>
  <externalReferences>
    <externalReference r:id="rId2"/>
    <externalReference r:id="rId3"/>
  </externalReferences>
  <definedNames>
    <definedName name="B">'[1]산출기준(파견전산실)'!#REF!</definedName>
    <definedName name="CD">#REF!</definedName>
    <definedName name="D">'[1]산출기준(파견전산실)'!#REF!</definedName>
    <definedName name="ㄹ">'[1]산출기준(파견전산실)'!#REF!</definedName>
    <definedName name="프로젝트명">[2]프로젝트정보!$D$4:$D$57</definedName>
    <definedName name="프로젝트인력계획">#REF!</definedName>
    <definedName name="프로젝트코드">[2]프로젝트정보!$C$4:$C$57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1" l="1"/>
  <c r="N9" i="11" s="1"/>
  <c r="P9" i="11" s="1"/>
  <c r="R9" i="11" s="1"/>
  <c r="N13" i="11"/>
  <c r="P13" i="11" s="1"/>
  <c r="R13" i="11" s="1"/>
  <c r="M12" i="11"/>
  <c r="Q12" i="11" s="1"/>
  <c r="P12" i="11"/>
  <c r="R12" i="11" s="1"/>
  <c r="P11" i="11"/>
  <c r="R11" i="11" s="1"/>
  <c r="M11" i="11"/>
  <c r="Q11" i="11" s="1"/>
  <c r="M8" i="11"/>
  <c r="O8" i="11" s="1"/>
  <c r="Q8" i="11" s="1"/>
  <c r="M7" i="11"/>
  <c r="O7" i="11" s="1"/>
  <c r="Q7" i="11" s="1"/>
  <c r="O12" i="11" l="1"/>
  <c r="O11" i="11"/>
  <c r="I10" i="11" l="1"/>
  <c r="M10" i="11" s="1"/>
  <c r="O10" i="11" s="1"/>
  <c r="Q10" i="11" s="1"/>
  <c r="I13" i="11"/>
  <c r="M13" i="11" s="1"/>
  <c r="O13" i="11" s="1"/>
  <c r="Q13" i="11" s="1"/>
  <c r="I9" i="11"/>
  <c r="K9" i="11" s="1"/>
  <c r="M9" i="11" s="1"/>
  <c r="O9" i="11" s="1"/>
  <c r="Q9" i="11" s="1"/>
  <c r="F18" i="11" l="1"/>
  <c r="F19" i="11" s="1"/>
  <c r="L18" i="11" l="1"/>
  <c r="L19" i="11" s="1"/>
  <c r="R18" i="11"/>
  <c r="R19" i="11" s="1"/>
  <c r="K18" i="11"/>
  <c r="K19" i="11" s="1"/>
  <c r="N18" i="11"/>
  <c r="N19" i="11" s="1"/>
  <c r="P18" i="11"/>
  <c r="P19" i="11" s="1"/>
  <c r="M18" i="11"/>
  <c r="M19" i="11" s="1"/>
  <c r="O18" i="11"/>
  <c r="O19" i="11" s="1"/>
  <c r="Q18" i="11"/>
  <c r="Q19" i="11" s="1"/>
  <c r="J17" i="11"/>
  <c r="I17" i="11"/>
  <c r="J18" i="11" l="1"/>
  <c r="J19" i="11" s="1"/>
  <c r="I18" i="11"/>
  <c r="I19" i="11" s="1"/>
</calcChain>
</file>

<file path=xl/sharedStrings.xml><?xml version="1.0" encoding="utf-8"?>
<sst xmlns="http://schemas.openxmlformats.org/spreadsheetml/2006/main" count="88" uniqueCount="60">
  <si>
    <t>NO</t>
    <phoneticPr fontId="2" type="noConversion"/>
  </si>
  <si>
    <t>영업 
담당자</t>
    <phoneticPr fontId="2" type="noConversion"/>
  </si>
  <si>
    <t>고객사</t>
    <phoneticPr fontId="2" type="noConversion"/>
  </si>
  <si>
    <t>프로젝트명</t>
    <phoneticPr fontId="2" type="noConversion"/>
  </si>
  <si>
    <t>예상
수주일자</t>
    <phoneticPr fontId="2" type="noConversion"/>
  </si>
  <si>
    <t>프로젝트
 기간</t>
    <phoneticPr fontId="2" type="noConversion"/>
  </si>
  <si>
    <t>투입 인력(예상 포함)</t>
    <phoneticPr fontId="8" type="noConversion"/>
  </si>
  <si>
    <t>(Update 2026.02.03, 단위 : 백만원)</t>
    <phoneticPr fontId="2" type="noConversion"/>
  </si>
  <si>
    <t>소 계</t>
    <phoneticPr fontId="8" type="noConversion"/>
  </si>
  <si>
    <t>합 계</t>
    <phoneticPr fontId="8" type="noConversion"/>
  </si>
  <si>
    <t xml:space="preserve"> 수주확도 - 90% 이하</t>
    <phoneticPr fontId="8" type="noConversion"/>
  </si>
  <si>
    <t>수주규모
(전체)</t>
    <phoneticPr fontId="2" type="noConversion"/>
  </si>
  <si>
    <t>2026년 매출</t>
    <phoneticPr fontId="2" type="noConversion"/>
  </si>
  <si>
    <t>매출액</t>
    <phoneticPr fontId="2" type="noConversion"/>
  </si>
  <si>
    <t>매출이익</t>
    <phoneticPr fontId="2" type="noConversion"/>
  </si>
  <si>
    <t>합계</t>
    <phoneticPr fontId="2" type="noConversion"/>
  </si>
  <si>
    <t>1사분기</t>
    <phoneticPr fontId="2" type="noConversion"/>
  </si>
  <si>
    <t>2사분기</t>
    <phoneticPr fontId="2" type="noConversion"/>
  </si>
  <si>
    <t>3사분기</t>
    <phoneticPr fontId="2" type="noConversion"/>
  </si>
  <si>
    <t>4사분기</t>
    <phoneticPr fontId="2" type="noConversion"/>
  </si>
  <si>
    <t>김태영</t>
    <phoneticPr fontId="2" type="noConversion"/>
  </si>
  <si>
    <t>2026. 10</t>
    <phoneticPr fontId="8" type="noConversion"/>
  </si>
  <si>
    <t>2026. 12</t>
    <phoneticPr fontId="8" type="noConversion"/>
  </si>
  <si>
    <t>방위사업청</t>
    <phoneticPr fontId="8" type="noConversion"/>
  </si>
  <si>
    <t>26.12~30.13</t>
  </si>
  <si>
    <t>해군 교전급모델 빌드 II 사업</t>
    <phoneticPr fontId="8" type="noConversion"/>
  </si>
  <si>
    <t>26.04~28.12</t>
    <phoneticPr fontId="8" type="noConversion"/>
  </si>
  <si>
    <t>한국국방연구원</t>
    <phoneticPr fontId="8" type="noConversion"/>
  </si>
  <si>
    <t>육군본부</t>
    <phoneticPr fontId="8" type="noConversion"/>
  </si>
  <si>
    <t>육군교육용상용드론구매사업</t>
    <phoneticPr fontId="8" type="noConversion"/>
  </si>
  <si>
    <t>26.01~26.12</t>
    <phoneticPr fontId="8" type="noConversion"/>
  </si>
  <si>
    <t>해군 교전급모델 빌드 I 사업 유지보수</t>
    <phoneticPr fontId="8" type="noConversion"/>
  </si>
  <si>
    <t>2026년 수주/매출 계획 (SmartIT영업)</t>
    <phoneticPr fontId="2" type="noConversion"/>
  </si>
  <si>
    <t>정보작전모의모델</t>
    <phoneticPr fontId="8" type="noConversion"/>
  </si>
  <si>
    <t>공군본부</t>
    <phoneticPr fontId="8" type="noConversion"/>
  </si>
  <si>
    <t>합동전장관리지휘체계</t>
    <phoneticPr fontId="8" type="noConversion"/>
  </si>
  <si>
    <t>공군 자원분석모델</t>
    <phoneticPr fontId="2" type="noConversion"/>
  </si>
  <si>
    <t>2026. 04</t>
    <phoneticPr fontId="8" type="noConversion"/>
  </si>
  <si>
    <t>26.04~27.03</t>
    <phoneticPr fontId="2" type="noConversion"/>
  </si>
  <si>
    <t>2026. 04</t>
    <phoneticPr fontId="2" type="noConversion"/>
  </si>
  <si>
    <t>26.08~26.12</t>
    <phoneticPr fontId="2" type="noConversion"/>
  </si>
  <si>
    <t>26.06~29.11</t>
    <phoneticPr fontId="2" type="noConversion"/>
  </si>
  <si>
    <t>2026. 05</t>
    <phoneticPr fontId="8" type="noConversion"/>
  </si>
  <si>
    <t>26.12~29.12</t>
    <phoneticPr fontId="8" type="noConversion"/>
  </si>
  <si>
    <t>2026. 10</t>
    <phoneticPr fontId="2" type="noConversion"/>
  </si>
  <si>
    <t>26.12~29.12</t>
    <phoneticPr fontId="2" type="noConversion"/>
  </si>
  <si>
    <t>2026 09</t>
    <phoneticPr fontId="8" type="noConversion"/>
  </si>
  <si>
    <t>26.06~28.03</t>
    <phoneticPr fontId="8" type="noConversion"/>
  </si>
  <si>
    <t xml:space="preserve">82항공정비창 </t>
    <phoneticPr fontId="8" type="noConversion"/>
  </si>
  <si>
    <t xml:space="preserve">국방 유지보수 </t>
    <phoneticPr fontId="8" type="noConversion"/>
  </si>
  <si>
    <t xml:space="preserve">군 연구과제 </t>
    <phoneticPr fontId="8" type="noConversion"/>
  </si>
  <si>
    <t>26.04~27.03</t>
    <phoneticPr fontId="8" type="noConversion"/>
  </si>
  <si>
    <t xml:space="preserve">인력 3명 </t>
    <phoneticPr fontId="2" type="noConversion"/>
  </si>
  <si>
    <t>사업 참여 확정 후 결정</t>
    <phoneticPr fontId="2" type="noConversion"/>
  </si>
  <si>
    <t>인력 3명</t>
  </si>
  <si>
    <t>인력 3명</t>
    <phoneticPr fontId="2" type="noConversion"/>
  </si>
  <si>
    <t>인력 1명</t>
    <phoneticPr fontId="2" type="noConversion"/>
  </si>
  <si>
    <t>인력 1명(2027년부터 3명)</t>
    <phoneticPr fontId="2" type="noConversion"/>
  </si>
  <si>
    <t>2026. 05</t>
    <phoneticPr fontId="2" type="noConversion"/>
  </si>
  <si>
    <t>공군 전장관리체계 경미한 성능개량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</si>
</sst>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_-;\-* #,##0_-;_-* &quot;-&quot;??_-;_-@_-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4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6" fillId="0" borderId="0" xfId="7" applyFont="1">
      <alignment vertical="center"/>
    </xf>
    <xf numFmtId="0" fontId="6" fillId="0" borderId="0" xfId="7" applyFont="1" applyAlignment="1">
      <alignment horizontal="center" vertical="center"/>
    </xf>
    <xf numFmtId="41" fontId="6" fillId="0" borderId="11" xfId="9" applyFont="1" applyBorder="1">
      <alignment vertical="center"/>
    </xf>
    <xf numFmtId="41" fontId="6" fillId="0" borderId="26" xfId="9" applyFont="1" applyBorder="1" applyAlignment="1">
      <alignment horizontal="center" vertical="center"/>
    </xf>
    <xf numFmtId="41" fontId="6" fillId="0" borderId="13" xfId="9" applyFont="1" applyBorder="1">
      <alignment vertical="center"/>
    </xf>
    <xf numFmtId="0" fontId="6" fillId="0" borderId="15" xfId="7" applyFont="1" applyBorder="1" applyAlignment="1">
      <alignment horizontal="center" vertical="center"/>
    </xf>
    <xf numFmtId="0" fontId="6" fillId="0" borderId="14" xfId="7" applyFont="1" applyBorder="1">
      <alignment vertical="center"/>
    </xf>
    <xf numFmtId="0" fontId="6" fillId="0" borderId="14" xfId="7" applyFont="1" applyBorder="1" applyAlignment="1">
      <alignment horizontal="center" vertical="center"/>
    </xf>
    <xf numFmtId="41" fontId="6" fillId="0" borderId="16" xfId="9" applyFont="1" applyBorder="1">
      <alignment vertical="center"/>
    </xf>
    <xf numFmtId="0" fontId="6" fillId="0" borderId="16" xfId="7" applyFont="1" applyBorder="1">
      <alignment vertical="center"/>
    </xf>
    <xf numFmtId="0" fontId="6" fillId="0" borderId="13" xfId="7" applyFont="1" applyBorder="1">
      <alignment vertical="center"/>
    </xf>
    <xf numFmtId="0" fontId="6" fillId="5" borderId="1" xfId="7" applyFont="1" applyFill="1" applyBorder="1" applyAlignment="1">
      <alignment horizontal="center" vertical="center"/>
    </xf>
    <xf numFmtId="0" fontId="6" fillId="5" borderId="20" xfId="7" applyFont="1" applyFill="1" applyBorder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41" fontId="7" fillId="5" borderId="18" xfId="9" applyFont="1" applyFill="1" applyBorder="1" applyAlignment="1">
      <alignment horizontal="center" vertical="center"/>
    </xf>
    <xf numFmtId="41" fontId="7" fillId="2" borderId="20" xfId="9" applyFont="1" applyFill="1" applyBorder="1">
      <alignment vertical="center"/>
    </xf>
    <xf numFmtId="41" fontId="6" fillId="0" borderId="14" xfId="9" applyFont="1" applyBorder="1">
      <alignment vertical="center"/>
    </xf>
    <xf numFmtId="41" fontId="6" fillId="0" borderId="17" xfId="9" applyFont="1" applyBorder="1" applyAlignment="1">
      <alignment horizontal="center" vertical="center"/>
    </xf>
    <xf numFmtId="41" fontId="6" fillId="0" borderId="14" xfId="9" applyFont="1" applyFill="1" applyBorder="1">
      <alignment vertical="center"/>
    </xf>
    <xf numFmtId="0" fontId="6" fillId="3" borderId="1" xfId="7" applyFont="1" applyFill="1" applyBorder="1" applyAlignment="1">
      <alignment horizontal="center" vertical="center"/>
    </xf>
    <xf numFmtId="41" fontId="11" fillId="3" borderId="18" xfId="9" applyFont="1" applyFill="1" applyBorder="1" applyAlignment="1">
      <alignment horizontal="center" vertical="center"/>
    </xf>
    <xf numFmtId="0" fontId="10" fillId="3" borderId="20" xfId="7" applyFont="1" applyFill="1" applyBorder="1" applyAlignment="1">
      <alignment horizontal="center" vertical="center"/>
    </xf>
    <xf numFmtId="0" fontId="6" fillId="0" borderId="0" xfId="7" applyFont="1" applyAlignment="1">
      <alignment horizontal="right" vertical="center"/>
    </xf>
    <xf numFmtId="41" fontId="6" fillId="0" borderId="17" xfId="9" applyFont="1" applyBorder="1">
      <alignment vertical="center"/>
    </xf>
    <xf numFmtId="41" fontId="6" fillId="0" borderId="32" xfId="9" applyFont="1" applyBorder="1">
      <alignment vertical="center"/>
    </xf>
    <xf numFmtId="0" fontId="7" fillId="4" borderId="4" xfId="7" applyFont="1" applyFill="1" applyBorder="1" applyAlignment="1">
      <alignment horizontal="center" vertical="center" wrapText="1"/>
    </xf>
    <xf numFmtId="41" fontId="6" fillId="0" borderId="13" xfId="9" applyFont="1" applyBorder="1" applyAlignment="1">
      <alignment horizontal="center" vertical="center"/>
    </xf>
    <xf numFmtId="0" fontId="7" fillId="2" borderId="20" xfId="7" applyFont="1" applyFill="1" applyBorder="1" applyAlignment="1">
      <alignment horizontal="center" vertical="center" wrapText="1"/>
    </xf>
    <xf numFmtId="176" fontId="6" fillId="0" borderId="26" xfId="9" applyNumberFormat="1" applyFont="1" applyBorder="1" applyAlignment="1">
      <alignment horizontal="center" vertical="center"/>
    </xf>
    <xf numFmtId="41" fontId="6" fillId="0" borderId="36" xfId="9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37" xfId="7" applyFont="1" applyBorder="1" applyAlignment="1">
      <alignment horizontal="center" vertical="center"/>
    </xf>
    <xf numFmtId="0" fontId="7" fillId="5" borderId="5" xfId="7" applyFont="1" applyFill="1" applyBorder="1" applyAlignment="1">
      <alignment horizontal="center" vertical="center"/>
    </xf>
    <xf numFmtId="0" fontId="7" fillId="5" borderId="30" xfId="7" applyFont="1" applyFill="1" applyBorder="1" applyAlignment="1">
      <alignment horizontal="center" vertical="center"/>
    </xf>
    <xf numFmtId="0" fontId="7" fillId="5" borderId="19" xfId="7" applyFont="1" applyFill="1" applyBorder="1" applyAlignment="1">
      <alignment horizontal="center" vertical="center"/>
    </xf>
    <xf numFmtId="0" fontId="7" fillId="3" borderId="5" xfId="7" applyFont="1" applyFill="1" applyBorder="1" applyAlignment="1">
      <alignment horizontal="center" vertical="center"/>
    </xf>
    <xf numFmtId="0" fontId="7" fillId="3" borderId="30" xfId="7" applyFont="1" applyFill="1" applyBorder="1" applyAlignment="1">
      <alignment horizontal="center" vertical="center"/>
    </xf>
    <xf numFmtId="0" fontId="7" fillId="3" borderId="19" xfId="7" applyFont="1" applyFill="1" applyBorder="1" applyAlignment="1">
      <alignment horizontal="center" vertical="center"/>
    </xf>
    <xf numFmtId="0" fontId="7" fillId="4" borderId="6" xfId="7" applyFont="1" applyFill="1" applyBorder="1" applyAlignment="1">
      <alignment horizontal="center" vertical="center"/>
    </xf>
    <xf numFmtId="0" fontId="7" fillId="4" borderId="8" xfId="7" applyFont="1" applyFill="1" applyBorder="1" applyAlignment="1">
      <alignment horizontal="center" vertical="center"/>
    </xf>
    <xf numFmtId="0" fontId="7" fillId="4" borderId="9" xfId="7" applyFont="1" applyFill="1" applyBorder="1" applyAlignment="1">
      <alignment horizontal="center" vertical="center"/>
    </xf>
    <xf numFmtId="0" fontId="9" fillId="0" borderId="31" xfId="7" applyFont="1" applyBorder="1" applyAlignment="1">
      <alignment horizontal="left" vertical="center"/>
    </xf>
    <xf numFmtId="0" fontId="9" fillId="0" borderId="2" xfId="7" applyFont="1" applyBorder="1" applyAlignment="1">
      <alignment horizontal="left" vertical="center"/>
    </xf>
    <xf numFmtId="0" fontId="9" fillId="0" borderId="3" xfId="7" applyFont="1" applyBorder="1" applyAlignment="1">
      <alignment horizontal="left" vertical="center"/>
    </xf>
    <xf numFmtId="0" fontId="7" fillId="4" borderId="33" xfId="7" applyFont="1" applyFill="1" applyBorder="1" applyAlignment="1">
      <alignment horizontal="center" vertical="center" wrapText="1"/>
    </xf>
    <xf numFmtId="0" fontId="7" fillId="4" borderId="2" xfId="7" applyFont="1" applyFill="1" applyBorder="1" applyAlignment="1">
      <alignment horizontal="center" vertical="center" wrapText="1"/>
    </xf>
    <xf numFmtId="0" fontId="7" fillId="4" borderId="3" xfId="7" applyFont="1" applyFill="1" applyBorder="1" applyAlignment="1">
      <alignment horizontal="center" vertical="center" wrapText="1"/>
    </xf>
    <xf numFmtId="0" fontId="7" fillId="4" borderId="35" xfId="7" applyFont="1" applyFill="1" applyBorder="1" applyAlignment="1">
      <alignment horizontal="center" vertical="center" wrapText="1"/>
    </xf>
    <xf numFmtId="0" fontId="7" fillId="4" borderId="34" xfId="7" applyFont="1" applyFill="1" applyBorder="1" applyAlignment="1">
      <alignment horizontal="center" vertical="center" wrapText="1"/>
    </xf>
    <xf numFmtId="0" fontId="4" fillId="0" borderId="0" xfId="7" applyFont="1" applyAlignment="1">
      <alignment horizontal="center" vertical="center"/>
    </xf>
    <xf numFmtId="0" fontId="7" fillId="4" borderId="21" xfId="7" applyFont="1" applyFill="1" applyBorder="1" applyAlignment="1">
      <alignment horizontal="center" vertical="center" wrapText="1"/>
    </xf>
    <xf numFmtId="0" fontId="7" fillId="4" borderId="7" xfId="7" applyFont="1" applyFill="1" applyBorder="1" applyAlignment="1">
      <alignment horizontal="center" vertical="center" wrapText="1"/>
    </xf>
    <xf numFmtId="0" fontId="7" fillId="4" borderId="27" xfId="7" applyFont="1" applyFill="1" applyBorder="1" applyAlignment="1">
      <alignment horizontal="center" vertical="center"/>
    </xf>
    <xf numFmtId="0" fontId="7" fillId="4" borderId="22" xfId="7" applyFont="1" applyFill="1" applyBorder="1" applyAlignment="1">
      <alignment horizontal="center" vertical="center" wrapText="1"/>
    </xf>
    <xf numFmtId="0" fontId="7" fillId="4" borderId="24" xfId="7" applyFont="1" applyFill="1" applyBorder="1" applyAlignment="1">
      <alignment horizontal="center" vertical="center" wrapText="1"/>
    </xf>
    <xf numFmtId="0" fontId="7" fillId="4" borderId="28" xfId="7" applyFont="1" applyFill="1" applyBorder="1" applyAlignment="1">
      <alignment horizontal="center" vertical="center"/>
    </xf>
    <xf numFmtId="0" fontId="7" fillId="4" borderId="23" xfId="7" applyFont="1" applyFill="1" applyBorder="1" applyAlignment="1">
      <alignment horizontal="center" vertical="center"/>
    </xf>
    <xf numFmtId="0" fontId="7" fillId="4" borderId="25" xfId="7" applyFont="1" applyFill="1" applyBorder="1" applyAlignment="1">
      <alignment horizontal="center" vertical="center"/>
    </xf>
    <xf numFmtId="0" fontId="7" fillId="4" borderId="29" xfId="7" applyFont="1" applyFill="1" applyBorder="1" applyAlignment="1">
      <alignment horizontal="center" vertical="center"/>
    </xf>
    <xf numFmtId="0" fontId="7" fillId="4" borderId="23" xfId="7" applyFont="1" applyFill="1" applyBorder="1" applyAlignment="1">
      <alignment horizontal="center" vertical="center" wrapText="1"/>
    </xf>
    <xf numFmtId="0" fontId="7" fillId="4" borderId="25" xfId="7" applyFont="1" applyFill="1" applyBorder="1" applyAlignment="1">
      <alignment horizontal="center" vertical="center" wrapText="1"/>
    </xf>
    <xf numFmtId="0" fontId="9" fillId="0" borderId="38" xfId="7" applyFont="1" applyBorder="1" applyAlignment="1">
      <alignment horizontal="left" vertical="center"/>
    </xf>
    <xf numFmtId="0" fontId="6" fillId="0" borderId="39" xfId="7" applyFont="1" applyBorder="1" applyAlignment="1">
      <alignment horizontal="center" vertical="center"/>
    </xf>
    <xf numFmtId="0" fontId="6" fillId="0" borderId="11" xfId="7" applyFont="1" applyBorder="1" applyAlignment="1">
      <alignment horizontal="center" vertical="center"/>
    </xf>
  </cellXfs>
  <cellStyles count="14">
    <cellStyle name="쉼표 [0] 2" xfId="6" xr:uid="{00000000-0005-0000-0000-000001000000}"/>
    <cellStyle name="쉼표 [0] 2 2" xfId="11" xr:uid="{00000000-0005-0000-0000-000001000000}"/>
    <cellStyle name="쉼표 [0] 3" xfId="3" xr:uid="{00000000-0005-0000-0000-000002000000}"/>
    <cellStyle name="쉼표 [0] 3 2" xfId="10" xr:uid="{00000000-0005-0000-0000-000002000000}"/>
    <cellStyle name="쉼표 [0] 4" xfId="8" xr:uid="{A42DECB7-D3A4-4749-9D8E-8A1CAAA83CEA}"/>
    <cellStyle name="쉼표 [0] 4 2" xfId="9" xr:uid="{3084C9CA-9F3D-4C45-A37F-3591418B39BC}"/>
    <cellStyle name="쉼표 [0] 4 2 2" xfId="13" xr:uid="{3084C9CA-9F3D-4C45-A37F-3591418B39BC}"/>
    <cellStyle name="쉼표 [0] 4 3" xfId="12" xr:uid="{A42DECB7-D3A4-4749-9D8E-8A1CAAA83CEA}"/>
    <cellStyle name="표준" xfId="0" builtinId="0"/>
    <cellStyle name="표준 2" xfId="1" xr:uid="{00000000-0005-0000-0000-000004000000}"/>
    <cellStyle name="표준 3" xfId="2" xr:uid="{00000000-0005-0000-0000-000005000000}"/>
    <cellStyle name="표준 3 2" xfId="4" xr:uid="{00000000-0005-0000-0000-000006000000}"/>
    <cellStyle name="표준 4" xfId="5" xr:uid="{00000000-0005-0000-0000-000007000000}"/>
    <cellStyle name="표준 5" xfId="7" xr:uid="{5925533E-E742-46C4-9520-003BA4B12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\&#44221;&#48708;\&#49328;&#52636;&#4459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2\&#44277;&#50976;&#51064;&#49324;&#52509;&#47924;\_2022&#45380;_&#54532;&#47196;&#51229;&#53944;&#48324;%20&#44060;&#48156;&#51088;%20&#53804;&#51077;&#54788;&#54889;%20-%2020220831&#44592;&#514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건비 예산 편성 기준"/>
      <sheetName val="산출기준(파견전산실)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급"/>
      <sheetName val="프로젝트정보"/>
      <sheetName val="프로젝트별_인력투입현황"/>
      <sheetName val="조직인원"/>
      <sheetName val="산인공_한국어"/>
      <sheetName val="Sheet1"/>
    </sheetNames>
    <sheetDataSet>
      <sheetData sheetId="0"/>
      <sheetData sheetId="1">
        <row r="4">
          <cell r="C4" t="str">
            <v>P021</v>
          </cell>
          <cell r="D4" t="str">
            <v>한국콜마 이노엔 MES 구축</v>
          </cell>
        </row>
        <row r="5">
          <cell r="C5" t="str">
            <v>P058</v>
          </cell>
          <cell r="D5" t="str">
            <v>전국민 고용안전망 확대 구축 1차</v>
          </cell>
        </row>
        <row r="6">
          <cell r="C6" t="str">
            <v>P060</v>
          </cell>
          <cell r="D6" t="str">
            <v>안보공 산재예방시스템(ERP) 고도화</v>
          </cell>
        </row>
        <row r="7">
          <cell r="C7" t="str">
            <v>P065</v>
          </cell>
          <cell r="D7" t="str">
            <v>자화전자 SPC &amp; POP 시스템 구축</v>
          </cell>
        </row>
        <row r="8">
          <cell r="C8" t="str">
            <v>P067</v>
          </cell>
          <cell r="D8" t="str">
            <v>임금채권보장 관리 시스템 구축</v>
          </cell>
        </row>
        <row r="9">
          <cell r="C9" t="str">
            <v>P070</v>
          </cell>
          <cell r="D9" t="str">
            <v>홈페이지 개편 및 온라인교육 플랫폼 통합 구축 사업</v>
          </cell>
        </row>
        <row r="10">
          <cell r="C10" t="str">
            <v>P072</v>
          </cell>
          <cell r="D10" t="str">
            <v xml:space="preserve">국립부산과학관 자동차조립공정 시스템 개발 </v>
          </cell>
        </row>
        <row r="11">
          <cell r="C11" t="str">
            <v>P073</v>
          </cell>
          <cell r="D11" t="str">
            <v>풀무원 크러스터사업</v>
          </cell>
        </row>
        <row r="12">
          <cell r="C12" t="str">
            <v>22P001</v>
          </cell>
          <cell r="D12" t="str">
            <v>ITAM 기능 개선 작업(2차)</v>
          </cell>
        </row>
        <row r="13">
          <cell r="C13" t="str">
            <v>22P002</v>
          </cell>
          <cell r="D13" t="str">
            <v>전국민 고용안전망 확대 구축 2차</v>
          </cell>
        </row>
        <row r="14">
          <cell r="C14" t="str">
            <v>22P004</v>
          </cell>
          <cell r="D14" t="str">
            <v>삼성전기 - Mendix 사업(유지보수)</v>
          </cell>
        </row>
        <row r="15">
          <cell r="C15" t="str">
            <v>22P005</v>
          </cell>
          <cell r="D15" t="str">
            <v>2022년 산재예방 정보시스템 유지관리사업</v>
          </cell>
        </row>
        <row r="16">
          <cell r="C16" t="str">
            <v>22P006</v>
          </cell>
          <cell r="D16" t="str">
            <v>자화전자 HV PTC Heater 제조공정시스템 구축 -2차라인</v>
          </cell>
        </row>
        <row r="17">
          <cell r="C17" t="str">
            <v>22P008</v>
          </cell>
          <cell r="D17" t="str">
            <v>ACS 자산화 PoC_개발</v>
          </cell>
        </row>
        <row r="18">
          <cell r="C18" t="str">
            <v>22P009</v>
          </cell>
          <cell r="D18" t="str">
            <v xml:space="preserve">장가항 시스템 Refresh사업 </v>
          </cell>
        </row>
        <row r="19">
          <cell r="C19" t="str">
            <v>22P010</v>
          </cell>
          <cell r="D19" t="str">
            <v>중대재해예방 솔루션 개발</v>
          </cell>
        </row>
        <row r="20">
          <cell r="C20" t="str">
            <v>22P011</v>
          </cell>
          <cell r="D20" t="str">
            <v>프로젝트관리 솔루션 개발</v>
          </cell>
        </row>
        <row r="21">
          <cell r="C21" t="str">
            <v>22P012</v>
          </cell>
          <cell r="D21" t="str">
            <v>삼성바이오 MES 구축</v>
          </cell>
        </row>
        <row r="22">
          <cell r="C22" t="str">
            <v>22P013</v>
          </cell>
          <cell r="D22" t="str">
            <v>SKC Skyme 재구축</v>
          </cell>
        </row>
        <row r="23">
          <cell r="C23" t="str">
            <v>22P015</v>
          </cell>
          <cell r="D23" t="str">
            <v>SKC SKI계열 Smart Permit 및 OCEAN 모바일 구축</v>
          </cell>
        </row>
        <row r="24">
          <cell r="C24" t="str">
            <v>22P016</v>
          </cell>
          <cell r="D24" t="str">
            <v>이수페타시스 스마트팩토리 사업</v>
          </cell>
        </row>
        <row r="25">
          <cell r="C25" t="str">
            <v>22P017</v>
          </cell>
          <cell r="D25" t="str">
            <v>ITSM 과제 개발</v>
          </cell>
        </row>
        <row r="26">
          <cell r="C26" t="str">
            <v>22P018</v>
          </cell>
          <cell r="D26" t="str">
            <v>SK 시그넷</v>
          </cell>
        </row>
        <row r="27">
          <cell r="C27" t="str">
            <v>22P019</v>
          </cell>
          <cell r="D27" t="str">
            <v xml:space="preserve">안보공 MIIS모바일 고도화 </v>
          </cell>
        </row>
        <row r="28">
          <cell r="C28" t="str">
            <v>22P020</v>
          </cell>
          <cell r="D28" t="str">
            <v>헬러만타이툰 MES 구축</v>
          </cell>
        </row>
        <row r="29">
          <cell r="C29" t="str">
            <v>22P021</v>
          </cell>
          <cell r="D29" t="str">
            <v>대동모빌리티 MES 구축</v>
          </cell>
        </row>
        <row r="30">
          <cell r="C30" t="str">
            <v>22P022</v>
          </cell>
          <cell r="D30" t="str">
            <v>차세대 스마트 원전연료 제조운영시스템 통합구축</v>
          </cell>
        </row>
        <row r="31">
          <cell r="C31" t="str">
            <v>22P023</v>
          </cell>
          <cell r="D31" t="str">
            <v>울산 ON 철새 정보제공 및 활용체계 구축</v>
          </cell>
        </row>
        <row r="32">
          <cell r="C32" t="str">
            <v>22P024</v>
          </cell>
          <cell r="D32" t="str">
            <v>근복단 공공데이터 매칭사업</v>
          </cell>
        </row>
        <row r="33">
          <cell r="C33" t="str">
            <v>22P026</v>
          </cell>
          <cell r="D33" t="str">
            <v>국립재난안전연구원 홈페이지 고도화</v>
          </cell>
        </row>
        <row r="34">
          <cell r="C34" t="str">
            <v>22P027</v>
          </cell>
          <cell r="D34" t="str">
            <v>오토에버 사내시스템 외주화</v>
          </cell>
        </row>
        <row r="35">
          <cell r="C35" t="str">
            <v>22P028</v>
          </cell>
          <cell r="D35" t="str">
            <v>대중소 기업데이터 공유형 스마트제조공정(이산공정)</v>
          </cell>
        </row>
        <row r="36">
          <cell r="C36" t="str">
            <v>22P029</v>
          </cell>
          <cell r="D36" t="str">
            <v>안전보건교육포털 기능개선(결제시스템)</v>
          </cell>
        </row>
        <row r="37">
          <cell r="C37" t="str">
            <v>22P030</v>
          </cell>
          <cell r="D37" t="str">
            <v>센서융합형 SPOT 용접부 스마트 품질관리시스템</v>
          </cell>
        </row>
        <row r="38">
          <cell r="C38" t="str">
            <v>22P031</v>
          </cell>
          <cell r="D38" t="str">
            <v>NCS Bank제 정보시스템 구축</v>
          </cell>
        </row>
        <row r="39">
          <cell r="C39" t="str">
            <v>22P032</v>
          </cell>
          <cell r="D39" t="str">
            <v>NCS 홈페이지 개편사업</v>
          </cell>
        </row>
        <row r="40">
          <cell r="C40" t="str">
            <v>22P033</v>
          </cell>
          <cell r="D40" t="str">
            <v>H2S,아스팔트 시료실험 자동화 시스템</v>
          </cell>
        </row>
        <row r="41">
          <cell r="C41" t="str">
            <v>22P034</v>
          </cell>
          <cell r="D41" t="str">
            <v>KSM 생산설비 Recipe 정보 관리 시스템</v>
          </cell>
        </row>
        <row r="42">
          <cell r="C42" t="str">
            <v>22P035</v>
          </cell>
          <cell r="D42" t="str">
            <v>SPC 고도화 및 베트남 출장</v>
          </cell>
        </row>
        <row r="43">
          <cell r="C43" t="str">
            <v>22P036</v>
          </cell>
          <cell r="D43" t="str">
            <v>한국어능력시험 시스템 구축</v>
          </cell>
        </row>
        <row r="44">
          <cell r="C44" t="str">
            <v>Y001</v>
          </cell>
          <cell r="D44" t="str">
            <v>울산대학교병원 유지보수</v>
          </cell>
        </row>
        <row r="45">
          <cell r="C45" t="str">
            <v>Y002</v>
          </cell>
          <cell r="D45" t="str">
            <v>노동보험(사회보험료) 유지보수</v>
          </cell>
        </row>
        <row r="46">
          <cell r="C46" t="str">
            <v>Y003</v>
          </cell>
          <cell r="D46" t="str">
            <v>안전보건공단 통합유지보수 (응용부문)</v>
          </cell>
        </row>
        <row r="47">
          <cell r="C47" t="str">
            <v>Y004</v>
          </cell>
          <cell r="D47" t="str">
            <v>하림 시스템 개선 지원</v>
          </cell>
        </row>
        <row r="48">
          <cell r="C48" t="str">
            <v>Y005</v>
          </cell>
          <cell r="D48" t="str">
            <v>일자리 홈페이지 유지보수</v>
          </cell>
        </row>
        <row r="49">
          <cell r="C49" t="str">
            <v>Y006</v>
          </cell>
          <cell r="D49" t="str">
            <v>감염병 홈페이지 유지보수</v>
          </cell>
        </row>
        <row r="50">
          <cell r="C50" t="str">
            <v>Y007</v>
          </cell>
          <cell r="D50" t="str">
            <v>풀무원 하자보수(무상)</v>
          </cell>
        </row>
        <row r="51">
          <cell r="C51" t="str">
            <v>Z000</v>
          </cell>
          <cell r="D51" t="str">
            <v>영업지원</v>
          </cell>
        </row>
        <row r="52">
          <cell r="C52" t="str">
            <v>Z001</v>
          </cell>
          <cell r="D52" t="str">
            <v>공통지원(디자인+퍼블)</v>
          </cell>
        </row>
        <row r="53">
          <cell r="C53" t="str">
            <v>Z002</v>
          </cell>
          <cell r="D53" t="str">
            <v>로봇사업</v>
          </cell>
        </row>
        <row r="54">
          <cell r="C54" t="str">
            <v>Z003</v>
          </cell>
          <cell r="D54" t="str">
            <v>스마트팩토리 사업</v>
          </cell>
        </row>
        <row r="55">
          <cell r="C55" t="str">
            <v>Z004</v>
          </cell>
          <cell r="D55" t="str">
            <v>OT + IT 사업</v>
          </cell>
        </row>
        <row r="56">
          <cell r="C56" t="str">
            <v>Z005</v>
          </cell>
          <cell r="D56" t="str">
            <v>인력양성교육 - 2기 교육생</v>
          </cell>
        </row>
        <row r="57">
          <cell r="C57" t="str">
            <v>Z006</v>
          </cell>
          <cell r="D57" t="str">
            <v>제안지원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9D89-B30C-4881-B673-B020326E0B12}">
  <dimension ref="B1:S19"/>
  <sheetViews>
    <sheetView tabSelected="1" zoomScale="85" zoomScaleNormal="85" workbookViewId="0">
      <pane ySplit="5" topLeftCell="A6" activePane="bottomLeft" state="frozen"/>
      <selection pane="bottomLeft" activeCell="L14" sqref="L14"/>
    </sheetView>
  </sheetViews>
  <sheetFormatPr defaultRowHeight="17.399999999999999"/>
  <cols>
    <col min="1" max="1" width="1.3984375" style="1" customWidth="1"/>
    <col min="2" max="2" width="4.69921875" style="2" customWidth="1"/>
    <col min="3" max="3" width="8.296875" style="1" customWidth="1"/>
    <col min="4" max="4" width="23.69921875" style="1" customWidth="1"/>
    <col min="5" max="5" width="48.5" style="1" customWidth="1"/>
    <col min="6" max="6" width="9.59765625" style="1" customWidth="1"/>
    <col min="7" max="7" width="14.69921875" style="1" customWidth="1"/>
    <col min="8" max="8" width="20" style="1" customWidth="1"/>
    <col min="9" max="9" width="10.8984375" style="1" customWidth="1"/>
    <col min="10" max="10" width="11.69921875" style="1" customWidth="1"/>
    <col min="11" max="11" width="10.8984375" style="1" customWidth="1"/>
    <col min="12" max="12" width="11.69921875" style="1" customWidth="1"/>
    <col min="13" max="13" width="10.8984375" style="1" customWidth="1"/>
    <col min="14" max="14" width="11.69921875" style="1" customWidth="1"/>
    <col min="15" max="15" width="10.8984375" style="1" customWidth="1"/>
    <col min="16" max="16" width="11.69921875" style="1" customWidth="1"/>
    <col min="17" max="17" width="10.8984375" style="1" customWidth="1"/>
    <col min="18" max="18" width="11.69921875" style="1" customWidth="1"/>
    <col min="19" max="19" width="50.8984375" style="1" customWidth="1"/>
    <col min="20" max="20" width="16.09765625" style="1" customWidth="1"/>
    <col min="21" max="16384" width="8.796875" style="1"/>
  </cols>
  <sheetData>
    <row r="1" spans="2:19" ht="30" customHeight="1">
      <c r="B1" s="54" t="s">
        <v>32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2:19" ht="22.8" customHeight="1" thickBot="1">
      <c r="S2" s="23" t="s">
        <v>7</v>
      </c>
    </row>
    <row r="3" spans="2:19" ht="22.95" customHeight="1">
      <c r="B3" s="55" t="s">
        <v>0</v>
      </c>
      <c r="C3" s="58" t="s">
        <v>1</v>
      </c>
      <c r="D3" s="61" t="s">
        <v>2</v>
      </c>
      <c r="E3" s="61" t="s">
        <v>3</v>
      </c>
      <c r="F3" s="64" t="s">
        <v>11</v>
      </c>
      <c r="G3" s="64" t="s">
        <v>4</v>
      </c>
      <c r="H3" s="64" t="s">
        <v>5</v>
      </c>
      <c r="I3" s="49" t="s">
        <v>12</v>
      </c>
      <c r="J3" s="50"/>
      <c r="K3" s="50"/>
      <c r="L3" s="50"/>
      <c r="M3" s="50"/>
      <c r="N3" s="50"/>
      <c r="O3" s="50"/>
      <c r="P3" s="50"/>
      <c r="Q3" s="50"/>
      <c r="R3" s="51"/>
      <c r="S3" s="43" t="s">
        <v>6</v>
      </c>
    </row>
    <row r="4" spans="2:19" ht="22.95" customHeight="1" thickBot="1">
      <c r="B4" s="56"/>
      <c r="C4" s="59"/>
      <c r="D4" s="62"/>
      <c r="E4" s="62"/>
      <c r="F4" s="65"/>
      <c r="G4" s="65"/>
      <c r="H4" s="65"/>
      <c r="I4" s="52" t="s">
        <v>15</v>
      </c>
      <c r="J4" s="53"/>
      <c r="K4" s="52" t="s">
        <v>16</v>
      </c>
      <c r="L4" s="53"/>
      <c r="M4" s="52" t="s">
        <v>17</v>
      </c>
      <c r="N4" s="53"/>
      <c r="O4" s="52" t="s">
        <v>18</v>
      </c>
      <c r="P4" s="53"/>
      <c r="Q4" s="52" t="s">
        <v>19</v>
      </c>
      <c r="R4" s="53"/>
      <c r="S4" s="44"/>
    </row>
    <row r="5" spans="2:19" ht="22.95" customHeight="1" thickBot="1">
      <c r="B5" s="57"/>
      <c r="C5" s="60"/>
      <c r="D5" s="63"/>
      <c r="E5" s="63"/>
      <c r="F5" s="63"/>
      <c r="G5" s="63"/>
      <c r="H5" s="63"/>
      <c r="I5" s="26" t="s">
        <v>13</v>
      </c>
      <c r="J5" s="28" t="s">
        <v>14</v>
      </c>
      <c r="K5" s="26" t="s">
        <v>13</v>
      </c>
      <c r="L5" s="28" t="s">
        <v>14</v>
      </c>
      <c r="M5" s="26" t="s">
        <v>13</v>
      </c>
      <c r="N5" s="28" t="s">
        <v>14</v>
      </c>
      <c r="O5" s="26" t="s">
        <v>13</v>
      </c>
      <c r="P5" s="28" t="s">
        <v>14</v>
      </c>
      <c r="Q5" s="26" t="s">
        <v>13</v>
      </c>
      <c r="R5" s="28" t="s">
        <v>14</v>
      </c>
      <c r="S5" s="45"/>
    </row>
    <row r="6" spans="2:19" ht="25.2" customHeight="1">
      <c r="B6" s="46" t="s">
        <v>10</v>
      </c>
      <c r="C6" s="66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8"/>
    </row>
    <row r="7" spans="2:19" ht="25.2" customHeight="1">
      <c r="B7" s="14">
        <v>1</v>
      </c>
      <c r="C7" s="36" t="s">
        <v>20</v>
      </c>
      <c r="D7" s="31" t="s">
        <v>23</v>
      </c>
      <c r="E7" s="32" t="s">
        <v>25</v>
      </c>
      <c r="F7" s="17">
        <v>500</v>
      </c>
      <c r="G7" s="31" t="s">
        <v>37</v>
      </c>
      <c r="H7" s="31" t="s">
        <v>26</v>
      </c>
      <c r="I7" s="18">
        <v>200</v>
      </c>
      <c r="J7" s="9">
        <v>150</v>
      </c>
      <c r="K7" s="18"/>
      <c r="L7" s="9"/>
      <c r="M7" s="4">
        <f>I7/3</f>
        <v>66.666666666666671</v>
      </c>
      <c r="N7" s="9">
        <v>50</v>
      </c>
      <c r="O7" s="18">
        <f>M7</f>
        <v>66.666666666666671</v>
      </c>
      <c r="P7" s="9">
        <v>50</v>
      </c>
      <c r="Q7" s="4">
        <f>O7</f>
        <v>66.666666666666671</v>
      </c>
      <c r="R7" s="9">
        <v>50</v>
      </c>
      <c r="S7" s="11" t="s">
        <v>52</v>
      </c>
    </row>
    <row r="8" spans="2:19" ht="25.2" customHeight="1">
      <c r="B8" s="14">
        <v>2</v>
      </c>
      <c r="C8" s="67" t="s">
        <v>20</v>
      </c>
      <c r="D8" s="31" t="s">
        <v>23</v>
      </c>
      <c r="E8" s="32" t="s">
        <v>31</v>
      </c>
      <c r="F8" s="3">
        <v>100</v>
      </c>
      <c r="G8" s="34" t="s">
        <v>39</v>
      </c>
      <c r="H8" s="31" t="s">
        <v>38</v>
      </c>
      <c r="I8" s="18">
        <v>50</v>
      </c>
      <c r="J8" s="9">
        <v>50</v>
      </c>
      <c r="K8" s="4"/>
      <c r="L8" s="5"/>
      <c r="M8" s="4">
        <f>I8/3</f>
        <v>16.666666666666668</v>
      </c>
      <c r="N8" s="5">
        <v>15</v>
      </c>
      <c r="O8" s="4">
        <f>M8</f>
        <v>16.666666666666668</v>
      </c>
      <c r="P8" s="5">
        <v>15</v>
      </c>
      <c r="Q8" s="4">
        <f>O8</f>
        <v>16.666666666666668</v>
      </c>
      <c r="R8" s="5">
        <v>20</v>
      </c>
      <c r="S8" s="11" t="s">
        <v>56</v>
      </c>
    </row>
    <row r="9" spans="2:19" ht="25.2" customHeight="1">
      <c r="B9" s="14">
        <v>3</v>
      </c>
      <c r="C9" s="68" t="s">
        <v>20</v>
      </c>
      <c r="D9" s="31" t="s">
        <v>27</v>
      </c>
      <c r="E9" s="32" t="s">
        <v>49</v>
      </c>
      <c r="F9" s="17">
        <v>200</v>
      </c>
      <c r="G9" s="31" t="s">
        <v>37</v>
      </c>
      <c r="H9" s="31" t="s">
        <v>51</v>
      </c>
      <c r="I9" s="18">
        <f>F9</f>
        <v>200</v>
      </c>
      <c r="J9" s="9">
        <v>100</v>
      </c>
      <c r="K9" s="24">
        <f>I9/4</f>
        <v>50</v>
      </c>
      <c r="L9" s="9">
        <f>J9/4</f>
        <v>25</v>
      </c>
      <c r="M9" s="24">
        <f>K9</f>
        <v>50</v>
      </c>
      <c r="N9" s="9">
        <f>L9</f>
        <v>25</v>
      </c>
      <c r="O9" s="24">
        <f>M9</f>
        <v>50</v>
      </c>
      <c r="P9" s="9">
        <f>N9</f>
        <v>25</v>
      </c>
      <c r="Q9" s="24">
        <f>O9</f>
        <v>50</v>
      </c>
      <c r="R9" s="9">
        <f>P9</f>
        <v>25</v>
      </c>
      <c r="S9" s="10" t="s">
        <v>56</v>
      </c>
    </row>
    <row r="10" spans="2:19" ht="25.2" customHeight="1">
      <c r="B10" s="14">
        <v>4</v>
      </c>
      <c r="C10" s="67" t="s">
        <v>20</v>
      </c>
      <c r="D10" s="31" t="s">
        <v>28</v>
      </c>
      <c r="E10" s="32" t="s">
        <v>29</v>
      </c>
      <c r="F10" s="17">
        <v>300</v>
      </c>
      <c r="G10" s="31" t="s">
        <v>42</v>
      </c>
      <c r="H10" s="31" t="s">
        <v>40</v>
      </c>
      <c r="I10" s="18">
        <f t="shared" ref="I10" si="0">F10</f>
        <v>300</v>
      </c>
      <c r="J10" s="9">
        <v>300</v>
      </c>
      <c r="K10" s="24"/>
      <c r="L10" s="30"/>
      <c r="M10" s="24">
        <f>I10/3</f>
        <v>100</v>
      </c>
      <c r="N10" s="30">
        <v>100</v>
      </c>
      <c r="O10" s="24">
        <f>M10</f>
        <v>100</v>
      </c>
      <c r="P10" s="30">
        <v>100</v>
      </c>
      <c r="Q10" s="24">
        <f>O10</f>
        <v>100</v>
      </c>
      <c r="R10" s="30">
        <v>100</v>
      </c>
      <c r="S10" s="10" t="s">
        <v>53</v>
      </c>
    </row>
    <row r="11" spans="2:19" ht="25.2" customHeight="1">
      <c r="B11" s="14">
        <v>5</v>
      </c>
      <c r="C11" s="67" t="s">
        <v>20</v>
      </c>
      <c r="D11" s="31" t="s">
        <v>23</v>
      </c>
      <c r="E11" s="33" t="s">
        <v>33</v>
      </c>
      <c r="F11" s="3">
        <v>600</v>
      </c>
      <c r="G11" s="34" t="s">
        <v>42</v>
      </c>
      <c r="H11" s="31" t="s">
        <v>24</v>
      </c>
      <c r="I11" s="18">
        <v>200</v>
      </c>
      <c r="J11" s="9">
        <v>200</v>
      </c>
      <c r="K11" s="4"/>
      <c r="L11" s="5"/>
      <c r="M11" s="29">
        <f>I11/5</f>
        <v>40</v>
      </c>
      <c r="N11" s="5">
        <v>50</v>
      </c>
      <c r="O11" s="29">
        <f>M11</f>
        <v>40</v>
      </c>
      <c r="P11" s="5">
        <f>150/2</f>
        <v>75</v>
      </c>
      <c r="Q11" s="29">
        <f>M11</f>
        <v>40</v>
      </c>
      <c r="R11" s="5">
        <f>P11</f>
        <v>75</v>
      </c>
      <c r="S11" s="11" t="s">
        <v>55</v>
      </c>
    </row>
    <row r="12" spans="2:19" ht="25.2" customHeight="1">
      <c r="B12" s="14">
        <v>6</v>
      </c>
      <c r="C12" s="8" t="s">
        <v>20</v>
      </c>
      <c r="D12" s="31" t="s">
        <v>34</v>
      </c>
      <c r="E12" s="32" t="s">
        <v>36</v>
      </c>
      <c r="F12" s="17">
        <v>600</v>
      </c>
      <c r="G12" s="31" t="s">
        <v>58</v>
      </c>
      <c r="H12" s="31" t="s">
        <v>41</v>
      </c>
      <c r="I12" s="18">
        <v>200</v>
      </c>
      <c r="J12" s="9">
        <v>200</v>
      </c>
      <c r="K12" s="4"/>
      <c r="L12" s="5"/>
      <c r="M12" s="29">
        <f>I12/5</f>
        <v>40</v>
      </c>
      <c r="N12" s="5">
        <v>50</v>
      </c>
      <c r="O12" s="29">
        <f>M12</f>
        <v>40</v>
      </c>
      <c r="P12" s="5">
        <f>150/2</f>
        <v>75</v>
      </c>
      <c r="Q12" s="29">
        <f>M12</f>
        <v>40</v>
      </c>
      <c r="R12" s="5">
        <f>P12</f>
        <v>75</v>
      </c>
      <c r="S12" s="11" t="s">
        <v>54</v>
      </c>
    </row>
    <row r="13" spans="2:19" ht="25.2" customHeight="1">
      <c r="B13" s="14">
        <v>7</v>
      </c>
      <c r="C13" s="68" t="s">
        <v>20</v>
      </c>
      <c r="D13" s="31" t="s">
        <v>23</v>
      </c>
      <c r="E13" s="32" t="s">
        <v>50</v>
      </c>
      <c r="F13" s="17">
        <v>200</v>
      </c>
      <c r="G13" s="31" t="s">
        <v>46</v>
      </c>
      <c r="H13" s="31" t="s">
        <v>47</v>
      </c>
      <c r="I13" s="18">
        <f>F13</f>
        <v>200</v>
      </c>
      <c r="J13" s="9">
        <v>100</v>
      </c>
      <c r="K13" s="24"/>
      <c r="L13" s="9"/>
      <c r="M13" s="24">
        <f>I13/3</f>
        <v>66.666666666666671</v>
      </c>
      <c r="N13" s="9">
        <f>J13/3</f>
        <v>33.333333333333336</v>
      </c>
      <c r="O13" s="4">
        <f>M13</f>
        <v>66.666666666666671</v>
      </c>
      <c r="P13" s="9">
        <f>N13</f>
        <v>33.333333333333336</v>
      </c>
      <c r="Q13" s="4">
        <f>O13</f>
        <v>66.666666666666671</v>
      </c>
      <c r="R13" s="9">
        <f>P13</f>
        <v>33.333333333333336</v>
      </c>
      <c r="S13" s="10" t="s">
        <v>56</v>
      </c>
    </row>
    <row r="14" spans="2:19" ht="25.2" customHeight="1">
      <c r="B14" s="14">
        <v>8</v>
      </c>
      <c r="C14" s="68" t="s">
        <v>20</v>
      </c>
      <c r="D14" s="31" t="s">
        <v>23</v>
      </c>
      <c r="E14" s="32" t="s">
        <v>35</v>
      </c>
      <c r="F14" s="17">
        <v>1500</v>
      </c>
      <c r="G14" s="31" t="s">
        <v>21</v>
      </c>
      <c r="H14" s="31" t="s">
        <v>43</v>
      </c>
      <c r="I14" s="18">
        <v>50</v>
      </c>
      <c r="J14" s="9">
        <v>50</v>
      </c>
      <c r="K14" s="4"/>
      <c r="L14" s="5"/>
      <c r="M14" s="4"/>
      <c r="N14" s="5"/>
      <c r="O14" s="4"/>
      <c r="P14" s="5"/>
      <c r="Q14" s="4">
        <v>50</v>
      </c>
      <c r="R14" s="5">
        <v>50</v>
      </c>
      <c r="S14" s="11" t="s">
        <v>57</v>
      </c>
    </row>
    <row r="15" spans="2:19" ht="25.2" customHeight="1">
      <c r="B15" s="14">
        <v>9</v>
      </c>
      <c r="C15" s="68" t="s">
        <v>20</v>
      </c>
      <c r="D15" s="31" t="s">
        <v>23</v>
      </c>
      <c r="E15" s="32" t="s">
        <v>59</v>
      </c>
      <c r="F15" s="17">
        <v>1500</v>
      </c>
      <c r="G15" s="31" t="s">
        <v>44</v>
      </c>
      <c r="H15" s="31" t="s">
        <v>45</v>
      </c>
      <c r="I15" s="18">
        <v>50</v>
      </c>
      <c r="J15" s="9">
        <v>50</v>
      </c>
      <c r="K15" s="24"/>
      <c r="L15" s="9"/>
      <c r="M15" s="24"/>
      <c r="N15" s="9"/>
      <c r="O15" s="24"/>
      <c r="P15" s="9"/>
      <c r="Q15" s="24">
        <v>50</v>
      </c>
      <c r="R15" s="9">
        <v>50</v>
      </c>
      <c r="S15" s="11" t="s">
        <v>57</v>
      </c>
    </row>
    <row r="16" spans="2:19" ht="25.2" customHeight="1">
      <c r="B16" s="14">
        <v>10</v>
      </c>
      <c r="C16" s="68" t="s">
        <v>20</v>
      </c>
      <c r="D16" s="34" t="s">
        <v>34</v>
      </c>
      <c r="E16" s="35" t="s">
        <v>48</v>
      </c>
      <c r="F16" s="3">
        <v>200</v>
      </c>
      <c r="G16" s="31" t="s">
        <v>22</v>
      </c>
      <c r="H16" s="31" t="s">
        <v>30</v>
      </c>
      <c r="I16" s="18">
        <v>50</v>
      </c>
      <c r="J16" s="5">
        <v>50</v>
      </c>
      <c r="K16" s="24"/>
      <c r="L16" s="30"/>
      <c r="M16" s="24"/>
      <c r="N16" s="30"/>
      <c r="O16" s="24"/>
      <c r="P16" s="30"/>
      <c r="Q16" s="24">
        <v>50</v>
      </c>
      <c r="R16" s="30">
        <v>50</v>
      </c>
      <c r="S16" s="10"/>
    </row>
    <row r="17" spans="2:19" ht="25.2" customHeight="1" thickBot="1">
      <c r="B17" s="14"/>
      <c r="C17" s="6"/>
      <c r="D17" s="8"/>
      <c r="E17" s="7"/>
      <c r="F17" s="19"/>
      <c r="G17" s="8"/>
      <c r="H17" s="8"/>
      <c r="I17" s="4">
        <f t="shared" ref="I17" si="1">SUM(K17,M17,O17,Q17)</f>
        <v>0</v>
      </c>
      <c r="J17" s="27">
        <f t="shared" ref="J17" si="2">SUM(L17,N17,P17,R17)</f>
        <v>0</v>
      </c>
      <c r="K17" s="18"/>
      <c r="L17" s="25"/>
      <c r="M17" s="18"/>
      <c r="N17" s="25"/>
      <c r="O17" s="18"/>
      <c r="P17" s="25"/>
      <c r="Q17" s="18"/>
      <c r="R17" s="25"/>
      <c r="S17" s="10"/>
    </row>
    <row r="18" spans="2:19" ht="25.2" customHeight="1" thickBot="1">
      <c r="B18" s="37" t="s">
        <v>8</v>
      </c>
      <c r="C18" s="38"/>
      <c r="D18" s="38"/>
      <c r="E18" s="39"/>
      <c r="F18" s="15">
        <f>SUM(F7:F17)</f>
        <v>5700</v>
      </c>
      <c r="G18" s="12"/>
      <c r="H18" s="12"/>
      <c r="I18" s="15">
        <f>SUM(I7:I17)</f>
        <v>1500</v>
      </c>
      <c r="J18" s="16">
        <f>SUM(J7:J17)</f>
        <v>1250</v>
      </c>
      <c r="K18" s="15">
        <f>SUM(K7:K17)</f>
        <v>50</v>
      </c>
      <c r="L18" s="16">
        <f>SUM(L7:L17)</f>
        <v>25</v>
      </c>
      <c r="M18" s="15">
        <f>SUM(M7:M17)</f>
        <v>380.00000000000006</v>
      </c>
      <c r="N18" s="16">
        <f>SUM(N7:N17)</f>
        <v>323.33333333333331</v>
      </c>
      <c r="O18" s="15">
        <f>SUM(O7:O17)</f>
        <v>380.00000000000006</v>
      </c>
      <c r="P18" s="16">
        <f>SUM(P7:P17)</f>
        <v>373.33333333333331</v>
      </c>
      <c r="Q18" s="15">
        <f>SUM(Q7:Q17)</f>
        <v>530</v>
      </c>
      <c r="R18" s="16">
        <f>SUM(R7:R17)</f>
        <v>528.33333333333326</v>
      </c>
      <c r="S18" s="13"/>
    </row>
    <row r="19" spans="2:19" ht="25.2" customHeight="1" thickBot="1">
      <c r="B19" s="40" t="s">
        <v>9</v>
      </c>
      <c r="C19" s="41"/>
      <c r="D19" s="41"/>
      <c r="E19" s="42"/>
      <c r="F19" s="21">
        <f>F18</f>
        <v>5700</v>
      </c>
      <c r="G19" s="20"/>
      <c r="H19" s="20"/>
      <c r="I19" s="21">
        <f>I18</f>
        <v>1500</v>
      </c>
      <c r="J19" s="16">
        <f>SUM(J18)</f>
        <v>1250</v>
      </c>
      <c r="K19" s="21">
        <f t="shared" ref="K19:R19" si="3">K18</f>
        <v>50</v>
      </c>
      <c r="L19" s="16">
        <f t="shared" si="3"/>
        <v>25</v>
      </c>
      <c r="M19" s="21">
        <f t="shared" si="3"/>
        <v>380.00000000000006</v>
      </c>
      <c r="N19" s="16">
        <f t="shared" si="3"/>
        <v>323.33333333333331</v>
      </c>
      <c r="O19" s="21">
        <f t="shared" si="3"/>
        <v>380.00000000000006</v>
      </c>
      <c r="P19" s="16">
        <f t="shared" si="3"/>
        <v>373.33333333333331</v>
      </c>
      <c r="Q19" s="21">
        <f t="shared" si="3"/>
        <v>530</v>
      </c>
      <c r="R19" s="16">
        <f t="shared" si="3"/>
        <v>528.33333333333326</v>
      </c>
      <c r="S19" s="22"/>
    </row>
  </sheetData>
  <mergeCells count="18">
    <mergeCell ref="B1:S1"/>
    <mergeCell ref="B3:B5"/>
    <mergeCell ref="C3:C5"/>
    <mergeCell ref="D3:D5"/>
    <mergeCell ref="E3:E5"/>
    <mergeCell ref="F3:F5"/>
    <mergeCell ref="G3:G5"/>
    <mergeCell ref="H3:H5"/>
    <mergeCell ref="B18:E18"/>
    <mergeCell ref="B19:E19"/>
    <mergeCell ref="S3:S5"/>
    <mergeCell ref="B6:S6"/>
    <mergeCell ref="I3:R3"/>
    <mergeCell ref="I4:J4"/>
    <mergeCell ref="K4:L4"/>
    <mergeCell ref="M4:N4"/>
    <mergeCell ref="O4:P4"/>
    <mergeCell ref="Q4:R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26년도 계획_김태영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HCNC</dc:creator>
  <cp:lastModifiedBy>USER</cp:lastModifiedBy>
  <cp:lastPrinted>2025-11-10T01:49:16Z</cp:lastPrinted>
  <dcterms:created xsi:type="dcterms:W3CDTF">2025-10-29T09:08:26Z</dcterms:created>
  <dcterms:modified xsi:type="dcterms:W3CDTF">2026-02-04T03:26:15Z</dcterms:modified>
</cp:coreProperties>
</file>