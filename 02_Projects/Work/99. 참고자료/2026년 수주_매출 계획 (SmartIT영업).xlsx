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07CA6B-879C-4B3C-AEA2-4FB954F9E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년도 계획_김태영" sheetId="11" r:id="rId1"/>
  </sheets>
  <externalReferences>
    <externalReference r:id="rId2"/>
    <externalReference r:id="rId3"/>
  </externalReferences>
  <definedNames>
    <definedName name="B">'[1]산출기준(파견전산실)'!#REF!</definedName>
    <definedName name="CD">#REF!</definedName>
    <definedName name="D">'[1]산출기준(파견전산실)'!#REF!</definedName>
    <definedName name="ㄹ">'[1]산출기준(파견전산실)'!#REF!</definedName>
    <definedName name="프로젝트명">[2]프로젝트정보!$D$4:$D$57</definedName>
    <definedName name="프로젝트인력계획">#REF!</definedName>
    <definedName name="프로젝트코드">[2]프로젝트정보!$C$4:$C$57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1" l="1"/>
  <c r="N9" i="11" s="1"/>
  <c r="P9" i="11" s="1"/>
  <c r="R9" i="11" s="1"/>
  <c r="N13" i="11"/>
  <c r="P13" i="11" s="1"/>
  <c r="R13" i="11" s="1"/>
  <c r="M12" i="11"/>
  <c r="Q12" i="11" s="1"/>
  <c r="P12" i="11"/>
  <c r="R12" i="11" s="1"/>
  <c r="P11" i="11"/>
  <c r="R11" i="11" s="1"/>
  <c r="M11" i="11"/>
  <c r="Q11" i="11" s="1"/>
  <c r="M8" i="11"/>
  <c r="O8" i="11" s="1"/>
  <c r="Q8" i="11" s="1"/>
  <c r="M7" i="11"/>
  <c r="O7" i="11" s="1"/>
  <c r="Q7" i="11" s="1"/>
  <c r="O12" i="11" l="1"/>
  <c r="O11" i="11"/>
  <c r="I10" i="11" l="1"/>
  <c r="M10" i="11" s="1"/>
  <c r="O10" i="11" s="1"/>
  <c r="Q10" i="11" s="1"/>
  <c r="I13" i="11"/>
  <c r="M13" i="11" s="1"/>
  <c r="O13" i="11" s="1"/>
  <c r="Q13" i="11" s="1"/>
  <c r="I9" i="11"/>
  <c r="K9" i="11" s="1"/>
  <c r="M9" i="11" s="1"/>
  <c r="O9" i="11" s="1"/>
  <c r="Q9" i="11" s="1"/>
  <c r="F18" i="11" l="1"/>
  <c r="F19" i="11" s="1"/>
  <c r="L18" i="11" l="1"/>
  <c r="L19" i="11" s="1"/>
  <c r="R18" i="11"/>
  <c r="R19" i="11" s="1"/>
  <c r="K18" i="11"/>
  <c r="K19" i="11" s="1"/>
  <c r="N18" i="11"/>
  <c r="N19" i="11" s="1"/>
  <c r="P18" i="11"/>
  <c r="P19" i="11" s="1"/>
  <c r="M18" i="11"/>
  <c r="M19" i="11" s="1"/>
  <c r="O18" i="11"/>
  <c r="O19" i="11" s="1"/>
  <c r="Q18" i="11"/>
  <c r="Q19" i="11" s="1"/>
  <c r="J17" i="11"/>
  <c r="I17" i="11"/>
  <c r="J18" i="11" l="1"/>
  <c r="J19" i="11" s="1"/>
  <c r="I18" i="11"/>
  <c r="I19" i="11" s="1"/>
</calcChain>
</file>

<file path=xl/sharedStrings.xml><?xml version="1.0" encoding="utf-8"?>
<sst xmlns="http://schemas.openxmlformats.org/spreadsheetml/2006/main" count="88" uniqueCount="60">
  <si>
    <t>2026년 수주/매출 계획 (SmartIT영업)</t>
  </si>
  <si>
    <t>(Update 2026.02.03, 단위 : 백만원)</t>
    <phoneticPr fontId="2" type="noConversion"/>
  </si>
  <si>
    <t>NO</t>
    <phoneticPr fontId="2" type="noConversion"/>
  </si>
  <si>
    <t>영업 
담당자</t>
    <phoneticPr fontId="2" type="noConversion"/>
  </si>
  <si>
    <t>고객사</t>
    <phoneticPr fontId="2" type="noConversion"/>
  </si>
  <si>
    <t>프로젝트명</t>
    <phoneticPr fontId="2" type="noConversion"/>
  </si>
  <si>
    <t>수주규모
(전체)</t>
    <phoneticPr fontId="2" type="noConversion"/>
  </si>
  <si>
    <t>예상
수주일자</t>
    <phoneticPr fontId="2" type="noConversion"/>
  </si>
  <si>
    <t>프로젝트
 기간</t>
    <phoneticPr fontId="2" type="noConversion"/>
  </si>
  <si>
    <t>2026년 매출</t>
    <phoneticPr fontId="2" type="noConversion"/>
  </si>
  <si>
    <t>투입 인력(예상 포함)</t>
    <phoneticPr fontId="8" type="noConversion"/>
  </si>
  <si>
    <t>합계</t>
    <phoneticPr fontId="2" type="noConversion"/>
  </si>
  <si>
    <t>1사분기</t>
    <phoneticPr fontId="2" type="noConversion"/>
  </si>
  <si>
    <t>2사분기</t>
    <phoneticPr fontId="2" type="noConversion"/>
  </si>
  <si>
    <t>3사분기</t>
    <phoneticPr fontId="2" type="noConversion"/>
  </si>
  <si>
    <t>4사분기</t>
    <phoneticPr fontId="2" type="noConversion"/>
  </si>
  <si>
    <t>매출액</t>
    <phoneticPr fontId="2" type="noConversion"/>
  </si>
  <si>
    <t>매출이익</t>
    <phoneticPr fontId="2" type="noConversion"/>
  </si>
  <si>
    <t xml:space="preserve"> 수주확도 - 90% 이하</t>
    <phoneticPr fontId="8" type="noConversion"/>
  </si>
  <si>
    <t>김태영</t>
    <phoneticPr fontId="2" type="noConversion"/>
  </si>
  <si>
    <t>방위사업청</t>
    <phoneticPr fontId="8" type="noConversion"/>
  </si>
  <si>
    <t>해군 교전급모델 빌드 II 사업</t>
    <phoneticPr fontId="8" type="noConversion"/>
  </si>
  <si>
    <t>2026. 04</t>
    <phoneticPr fontId="8" type="noConversion"/>
  </si>
  <si>
    <t>26.04~28.12</t>
    <phoneticPr fontId="8" type="noConversion"/>
  </si>
  <si>
    <t xml:space="preserve">인력 3명 </t>
    <phoneticPr fontId="2" type="noConversion"/>
  </si>
  <si>
    <t>해군 교전급모델 빌드 I 사업 유지보수</t>
    <phoneticPr fontId="8" type="noConversion"/>
  </si>
  <si>
    <t>2026. 04</t>
    <phoneticPr fontId="2" type="noConversion"/>
  </si>
  <si>
    <t>26.04~27.03</t>
    <phoneticPr fontId="2" type="noConversion"/>
  </si>
  <si>
    <t>인력 1명</t>
    <phoneticPr fontId="2" type="noConversion"/>
  </si>
  <si>
    <t>한국국방연구원</t>
    <phoneticPr fontId="8" type="noConversion"/>
  </si>
  <si>
    <t xml:space="preserve">국방 유지보수 </t>
    <phoneticPr fontId="8" type="noConversion"/>
  </si>
  <si>
    <t>26.04~27.03</t>
    <phoneticPr fontId="8" type="noConversion"/>
  </si>
  <si>
    <t>육군본부</t>
    <phoneticPr fontId="8" type="noConversion"/>
  </si>
  <si>
    <t>육군교육용상용드론구매사업</t>
    <phoneticPr fontId="8" type="noConversion"/>
  </si>
  <si>
    <t>2026. 05</t>
    <phoneticPr fontId="8" type="noConversion"/>
  </si>
  <si>
    <t>26.08~26.12</t>
    <phoneticPr fontId="2" type="noConversion"/>
  </si>
  <si>
    <t>사업 참여 확정 후 결정</t>
    <phoneticPr fontId="2" type="noConversion"/>
  </si>
  <si>
    <t>정보작전모의모델</t>
    <phoneticPr fontId="8" type="noConversion"/>
  </si>
  <si>
    <t>26.12~30.13</t>
  </si>
  <si>
    <t>인력 3명</t>
    <phoneticPr fontId="2" type="noConversion"/>
  </si>
  <si>
    <t>공군본부</t>
    <phoneticPr fontId="8" type="noConversion"/>
  </si>
  <si>
    <t>공군 자원분석모델</t>
    <phoneticPr fontId="2" type="noConversion"/>
  </si>
  <si>
    <t>2026. 05</t>
    <phoneticPr fontId="2" type="noConversion"/>
  </si>
  <si>
    <t>26.06~29.11</t>
    <phoneticPr fontId="2" type="noConversion"/>
  </si>
  <si>
    <t>인력 3명</t>
  </si>
  <si>
    <t xml:space="preserve">군 연구과제 </t>
    <phoneticPr fontId="8" type="noConversion"/>
  </si>
  <si>
    <t>2026 09</t>
    <phoneticPr fontId="8" type="noConversion"/>
  </si>
  <si>
    <t>26.06~28.03</t>
    <phoneticPr fontId="8" type="noConversion"/>
  </si>
  <si>
    <t>합동전장관리지휘체계</t>
    <phoneticPr fontId="8" type="noConversion"/>
  </si>
  <si>
    <t>2026. 10</t>
    <phoneticPr fontId="8" type="noConversion"/>
  </si>
  <si>
    <t>26.12~29.12</t>
    <phoneticPr fontId="8" type="noConversion"/>
  </si>
  <si>
    <t>인력 1명(2027년부터 3명)</t>
    <phoneticPr fontId="2" type="noConversion"/>
  </si>
  <si>
    <t>공군 전장관리체계 경미한 성능개량</t>
    <phoneticPr fontId="8" type="noConversion"/>
  </si>
  <si>
    <t>2026. 10</t>
    <phoneticPr fontId="2" type="noConversion"/>
  </si>
  <si>
    <t>26.12~29.12</t>
    <phoneticPr fontId="2" type="noConversion"/>
  </si>
  <si>
    <t xml:space="preserve">82항공정비창 </t>
    <phoneticPr fontId="8" type="noConversion"/>
  </si>
  <si>
    <t>2026. 12</t>
    <phoneticPr fontId="8" type="noConversion"/>
  </si>
  <si>
    <t>26.01~26.12</t>
    <phoneticPr fontId="8" type="noConversion"/>
  </si>
  <si>
    <t>소 계</t>
    <phoneticPr fontId="8" type="noConversion"/>
  </si>
  <si>
    <t>합 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</si>
</sst>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_-;\-* #,##0_-;_-* &quot;-&quot;??_-;_-@_-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4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6" fillId="0" borderId="0" xfId="7" applyFont="1">
      <alignment vertical="center"/>
    </xf>
    <xf numFmtId="0" fontId="6" fillId="0" borderId="0" xfId="7" applyFont="1" applyAlignment="1">
      <alignment horizontal="center" vertical="center"/>
    </xf>
    <xf numFmtId="41" fontId="6" fillId="0" borderId="11" xfId="9" applyFont="1" applyBorder="1">
      <alignment vertical="center"/>
    </xf>
    <xf numFmtId="41" fontId="6" fillId="0" borderId="26" xfId="9" applyFont="1" applyBorder="1" applyAlignment="1">
      <alignment horizontal="center" vertical="center"/>
    </xf>
    <xf numFmtId="41" fontId="6" fillId="0" borderId="13" xfId="9" applyFont="1" applyBorder="1">
      <alignment vertical="center"/>
    </xf>
    <xf numFmtId="0" fontId="6" fillId="0" borderId="15" xfId="7" applyFont="1" applyBorder="1" applyAlignment="1">
      <alignment horizontal="center" vertical="center"/>
    </xf>
    <xf numFmtId="0" fontId="6" fillId="0" borderId="14" xfId="7" applyFont="1" applyBorder="1">
      <alignment vertical="center"/>
    </xf>
    <xf numFmtId="0" fontId="6" fillId="0" borderId="14" xfId="7" applyFont="1" applyBorder="1" applyAlignment="1">
      <alignment horizontal="center" vertical="center"/>
    </xf>
    <xf numFmtId="41" fontId="6" fillId="0" borderId="16" xfId="9" applyFont="1" applyBorder="1">
      <alignment vertical="center"/>
    </xf>
    <xf numFmtId="0" fontId="6" fillId="0" borderId="16" xfId="7" applyFont="1" applyBorder="1">
      <alignment vertical="center"/>
    </xf>
    <xf numFmtId="0" fontId="6" fillId="0" borderId="13" xfId="7" applyFont="1" applyBorder="1">
      <alignment vertical="center"/>
    </xf>
    <xf numFmtId="0" fontId="6" fillId="5" borderId="1" xfId="7" applyFont="1" applyFill="1" applyBorder="1" applyAlignment="1">
      <alignment horizontal="center" vertical="center"/>
    </xf>
    <xf numFmtId="0" fontId="6" fillId="5" borderId="20" xfId="7" applyFont="1" applyFill="1" applyBorder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41" fontId="7" fillId="5" borderId="18" xfId="9" applyFont="1" applyFill="1" applyBorder="1" applyAlignment="1">
      <alignment horizontal="center" vertical="center"/>
    </xf>
    <xf numFmtId="41" fontId="7" fillId="2" borderId="20" xfId="9" applyFont="1" applyFill="1" applyBorder="1">
      <alignment vertical="center"/>
    </xf>
    <xf numFmtId="41" fontId="6" fillId="0" borderId="14" xfId="9" applyFont="1" applyBorder="1">
      <alignment vertical="center"/>
    </xf>
    <xf numFmtId="41" fontId="6" fillId="0" borderId="17" xfId="9" applyFont="1" applyBorder="1" applyAlignment="1">
      <alignment horizontal="center" vertical="center"/>
    </xf>
    <xf numFmtId="41" fontId="6" fillId="0" borderId="14" xfId="9" applyFont="1" applyFill="1" applyBorder="1">
      <alignment vertical="center"/>
    </xf>
    <xf numFmtId="0" fontId="6" fillId="3" borderId="1" xfId="7" applyFont="1" applyFill="1" applyBorder="1" applyAlignment="1">
      <alignment horizontal="center" vertical="center"/>
    </xf>
    <xf numFmtId="41" fontId="11" fillId="3" borderId="18" xfId="9" applyFont="1" applyFill="1" applyBorder="1" applyAlignment="1">
      <alignment horizontal="center" vertical="center"/>
    </xf>
    <xf numFmtId="0" fontId="10" fillId="3" borderId="20" xfId="7" applyFont="1" applyFill="1" applyBorder="1" applyAlignment="1">
      <alignment horizontal="center" vertical="center"/>
    </xf>
    <xf numFmtId="0" fontId="6" fillId="0" borderId="0" xfId="7" applyFont="1" applyAlignment="1">
      <alignment horizontal="right" vertical="center"/>
    </xf>
    <xf numFmtId="41" fontId="6" fillId="0" borderId="17" xfId="9" applyFont="1" applyBorder="1">
      <alignment vertical="center"/>
    </xf>
    <xf numFmtId="41" fontId="6" fillId="0" borderId="32" xfId="9" applyFont="1" applyBorder="1">
      <alignment vertical="center"/>
    </xf>
    <xf numFmtId="0" fontId="7" fillId="4" borderId="4" xfId="7" applyFont="1" applyFill="1" applyBorder="1" applyAlignment="1">
      <alignment horizontal="center" vertical="center" wrapText="1"/>
    </xf>
    <xf numFmtId="41" fontId="6" fillId="0" borderId="13" xfId="9" applyFont="1" applyBorder="1" applyAlignment="1">
      <alignment horizontal="center" vertical="center"/>
    </xf>
    <xf numFmtId="0" fontId="7" fillId="2" borderId="20" xfId="7" applyFont="1" applyFill="1" applyBorder="1" applyAlignment="1">
      <alignment horizontal="center" vertical="center" wrapText="1"/>
    </xf>
    <xf numFmtId="176" fontId="6" fillId="0" borderId="26" xfId="9" applyNumberFormat="1" applyFont="1" applyBorder="1" applyAlignment="1">
      <alignment horizontal="center" vertical="center"/>
    </xf>
    <xf numFmtId="41" fontId="6" fillId="0" borderId="36" xfId="9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37" xfId="7" applyFont="1" applyBorder="1" applyAlignment="1">
      <alignment horizontal="center" vertical="center"/>
    </xf>
    <xf numFmtId="0" fontId="6" fillId="0" borderId="39" xfId="7" applyFont="1" applyBorder="1" applyAlignment="1">
      <alignment horizontal="center" vertical="center"/>
    </xf>
    <xf numFmtId="0" fontId="6" fillId="0" borderId="11" xfId="7" applyFont="1" applyBorder="1" applyAlignment="1">
      <alignment horizontal="center" vertical="center"/>
    </xf>
    <xf numFmtId="0" fontId="4" fillId="0" borderId="0" xfId="7" applyFont="1" applyAlignment="1">
      <alignment horizontal="center" vertical="center"/>
    </xf>
    <xf numFmtId="0" fontId="7" fillId="4" borderId="21" xfId="7" applyFont="1" applyFill="1" applyBorder="1" applyAlignment="1">
      <alignment horizontal="center" vertical="center" wrapText="1"/>
    </xf>
    <xf numFmtId="0" fontId="7" fillId="4" borderId="7" xfId="7" applyFont="1" applyFill="1" applyBorder="1" applyAlignment="1">
      <alignment horizontal="center" vertical="center" wrapText="1"/>
    </xf>
    <xf numFmtId="0" fontId="7" fillId="4" borderId="27" xfId="7" applyFont="1" applyFill="1" applyBorder="1" applyAlignment="1">
      <alignment horizontal="center" vertical="center"/>
    </xf>
    <xf numFmtId="0" fontId="7" fillId="4" borderId="22" xfId="7" applyFont="1" applyFill="1" applyBorder="1" applyAlignment="1">
      <alignment horizontal="center" vertical="center" wrapText="1"/>
    </xf>
    <xf numFmtId="0" fontId="7" fillId="4" borderId="24" xfId="7" applyFont="1" applyFill="1" applyBorder="1" applyAlignment="1">
      <alignment horizontal="center" vertical="center" wrapText="1"/>
    </xf>
    <xf numFmtId="0" fontId="7" fillId="4" borderId="28" xfId="7" applyFont="1" applyFill="1" applyBorder="1" applyAlignment="1">
      <alignment horizontal="center" vertical="center"/>
    </xf>
    <xf numFmtId="0" fontId="7" fillId="4" borderId="23" xfId="7" applyFont="1" applyFill="1" applyBorder="1" applyAlignment="1">
      <alignment horizontal="center" vertical="center"/>
    </xf>
    <xf numFmtId="0" fontId="7" fillId="4" borderId="25" xfId="7" applyFont="1" applyFill="1" applyBorder="1" applyAlignment="1">
      <alignment horizontal="center" vertical="center"/>
    </xf>
    <xf numFmtId="0" fontId="7" fillId="4" borderId="29" xfId="7" applyFont="1" applyFill="1" applyBorder="1" applyAlignment="1">
      <alignment horizontal="center" vertical="center"/>
    </xf>
    <xf numFmtId="0" fontId="7" fillId="4" borderId="23" xfId="7" applyFont="1" applyFill="1" applyBorder="1" applyAlignment="1">
      <alignment horizontal="center" vertical="center" wrapText="1"/>
    </xf>
    <xf numFmtId="0" fontId="7" fillId="4" borderId="25" xfId="7" applyFont="1" applyFill="1" applyBorder="1" applyAlignment="1">
      <alignment horizontal="center" vertical="center" wrapText="1"/>
    </xf>
    <xf numFmtId="0" fontId="7" fillId="5" borderId="5" xfId="7" applyFont="1" applyFill="1" applyBorder="1" applyAlignment="1">
      <alignment horizontal="center" vertical="center"/>
    </xf>
    <xf numFmtId="0" fontId="7" fillId="5" borderId="30" xfId="7" applyFont="1" applyFill="1" applyBorder="1" applyAlignment="1">
      <alignment horizontal="center" vertical="center"/>
    </xf>
    <xf numFmtId="0" fontId="7" fillId="5" borderId="19" xfId="7" applyFont="1" applyFill="1" applyBorder="1" applyAlignment="1">
      <alignment horizontal="center" vertical="center"/>
    </xf>
    <xf numFmtId="0" fontId="7" fillId="3" borderId="5" xfId="7" applyFont="1" applyFill="1" applyBorder="1" applyAlignment="1">
      <alignment horizontal="center" vertical="center"/>
    </xf>
    <xf numFmtId="0" fontId="7" fillId="3" borderId="30" xfId="7" applyFont="1" applyFill="1" applyBorder="1" applyAlignment="1">
      <alignment horizontal="center" vertical="center"/>
    </xf>
    <xf numFmtId="0" fontId="7" fillId="3" borderId="19" xfId="7" applyFont="1" applyFill="1" applyBorder="1" applyAlignment="1">
      <alignment horizontal="center" vertical="center"/>
    </xf>
    <xf numFmtId="0" fontId="7" fillId="4" borderId="6" xfId="7" applyFont="1" applyFill="1" applyBorder="1" applyAlignment="1">
      <alignment horizontal="center" vertical="center"/>
    </xf>
    <xf numFmtId="0" fontId="7" fillId="4" borderId="8" xfId="7" applyFont="1" applyFill="1" applyBorder="1" applyAlignment="1">
      <alignment horizontal="center" vertical="center"/>
    </xf>
    <xf numFmtId="0" fontId="7" fillId="4" borderId="9" xfId="7" applyFont="1" applyFill="1" applyBorder="1" applyAlignment="1">
      <alignment horizontal="center" vertical="center"/>
    </xf>
    <xf numFmtId="0" fontId="9" fillId="0" borderId="31" xfId="7" applyFont="1" applyBorder="1" applyAlignment="1">
      <alignment horizontal="left" vertical="center"/>
    </xf>
    <xf numFmtId="0" fontId="9" fillId="0" borderId="38" xfId="7" applyFont="1" applyBorder="1" applyAlignment="1">
      <alignment horizontal="left" vertical="center"/>
    </xf>
    <xf numFmtId="0" fontId="9" fillId="0" borderId="2" xfId="7" applyFont="1" applyBorder="1" applyAlignment="1">
      <alignment horizontal="left" vertical="center"/>
    </xf>
    <xf numFmtId="0" fontId="9" fillId="0" borderId="3" xfId="7" applyFont="1" applyBorder="1" applyAlignment="1">
      <alignment horizontal="left" vertical="center"/>
    </xf>
    <xf numFmtId="0" fontId="7" fillId="4" borderId="33" xfId="7" applyFont="1" applyFill="1" applyBorder="1" applyAlignment="1">
      <alignment horizontal="center" vertical="center" wrapText="1"/>
    </xf>
    <xf numFmtId="0" fontId="7" fillId="4" borderId="2" xfId="7" applyFont="1" applyFill="1" applyBorder="1" applyAlignment="1">
      <alignment horizontal="center" vertical="center" wrapText="1"/>
    </xf>
    <xf numFmtId="0" fontId="7" fillId="4" borderId="3" xfId="7" applyFont="1" applyFill="1" applyBorder="1" applyAlignment="1">
      <alignment horizontal="center" vertical="center" wrapText="1"/>
    </xf>
    <xf numFmtId="0" fontId="7" fillId="4" borderId="35" xfId="7" applyFont="1" applyFill="1" applyBorder="1" applyAlignment="1">
      <alignment horizontal="center" vertical="center" wrapText="1"/>
    </xf>
    <xf numFmtId="0" fontId="7" fillId="4" borderId="34" xfId="7" applyFont="1" applyFill="1" applyBorder="1" applyAlignment="1">
      <alignment horizontal="center" vertical="center" wrapText="1"/>
    </xf>
  </cellXfs>
  <cellStyles count="14">
    <cellStyle name="쉼표 [0] 2" xfId="6" xr:uid="{00000000-0005-0000-0000-000001000000}"/>
    <cellStyle name="쉼표 [0] 2 2" xfId="11" xr:uid="{00000000-0005-0000-0000-000001000000}"/>
    <cellStyle name="쉼표 [0] 3" xfId="3" xr:uid="{00000000-0005-0000-0000-000002000000}"/>
    <cellStyle name="쉼표 [0] 3 2" xfId="10" xr:uid="{00000000-0005-0000-0000-000002000000}"/>
    <cellStyle name="쉼표 [0] 4" xfId="8" xr:uid="{A42DECB7-D3A4-4749-9D8E-8A1CAAA83CEA}"/>
    <cellStyle name="쉼표 [0] 4 2" xfId="9" xr:uid="{3084C9CA-9F3D-4C45-A37F-3591418B39BC}"/>
    <cellStyle name="쉼표 [0] 4 2 2" xfId="13" xr:uid="{3084C9CA-9F3D-4C45-A37F-3591418B39BC}"/>
    <cellStyle name="쉼표 [0] 4 3" xfId="12" xr:uid="{A42DECB7-D3A4-4749-9D8E-8A1CAAA83CEA}"/>
    <cellStyle name="표준" xfId="0" builtinId="0"/>
    <cellStyle name="표준 2" xfId="1" xr:uid="{00000000-0005-0000-0000-000004000000}"/>
    <cellStyle name="표준 3" xfId="2" xr:uid="{00000000-0005-0000-0000-000005000000}"/>
    <cellStyle name="표준 3 2" xfId="4" xr:uid="{00000000-0005-0000-0000-000006000000}"/>
    <cellStyle name="표준 4" xfId="5" xr:uid="{00000000-0005-0000-0000-000007000000}"/>
    <cellStyle name="표준 5" xfId="7" xr:uid="{5925533E-E742-46C4-9520-003BA4B12F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\&#44221;&#48708;\&#49328;&#52636;&#4459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2\&#44277;&#50976;&#51064;&#49324;&#52509;&#47924;\_2022&#45380;_&#54532;&#47196;&#51229;&#53944;&#48324;%20&#44060;&#48156;&#51088;%20&#53804;&#51077;&#54788;&#54889;%20-%2020220831&#44592;&#514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 예산 편성 기준"/>
      <sheetName val="산출기준(파견전산실)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급"/>
      <sheetName val="프로젝트정보"/>
      <sheetName val="프로젝트별_인력투입현황"/>
      <sheetName val="조직인원"/>
      <sheetName val="산인공_한국어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9D89-B30C-4881-B673-B020326E0B12}">
  <dimension ref="B1:S19"/>
  <sheetViews>
    <sheetView tabSelected="1" zoomScale="85" zoomScaleNormal="85" workbookViewId="0">
      <pane ySplit="5" topLeftCell="A12" activePane="bottomLeft" state="frozen"/>
      <selection pane="bottomLeft" activeCell="B1" sqref="B1:S1"/>
    </sheetView>
  </sheetViews>
  <sheetFormatPr defaultColWidth="8.75" defaultRowHeight="17.45"/>
  <cols>
    <col min="1" max="1" width="1.375" style="1" customWidth="1"/>
    <col min="2" max="2" width="4.75" style="2" customWidth="1"/>
    <col min="3" max="3" width="8.25" style="1" customWidth="1"/>
    <col min="4" max="4" width="23.75" style="1" customWidth="1"/>
    <col min="5" max="5" width="48.5" style="1" customWidth="1"/>
    <col min="6" max="6" width="9.625" style="1" customWidth="1"/>
    <col min="7" max="7" width="14.75" style="1" customWidth="1"/>
    <col min="8" max="8" width="20" style="1" customWidth="1"/>
    <col min="9" max="9" width="10.875" style="1" customWidth="1"/>
    <col min="10" max="10" width="11.75" style="1" customWidth="1"/>
    <col min="11" max="11" width="10.875" style="1" customWidth="1"/>
    <col min="12" max="12" width="11.75" style="1" customWidth="1"/>
    <col min="13" max="13" width="10.875" style="1" customWidth="1"/>
    <col min="14" max="14" width="11.75" style="1" customWidth="1"/>
    <col min="15" max="15" width="10.875" style="1" customWidth="1"/>
    <col min="16" max="16" width="11.75" style="1" customWidth="1"/>
    <col min="17" max="17" width="10.875" style="1" customWidth="1"/>
    <col min="18" max="18" width="11.75" style="1" customWidth="1"/>
    <col min="19" max="19" width="50.875" style="1" customWidth="1"/>
    <col min="20" max="20" width="16.125" style="1" customWidth="1"/>
    <col min="21" max="16384" width="8.75" style="1"/>
  </cols>
  <sheetData>
    <row r="1" spans="2:19" ht="30" customHeight="1"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2:19" ht="22.9" customHeight="1" thickBot="1">
      <c r="S2" s="23" t="s">
        <v>1</v>
      </c>
    </row>
    <row r="3" spans="2:19" ht="22.9" customHeight="1">
      <c r="B3" s="40" t="s">
        <v>2</v>
      </c>
      <c r="C3" s="43" t="s">
        <v>3</v>
      </c>
      <c r="D3" s="46" t="s">
        <v>4</v>
      </c>
      <c r="E3" s="46" t="s">
        <v>5</v>
      </c>
      <c r="F3" s="49" t="s">
        <v>6</v>
      </c>
      <c r="G3" s="49" t="s">
        <v>7</v>
      </c>
      <c r="H3" s="49" t="s">
        <v>8</v>
      </c>
      <c r="I3" s="64" t="s">
        <v>9</v>
      </c>
      <c r="J3" s="65"/>
      <c r="K3" s="65"/>
      <c r="L3" s="65"/>
      <c r="M3" s="65"/>
      <c r="N3" s="65"/>
      <c r="O3" s="65"/>
      <c r="P3" s="65"/>
      <c r="Q3" s="65"/>
      <c r="R3" s="66"/>
      <c r="S3" s="57" t="s">
        <v>10</v>
      </c>
    </row>
    <row r="4" spans="2:19" ht="22.9" customHeight="1" thickBot="1">
      <c r="B4" s="41"/>
      <c r="C4" s="44"/>
      <c r="D4" s="47"/>
      <c r="E4" s="47"/>
      <c r="F4" s="50"/>
      <c r="G4" s="50"/>
      <c r="H4" s="50"/>
      <c r="I4" s="67" t="s">
        <v>11</v>
      </c>
      <c r="J4" s="68"/>
      <c r="K4" s="67" t="s">
        <v>12</v>
      </c>
      <c r="L4" s="68"/>
      <c r="M4" s="67" t="s">
        <v>13</v>
      </c>
      <c r="N4" s="68"/>
      <c r="O4" s="67" t="s">
        <v>14</v>
      </c>
      <c r="P4" s="68"/>
      <c r="Q4" s="67" t="s">
        <v>15</v>
      </c>
      <c r="R4" s="68"/>
      <c r="S4" s="58"/>
    </row>
    <row r="5" spans="2:19" ht="22.9" customHeight="1" thickBot="1">
      <c r="B5" s="42"/>
      <c r="C5" s="45"/>
      <c r="D5" s="48"/>
      <c r="E5" s="48"/>
      <c r="F5" s="48"/>
      <c r="G5" s="48"/>
      <c r="H5" s="48"/>
      <c r="I5" s="26" t="s">
        <v>16</v>
      </c>
      <c r="J5" s="28" t="s">
        <v>17</v>
      </c>
      <c r="K5" s="26" t="s">
        <v>16</v>
      </c>
      <c r="L5" s="28" t="s">
        <v>17</v>
      </c>
      <c r="M5" s="26" t="s">
        <v>16</v>
      </c>
      <c r="N5" s="28" t="s">
        <v>17</v>
      </c>
      <c r="O5" s="26" t="s">
        <v>16</v>
      </c>
      <c r="P5" s="28" t="s">
        <v>17</v>
      </c>
      <c r="Q5" s="26" t="s">
        <v>16</v>
      </c>
      <c r="R5" s="28" t="s">
        <v>17</v>
      </c>
      <c r="S5" s="59"/>
    </row>
    <row r="6" spans="2:19" ht="25.15" customHeight="1">
      <c r="B6" s="60" t="s">
        <v>18</v>
      </c>
      <c r="C6" s="61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3"/>
    </row>
    <row r="7" spans="2:19" ht="25.15" customHeight="1">
      <c r="B7" s="14">
        <v>1</v>
      </c>
      <c r="C7" s="36" t="s">
        <v>19</v>
      </c>
      <c r="D7" s="31" t="s">
        <v>20</v>
      </c>
      <c r="E7" s="32" t="s">
        <v>21</v>
      </c>
      <c r="F7" s="17">
        <v>500</v>
      </c>
      <c r="G7" s="31" t="s">
        <v>22</v>
      </c>
      <c r="H7" s="31" t="s">
        <v>23</v>
      </c>
      <c r="I7" s="18">
        <v>200</v>
      </c>
      <c r="J7" s="9">
        <v>150</v>
      </c>
      <c r="K7" s="18"/>
      <c r="L7" s="9"/>
      <c r="M7" s="4">
        <f>I7/3</f>
        <v>66.666666666666671</v>
      </c>
      <c r="N7" s="9">
        <v>50</v>
      </c>
      <c r="O7" s="18">
        <f>M7</f>
        <v>66.666666666666671</v>
      </c>
      <c r="P7" s="9">
        <v>50</v>
      </c>
      <c r="Q7" s="4">
        <f>O7</f>
        <v>66.666666666666671</v>
      </c>
      <c r="R7" s="9">
        <v>50</v>
      </c>
      <c r="S7" s="11" t="s">
        <v>24</v>
      </c>
    </row>
    <row r="8" spans="2:19" ht="25.15" customHeight="1">
      <c r="B8" s="14">
        <v>2</v>
      </c>
      <c r="C8" s="37" t="s">
        <v>19</v>
      </c>
      <c r="D8" s="31" t="s">
        <v>20</v>
      </c>
      <c r="E8" s="32" t="s">
        <v>25</v>
      </c>
      <c r="F8" s="3">
        <v>100</v>
      </c>
      <c r="G8" s="34" t="s">
        <v>26</v>
      </c>
      <c r="H8" s="31" t="s">
        <v>27</v>
      </c>
      <c r="I8" s="18">
        <v>50</v>
      </c>
      <c r="J8" s="9">
        <v>50</v>
      </c>
      <c r="K8" s="4"/>
      <c r="L8" s="5"/>
      <c r="M8" s="4">
        <f>I8/3</f>
        <v>16.666666666666668</v>
      </c>
      <c r="N8" s="5">
        <v>15</v>
      </c>
      <c r="O8" s="4">
        <f>M8</f>
        <v>16.666666666666668</v>
      </c>
      <c r="P8" s="5">
        <v>15</v>
      </c>
      <c r="Q8" s="4">
        <f>O8</f>
        <v>16.666666666666668</v>
      </c>
      <c r="R8" s="5">
        <v>20</v>
      </c>
      <c r="S8" s="11" t="s">
        <v>28</v>
      </c>
    </row>
    <row r="9" spans="2:19" ht="25.15" customHeight="1">
      <c r="B9" s="14">
        <v>3</v>
      </c>
      <c r="C9" s="38" t="s">
        <v>19</v>
      </c>
      <c r="D9" s="31" t="s">
        <v>29</v>
      </c>
      <c r="E9" s="32" t="s">
        <v>30</v>
      </c>
      <c r="F9" s="17">
        <v>200</v>
      </c>
      <c r="G9" s="31" t="s">
        <v>22</v>
      </c>
      <c r="H9" s="31" t="s">
        <v>31</v>
      </c>
      <c r="I9" s="18">
        <f>F9</f>
        <v>200</v>
      </c>
      <c r="J9" s="9">
        <v>100</v>
      </c>
      <c r="K9" s="24">
        <f>I9/4</f>
        <v>50</v>
      </c>
      <c r="L9" s="9">
        <f>J9/4</f>
        <v>25</v>
      </c>
      <c r="M9" s="24">
        <f>K9</f>
        <v>50</v>
      </c>
      <c r="N9" s="9">
        <f>L9</f>
        <v>25</v>
      </c>
      <c r="O9" s="24">
        <f>M9</f>
        <v>50</v>
      </c>
      <c r="P9" s="9">
        <f>N9</f>
        <v>25</v>
      </c>
      <c r="Q9" s="24">
        <f>O9</f>
        <v>50</v>
      </c>
      <c r="R9" s="9">
        <f>P9</f>
        <v>25</v>
      </c>
      <c r="S9" s="10" t="s">
        <v>28</v>
      </c>
    </row>
    <row r="10" spans="2:19" ht="25.15" customHeight="1">
      <c r="B10" s="14">
        <v>4</v>
      </c>
      <c r="C10" s="37" t="s">
        <v>19</v>
      </c>
      <c r="D10" s="31" t="s">
        <v>32</v>
      </c>
      <c r="E10" s="32" t="s">
        <v>33</v>
      </c>
      <c r="F10" s="17">
        <v>300</v>
      </c>
      <c r="G10" s="31" t="s">
        <v>34</v>
      </c>
      <c r="H10" s="31" t="s">
        <v>35</v>
      </c>
      <c r="I10" s="18">
        <f t="shared" ref="I10" si="0">F10</f>
        <v>300</v>
      </c>
      <c r="J10" s="9">
        <v>300</v>
      </c>
      <c r="K10" s="24"/>
      <c r="L10" s="30"/>
      <c r="M10" s="24">
        <f>I10/3</f>
        <v>100</v>
      </c>
      <c r="N10" s="30">
        <v>100</v>
      </c>
      <c r="O10" s="24">
        <f>M10</f>
        <v>100</v>
      </c>
      <c r="P10" s="30">
        <v>100</v>
      </c>
      <c r="Q10" s="24">
        <f>O10</f>
        <v>100</v>
      </c>
      <c r="R10" s="30">
        <v>100</v>
      </c>
      <c r="S10" s="10" t="s">
        <v>36</v>
      </c>
    </row>
    <row r="11" spans="2:19" ht="25.15" customHeight="1">
      <c r="B11" s="14">
        <v>5</v>
      </c>
      <c r="C11" s="37" t="s">
        <v>19</v>
      </c>
      <c r="D11" s="31" t="s">
        <v>20</v>
      </c>
      <c r="E11" s="33" t="s">
        <v>37</v>
      </c>
      <c r="F11" s="3">
        <v>600</v>
      </c>
      <c r="G11" s="34" t="s">
        <v>34</v>
      </c>
      <c r="H11" s="31" t="s">
        <v>38</v>
      </c>
      <c r="I11" s="18">
        <v>200</v>
      </c>
      <c r="J11" s="9">
        <v>200</v>
      </c>
      <c r="K11" s="4"/>
      <c r="L11" s="5"/>
      <c r="M11" s="29">
        <f>I11/5</f>
        <v>40</v>
      </c>
      <c r="N11" s="5">
        <v>50</v>
      </c>
      <c r="O11" s="29">
        <f>M11</f>
        <v>40</v>
      </c>
      <c r="P11" s="5">
        <f>150/2</f>
        <v>75</v>
      </c>
      <c r="Q11" s="29">
        <f>M11</f>
        <v>40</v>
      </c>
      <c r="R11" s="5">
        <f>P11</f>
        <v>75</v>
      </c>
      <c r="S11" s="11" t="s">
        <v>39</v>
      </c>
    </row>
    <row r="12" spans="2:19" ht="25.15" customHeight="1">
      <c r="B12" s="14">
        <v>6</v>
      </c>
      <c r="C12" s="8" t="s">
        <v>19</v>
      </c>
      <c r="D12" s="31" t="s">
        <v>40</v>
      </c>
      <c r="E12" s="32" t="s">
        <v>41</v>
      </c>
      <c r="F12" s="17">
        <v>600</v>
      </c>
      <c r="G12" s="31" t="s">
        <v>42</v>
      </c>
      <c r="H12" s="31" t="s">
        <v>43</v>
      </c>
      <c r="I12" s="18">
        <v>200</v>
      </c>
      <c r="J12" s="9">
        <v>200</v>
      </c>
      <c r="K12" s="4"/>
      <c r="L12" s="5"/>
      <c r="M12" s="29">
        <f>I12/5</f>
        <v>40</v>
      </c>
      <c r="N12" s="5">
        <v>50</v>
      </c>
      <c r="O12" s="29">
        <f>M12</f>
        <v>40</v>
      </c>
      <c r="P12" s="5">
        <f>150/2</f>
        <v>75</v>
      </c>
      <c r="Q12" s="29">
        <f>M12</f>
        <v>40</v>
      </c>
      <c r="R12" s="5">
        <f>P12</f>
        <v>75</v>
      </c>
      <c r="S12" s="11" t="s">
        <v>44</v>
      </c>
    </row>
    <row r="13" spans="2:19" ht="25.15" customHeight="1">
      <c r="B13" s="14">
        <v>7</v>
      </c>
      <c r="C13" s="38" t="s">
        <v>19</v>
      </c>
      <c r="D13" s="31" t="s">
        <v>20</v>
      </c>
      <c r="E13" s="32" t="s">
        <v>45</v>
      </c>
      <c r="F13" s="17">
        <v>200</v>
      </c>
      <c r="G13" s="31" t="s">
        <v>46</v>
      </c>
      <c r="H13" s="31" t="s">
        <v>47</v>
      </c>
      <c r="I13" s="18">
        <f>F13</f>
        <v>200</v>
      </c>
      <c r="J13" s="9">
        <v>100</v>
      </c>
      <c r="K13" s="24"/>
      <c r="L13" s="9"/>
      <c r="M13" s="24">
        <f>I13/3</f>
        <v>66.666666666666671</v>
      </c>
      <c r="N13" s="9">
        <f>J13/3</f>
        <v>33.333333333333336</v>
      </c>
      <c r="O13" s="4">
        <f>M13</f>
        <v>66.666666666666671</v>
      </c>
      <c r="P13" s="9">
        <f>N13</f>
        <v>33.333333333333336</v>
      </c>
      <c r="Q13" s="4">
        <f>O13</f>
        <v>66.666666666666671</v>
      </c>
      <c r="R13" s="9">
        <f>P13</f>
        <v>33.333333333333336</v>
      </c>
      <c r="S13" s="10" t="s">
        <v>28</v>
      </c>
    </row>
    <row r="14" spans="2:19" ht="25.15" customHeight="1">
      <c r="B14" s="14">
        <v>8</v>
      </c>
      <c r="C14" s="38" t="s">
        <v>19</v>
      </c>
      <c r="D14" s="31" t="s">
        <v>20</v>
      </c>
      <c r="E14" s="32" t="s">
        <v>48</v>
      </c>
      <c r="F14" s="17">
        <v>1500</v>
      </c>
      <c r="G14" s="31" t="s">
        <v>49</v>
      </c>
      <c r="H14" s="31" t="s">
        <v>50</v>
      </c>
      <c r="I14" s="18">
        <v>50</v>
      </c>
      <c r="J14" s="9">
        <v>50</v>
      </c>
      <c r="K14" s="4"/>
      <c r="L14" s="5"/>
      <c r="M14" s="4"/>
      <c r="N14" s="5"/>
      <c r="O14" s="4"/>
      <c r="P14" s="5"/>
      <c r="Q14" s="4">
        <v>50</v>
      </c>
      <c r="R14" s="5">
        <v>50</v>
      </c>
      <c r="S14" s="11" t="s">
        <v>51</v>
      </c>
    </row>
    <row r="15" spans="2:19" ht="25.15" customHeight="1">
      <c r="B15" s="14">
        <v>9</v>
      </c>
      <c r="C15" s="38" t="s">
        <v>19</v>
      </c>
      <c r="D15" s="31" t="s">
        <v>20</v>
      </c>
      <c r="E15" s="32" t="s">
        <v>52</v>
      </c>
      <c r="F15" s="17">
        <v>1500</v>
      </c>
      <c r="G15" s="31" t="s">
        <v>53</v>
      </c>
      <c r="H15" s="31" t="s">
        <v>54</v>
      </c>
      <c r="I15" s="18">
        <v>50</v>
      </c>
      <c r="J15" s="9">
        <v>50</v>
      </c>
      <c r="K15" s="24"/>
      <c r="L15" s="9"/>
      <c r="M15" s="24"/>
      <c r="N15" s="9"/>
      <c r="O15" s="24"/>
      <c r="P15" s="9"/>
      <c r="Q15" s="24">
        <v>50</v>
      </c>
      <c r="R15" s="9">
        <v>50</v>
      </c>
      <c r="S15" s="11" t="s">
        <v>51</v>
      </c>
    </row>
    <row r="16" spans="2:19" ht="25.15" customHeight="1">
      <c r="B16" s="14">
        <v>10</v>
      </c>
      <c r="C16" s="38" t="s">
        <v>19</v>
      </c>
      <c r="D16" s="34" t="s">
        <v>40</v>
      </c>
      <c r="E16" s="35" t="s">
        <v>55</v>
      </c>
      <c r="F16" s="3">
        <v>200</v>
      </c>
      <c r="G16" s="31" t="s">
        <v>56</v>
      </c>
      <c r="H16" s="31" t="s">
        <v>57</v>
      </c>
      <c r="I16" s="18">
        <v>50</v>
      </c>
      <c r="J16" s="5">
        <v>50</v>
      </c>
      <c r="K16" s="24"/>
      <c r="L16" s="30"/>
      <c r="M16" s="24"/>
      <c r="N16" s="30"/>
      <c r="O16" s="24"/>
      <c r="P16" s="30"/>
      <c r="Q16" s="24">
        <v>50</v>
      </c>
      <c r="R16" s="30">
        <v>50</v>
      </c>
      <c r="S16" s="10"/>
    </row>
    <row r="17" spans="2:19" ht="25.15" customHeight="1" thickBot="1">
      <c r="B17" s="14"/>
      <c r="C17" s="6"/>
      <c r="D17" s="8"/>
      <c r="E17" s="7"/>
      <c r="F17" s="19"/>
      <c r="G17" s="8"/>
      <c r="H17" s="8"/>
      <c r="I17" s="4">
        <f t="shared" ref="I17" si="1">SUM(K17,M17,O17,Q17)</f>
        <v>0</v>
      </c>
      <c r="J17" s="27">
        <f t="shared" ref="J17" si="2">SUM(L17,N17,P17,R17)</f>
        <v>0</v>
      </c>
      <c r="K17" s="18"/>
      <c r="L17" s="25"/>
      <c r="M17" s="18"/>
      <c r="N17" s="25"/>
      <c r="O17" s="18"/>
      <c r="P17" s="25"/>
      <c r="Q17" s="18"/>
      <c r="R17" s="25"/>
      <c r="S17" s="10"/>
    </row>
    <row r="18" spans="2:19" ht="25.15" customHeight="1" thickBot="1">
      <c r="B18" s="51" t="s">
        <v>58</v>
      </c>
      <c r="C18" s="52"/>
      <c r="D18" s="52"/>
      <c r="E18" s="53"/>
      <c r="F18" s="15">
        <f>SUM(F7:F17)</f>
        <v>5700</v>
      </c>
      <c r="G18" s="12"/>
      <c r="H18" s="12"/>
      <c r="I18" s="15">
        <f>SUM(I7:I17)</f>
        <v>1500</v>
      </c>
      <c r="J18" s="16">
        <f>SUM(J7:J17)</f>
        <v>1250</v>
      </c>
      <c r="K18" s="15">
        <f>SUM(K7:K17)</f>
        <v>50</v>
      </c>
      <c r="L18" s="16">
        <f>SUM(L7:L17)</f>
        <v>25</v>
      </c>
      <c r="M18" s="15">
        <f>SUM(M7:M17)</f>
        <v>380.00000000000006</v>
      </c>
      <c r="N18" s="16">
        <f>SUM(N7:N17)</f>
        <v>323.33333333333331</v>
      </c>
      <c r="O18" s="15">
        <f>SUM(O7:O17)</f>
        <v>380.00000000000006</v>
      </c>
      <c r="P18" s="16">
        <f>SUM(P7:P17)</f>
        <v>373.33333333333331</v>
      </c>
      <c r="Q18" s="15">
        <f>SUM(Q7:Q17)</f>
        <v>530</v>
      </c>
      <c r="R18" s="16">
        <f>SUM(R7:R17)</f>
        <v>528.33333333333326</v>
      </c>
      <c r="S18" s="13"/>
    </row>
    <row r="19" spans="2:19" ht="25.15" customHeight="1" thickBot="1">
      <c r="B19" s="54" t="s">
        <v>59</v>
      </c>
      <c r="C19" s="55"/>
      <c r="D19" s="55"/>
      <c r="E19" s="56"/>
      <c r="F19" s="21">
        <f>F18</f>
        <v>5700</v>
      </c>
      <c r="G19" s="20"/>
      <c r="H19" s="20"/>
      <c r="I19" s="21">
        <f>I18</f>
        <v>1500</v>
      </c>
      <c r="J19" s="16">
        <f>SUM(J18)</f>
        <v>1250</v>
      </c>
      <c r="K19" s="21">
        <f t="shared" ref="K19:R19" si="3">K18</f>
        <v>50</v>
      </c>
      <c r="L19" s="16">
        <f t="shared" si="3"/>
        <v>25</v>
      </c>
      <c r="M19" s="21">
        <f t="shared" si="3"/>
        <v>380.00000000000006</v>
      </c>
      <c r="N19" s="16">
        <f t="shared" si="3"/>
        <v>323.33333333333331</v>
      </c>
      <c r="O19" s="21">
        <f t="shared" si="3"/>
        <v>380.00000000000006</v>
      </c>
      <c r="P19" s="16">
        <f t="shared" si="3"/>
        <v>373.33333333333331</v>
      </c>
      <c r="Q19" s="21">
        <f t="shared" si="3"/>
        <v>530</v>
      </c>
      <c r="R19" s="16">
        <f t="shared" si="3"/>
        <v>528.33333333333326</v>
      </c>
      <c r="S19" s="22"/>
    </row>
  </sheetData>
  <mergeCells count="18">
    <mergeCell ref="B18:E18"/>
    <mergeCell ref="B19:E19"/>
    <mergeCell ref="S3:S5"/>
    <mergeCell ref="B6:S6"/>
    <mergeCell ref="I3:R3"/>
    <mergeCell ref="I4:J4"/>
    <mergeCell ref="K4:L4"/>
    <mergeCell ref="M4:N4"/>
    <mergeCell ref="O4:P4"/>
    <mergeCell ref="Q4:R4"/>
    <mergeCell ref="B1:S1"/>
    <mergeCell ref="B3:B5"/>
    <mergeCell ref="C3:C5"/>
    <mergeCell ref="D3:D5"/>
    <mergeCell ref="E3:E5"/>
    <mergeCell ref="F3:F5"/>
    <mergeCell ref="G3:G5"/>
    <mergeCell ref="H3:H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HCNC</dc:creator>
  <cp:keywords/>
  <dc:description/>
  <cp:lastModifiedBy/>
  <cp:revision/>
  <dcterms:created xsi:type="dcterms:W3CDTF">2025-10-29T09:08:26Z</dcterms:created>
  <dcterms:modified xsi:type="dcterms:W3CDTF">2026-02-20T04:24:08Z</dcterms:modified>
  <cp:category/>
  <cp:contentStatus/>
</cp:coreProperties>
</file>