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YOO\재 창업\2025년\시스템통합사업(SI)\공공_국방 유지보수 사업\원가 분석\육군\1지역\"/>
    </mc:Choice>
  </mc:AlternateContent>
  <bookViews>
    <workbookView xWindow="-98" yWindow="-98" windowWidth="23235" windowHeight="12435"/>
  </bookViews>
  <sheets>
    <sheet name="종합" sheetId="10" r:id="rId1"/>
    <sheet name="1.상품&amp;솔루션&amp;용역" sheetId="2" r:id="rId2"/>
    <sheet name="2.자체 및 외주 투입인력" sheetId="3" r:id="rId3"/>
    <sheet name="3.내부경비" sheetId="5" r:id="rId4"/>
    <sheet name="5.인건비및간접비테이블" sheetId="9" r:id="rId5"/>
  </sheets>
  <externalReferences>
    <externalReference r:id="rId6"/>
  </externalReferences>
  <definedNames>
    <definedName name="_xlnm.Print_Area" localSheetId="1">'1.상품&amp;솔루션&amp;용역'!$A$2:$K$50</definedName>
    <definedName name="_xlnm.Print_Area" localSheetId="2">'2.자체 및 외주 투입인력'!$A$1:$AD$34</definedName>
    <definedName name="_xlnm.Print_Area" localSheetId="3">'3.내부경비'!$A$1:$L$29</definedName>
    <definedName name="_xlnm.Print_Area" localSheetId="4">'5.인건비및간접비테이블'!$A$1:$C$2</definedName>
    <definedName name="_xlnm.Print_Area" localSheetId="0">종합!$A$1:$H$37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24" i="3"/>
  <c r="K4" i="10" l="1"/>
  <c r="H17" i="5"/>
  <c r="H19" i="5"/>
  <c r="E4" i="3" l="1"/>
  <c r="N3" i="10" l="1"/>
  <c r="N4" i="10" s="1"/>
  <c r="N12" i="3" l="1"/>
  <c r="O12" i="3"/>
  <c r="P12" i="3"/>
  <c r="Q12" i="3"/>
  <c r="R12" i="3"/>
  <c r="S12" i="3"/>
  <c r="T12" i="3"/>
  <c r="N24" i="3"/>
  <c r="N25" i="3" s="1"/>
  <c r="O24" i="3"/>
  <c r="O25" i="3" s="1"/>
  <c r="P24" i="3"/>
  <c r="P25" i="3" s="1"/>
  <c r="Q24" i="3"/>
  <c r="Q25" i="3" s="1"/>
  <c r="R24" i="3"/>
  <c r="R25" i="3" s="1"/>
  <c r="S24" i="3"/>
  <c r="S25" i="3" s="1"/>
  <c r="T24" i="3"/>
  <c r="T25" i="3" s="1"/>
  <c r="N31" i="3"/>
  <c r="N32" i="3" s="1"/>
  <c r="O31" i="3"/>
  <c r="O32" i="3" s="1"/>
  <c r="P31" i="3"/>
  <c r="P32" i="3" s="1"/>
  <c r="Q31" i="3"/>
  <c r="Q32" i="3" s="1"/>
  <c r="R31" i="3"/>
  <c r="R32" i="3" s="1"/>
  <c r="S31" i="3"/>
  <c r="S32" i="3" s="1"/>
  <c r="T31" i="3"/>
  <c r="T32" i="3" s="1"/>
  <c r="G12" i="3"/>
  <c r="H12" i="3"/>
  <c r="I12" i="3"/>
  <c r="J12" i="3"/>
  <c r="K12" i="3"/>
  <c r="L12" i="3"/>
  <c r="M12" i="3"/>
  <c r="F25" i="3"/>
  <c r="D23" i="3"/>
  <c r="G24" i="3"/>
  <c r="G25" i="3" s="1"/>
  <c r="H24" i="3"/>
  <c r="H25" i="3" s="1"/>
  <c r="I24" i="3"/>
  <c r="I25" i="3" s="1"/>
  <c r="J24" i="3"/>
  <c r="J25" i="3" s="1"/>
  <c r="K24" i="3"/>
  <c r="K25" i="3" s="1"/>
  <c r="L24" i="3"/>
  <c r="L25" i="3" s="1"/>
  <c r="M24" i="3"/>
  <c r="M25" i="3" s="1"/>
  <c r="D27" i="3"/>
  <c r="F27" i="3" s="1"/>
  <c r="D28" i="3"/>
  <c r="F28" i="3" s="1"/>
  <c r="D29" i="3"/>
  <c r="F29" i="3" s="1"/>
  <c r="D30" i="3"/>
  <c r="F30" i="3" s="1"/>
  <c r="G31" i="3"/>
  <c r="G32" i="3" s="1"/>
  <c r="H31" i="3"/>
  <c r="H32" i="3" s="1"/>
  <c r="I31" i="3"/>
  <c r="I32" i="3" s="1"/>
  <c r="J31" i="3"/>
  <c r="J32" i="3" s="1"/>
  <c r="K31" i="3"/>
  <c r="K32" i="3" s="1"/>
  <c r="L31" i="3"/>
  <c r="L32" i="3" s="1"/>
  <c r="M31" i="3"/>
  <c r="M32" i="3" s="1"/>
  <c r="D24" i="3" l="1"/>
  <c r="D25" i="3" s="1"/>
  <c r="F31" i="3"/>
  <c r="F32" i="3" s="1"/>
  <c r="D31" i="3"/>
  <c r="D32" i="3" s="1"/>
  <c r="D12" i="3"/>
  <c r="F4" i="3"/>
  <c r="D33" i="3" l="1"/>
  <c r="B5" i="10" s="1"/>
  <c r="F12" i="3"/>
  <c r="F33" i="3" s="1"/>
  <c r="E49" i="2"/>
  <c r="G49" i="2" l="1"/>
  <c r="B4" i="5"/>
  <c r="E9" i="5" s="1"/>
  <c r="E2" i="5"/>
  <c r="E8" i="2" l="1"/>
  <c r="G8" i="2"/>
  <c r="E50" i="2" l="1"/>
  <c r="G50" i="2"/>
  <c r="F9" i="10" l="1"/>
  <c r="F5" i="10"/>
  <c r="F4" i="10" s="1"/>
  <c r="C29" i="10"/>
  <c r="C28" i="10" l="1"/>
  <c r="C26" i="10" l="1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K9" i="10"/>
  <c r="E27" i="10" l="1"/>
  <c r="C12" i="10"/>
  <c r="L25" i="5" l="1"/>
  <c r="H13" i="5"/>
  <c r="H12" i="5"/>
  <c r="K6" i="10" l="1"/>
  <c r="K5" i="10" l="1"/>
  <c r="K7" i="10"/>
  <c r="K8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E3" i="5" l="1"/>
  <c r="F23" i="5" s="1"/>
  <c r="H23" i="5" l="1"/>
  <c r="F25" i="5"/>
  <c r="H25" i="5" s="1"/>
  <c r="F10" i="5"/>
  <c r="H10" i="5" s="1"/>
  <c r="F18" i="5"/>
  <c r="H18" i="5" s="1"/>
  <c r="H11" i="5"/>
  <c r="C27" i="10" l="1"/>
  <c r="B3" i="5" l="1"/>
  <c r="H15" i="5" l="1"/>
  <c r="E26" i="10"/>
  <c r="C11" i="10"/>
  <c r="H14" i="5" l="1"/>
  <c r="B5" i="5" l="1"/>
  <c r="H9" i="5" l="1"/>
  <c r="F29" i="10"/>
  <c r="C13" i="10" l="1"/>
  <c r="E4" i="5" l="1"/>
  <c r="F28" i="10"/>
  <c r="F11" i="10"/>
  <c r="F26" i="10"/>
  <c r="F13" i="10"/>
  <c r="F24" i="5" l="1"/>
  <c r="H24" i="5" s="1"/>
  <c r="F12" i="10"/>
  <c r="F28" i="5" l="1"/>
  <c r="F15" i="10" s="1"/>
  <c r="F14" i="10" s="1"/>
  <c r="F20" i="10" s="1"/>
  <c r="F10" i="10"/>
  <c r="F19" i="10"/>
  <c r="C10" i="10"/>
  <c r="F27" i="10"/>
  <c r="F17" i="10" l="1"/>
  <c r="F25" i="10"/>
  <c r="F18" i="10" l="1"/>
  <c r="F21" i="10" s="1"/>
  <c r="F23" i="10" l="1"/>
  <c r="F30" i="10" s="1"/>
  <c r="F31" i="10" s="1"/>
  <c r="F24" i="10" l="1"/>
  <c r="F22" i="10"/>
</calcChain>
</file>

<file path=xl/sharedStrings.xml><?xml version="1.0" encoding="utf-8"?>
<sst xmlns="http://schemas.openxmlformats.org/spreadsheetml/2006/main" count="345" uniqueCount="278">
  <si>
    <t>PJT CODE</t>
  </si>
  <si>
    <t>사업명</t>
  </si>
  <si>
    <t>사업기간</t>
  </si>
  <si>
    <t>고객예산</t>
  </si>
  <si>
    <t>작성자</t>
  </si>
  <si>
    <t>작성일</t>
  </si>
  <si>
    <t>(단위:원)</t>
  </si>
  <si>
    <t>구분</t>
  </si>
  <si>
    <t>수량</t>
  </si>
  <si>
    <t>합계</t>
  </si>
  <si>
    <t>※ 입찰가격 평점 산식(공공부문)</t>
  </si>
  <si>
    <t>① 입찰가격이 추정가격의 80% 이상</t>
  </si>
  <si>
    <t>② 입찰가격이 추정가격의 80% 미만</t>
  </si>
  <si>
    <t>내역</t>
  </si>
  <si>
    <t>산정기준</t>
  </si>
  <si>
    <t>금액</t>
  </si>
  <si>
    <t>소계</t>
  </si>
  <si>
    <t xml:space="preserve">◆ 자체투입인력 </t>
  </si>
  <si>
    <t>역할</t>
  </si>
  <si>
    <t>이름</t>
  </si>
  <si>
    <t>직급</t>
  </si>
  <si>
    <t>M/M</t>
  </si>
  <si>
    <t>-</t>
  </si>
  <si>
    <t>원가합계</t>
  </si>
  <si>
    <t xml:space="preserve">◆ 외주투입인력 </t>
  </si>
  <si>
    <t>협력업체명</t>
  </si>
  <si>
    <t>등급(직위)</t>
  </si>
  <si>
    <t>적용단가</t>
  </si>
  <si>
    <t>프리랜서</t>
  </si>
  <si>
    <t>프로젝트 원가 산정(경비)</t>
  </si>
  <si>
    <t>한도</t>
  </si>
  <si>
    <t>수행</t>
  </si>
  <si>
    <r>
      <t>※</t>
    </r>
    <r>
      <rPr>
        <sz val="10"/>
        <color indexed="17"/>
        <rFont val="맑은 고딕"/>
        <family val="3"/>
        <charset val="129"/>
        <scheme val="minor"/>
      </rPr>
      <t xml:space="preserve"> 같은 직급이 다수 인원일 경우, 복사후 '</t>
    </r>
    <r>
      <rPr>
        <b/>
        <sz val="10"/>
        <color indexed="17"/>
        <rFont val="맑은 고딕"/>
        <family val="3"/>
        <charset val="129"/>
        <scheme val="minor"/>
      </rPr>
      <t>복사한 셀 삽입</t>
    </r>
    <r>
      <rPr>
        <sz val="10"/>
        <color indexed="17"/>
        <rFont val="맑은 고딕"/>
        <family val="3"/>
        <charset val="129"/>
        <scheme val="minor"/>
      </rPr>
      <t>' 이용</t>
    </r>
  </si>
  <si>
    <t>업체명</t>
    <phoneticPr fontId="44" type="noConversion"/>
  </si>
  <si>
    <t>담당자</t>
    <phoneticPr fontId="44" type="noConversion"/>
  </si>
  <si>
    <t>연락처</t>
    <phoneticPr fontId="44" type="noConversion"/>
  </si>
  <si>
    <t>e-mail</t>
    <phoneticPr fontId="44" type="noConversion"/>
  </si>
  <si>
    <t>30만원</t>
    <phoneticPr fontId="22" type="noConversion"/>
  </si>
  <si>
    <t>20만원</t>
    <phoneticPr fontId="22" type="noConversion"/>
  </si>
  <si>
    <t>SI Project</t>
    <phoneticPr fontId="19" type="noConversion"/>
  </si>
  <si>
    <t>SM Project</t>
    <phoneticPr fontId="19" type="noConversion"/>
  </si>
  <si>
    <t>총합계</t>
    <phoneticPr fontId="19" type="noConversion"/>
  </si>
  <si>
    <t>선급금이행보증</t>
    <phoneticPr fontId="19" type="noConversion"/>
  </si>
  <si>
    <t>SI : 30만원, SM : 20만원</t>
    <phoneticPr fontId="19" type="noConversion"/>
  </si>
  <si>
    <t>계약이행보증보험</t>
    <phoneticPr fontId="19" type="noConversion"/>
  </si>
  <si>
    <t>하자이행보증보험</t>
    <phoneticPr fontId="19" type="noConversion"/>
  </si>
  <si>
    <t>2억이하 80만, 이상0.4%</t>
    <phoneticPr fontId="19" type="noConversion"/>
  </si>
  <si>
    <t>상무 이상</t>
    <phoneticPr fontId="19" type="noConversion"/>
  </si>
  <si>
    <t>이사</t>
    <phoneticPr fontId="19" type="noConversion"/>
  </si>
  <si>
    <t>부장</t>
  </si>
  <si>
    <t>차장</t>
  </si>
  <si>
    <t>과장</t>
  </si>
  <si>
    <t>&gt;투입MM 당</t>
    <phoneticPr fontId="19" type="noConversion"/>
  </si>
  <si>
    <t>&gt;투입MM 당</t>
    <phoneticPr fontId="19" type="noConversion"/>
  </si>
  <si>
    <t>고객예산vs투찰금액</t>
    <phoneticPr fontId="19" type="noConversion"/>
  </si>
  <si>
    <t>발주처</t>
    <phoneticPr fontId="19" type="noConversion"/>
  </si>
  <si>
    <t>(%)</t>
    <phoneticPr fontId="19" type="noConversion"/>
  </si>
  <si>
    <t>투찰금액</t>
    <phoneticPr fontId="19" type="noConversion"/>
  </si>
  <si>
    <t>작성자/PM</t>
    <phoneticPr fontId="19" type="noConversion"/>
  </si>
  <si>
    <t>구분</t>
    <phoneticPr fontId="19" type="noConversion"/>
  </si>
  <si>
    <t>원가</t>
    <phoneticPr fontId="19" type="noConversion"/>
  </si>
  <si>
    <t>② 상품 &amp; 솔루션</t>
    <phoneticPr fontId="19" type="noConversion"/>
  </si>
  <si>
    <t xml:space="preserve">    평점 = 입찰가격평가 배점한도 * (최저입찰가격 / 당해입찰가격)</t>
    <phoneticPr fontId="19" type="noConversion"/>
  </si>
  <si>
    <t xml:space="preserve">    평점 = 입찰가격평가 배점한도 * (최저입찰가격 / 추정가격의80%가격) + [ 2 * ( 추정가격의 80% - 당해입찰가격)/(추정가격의80% - 추정가격의 60%) ]</t>
    <phoneticPr fontId="19" type="noConversion"/>
  </si>
  <si>
    <t>일수</t>
    <phoneticPr fontId="19" type="noConversion"/>
  </si>
  <si>
    <t>&gt;선금/계약</t>
    <phoneticPr fontId="19" type="noConversion"/>
  </si>
  <si>
    <t>개시일</t>
    <phoneticPr fontId="19" type="noConversion"/>
  </si>
  <si>
    <t>종료일</t>
    <phoneticPr fontId="19" type="noConversion"/>
  </si>
  <si>
    <t>&gt;하자</t>
    <phoneticPr fontId="19" type="noConversion"/>
  </si>
  <si>
    <t xml:space="preserve"> </t>
    <phoneticPr fontId="19" type="noConversion"/>
  </si>
  <si>
    <t>상품</t>
    <phoneticPr fontId="19" type="noConversion"/>
  </si>
  <si>
    <t>총MM</t>
    <phoneticPr fontId="19" type="noConversion"/>
  </si>
  <si>
    <t>총투입MM</t>
    <phoneticPr fontId="19" type="noConversion"/>
  </si>
  <si>
    <t>-</t>
    <phoneticPr fontId="19" type="noConversion"/>
  </si>
  <si>
    <t>-</t>
    <phoneticPr fontId="19" type="noConversion"/>
  </si>
  <si>
    <t xml:space="preserve">        </t>
    <phoneticPr fontId="19" type="noConversion"/>
  </si>
  <si>
    <t xml:space="preserve">    </t>
    <phoneticPr fontId="19" type="noConversion"/>
  </si>
  <si>
    <t xml:space="preserve">      </t>
    <phoneticPr fontId="19" type="noConversion"/>
  </si>
  <si>
    <t>작성일</t>
    <phoneticPr fontId="19" type="noConversion"/>
  </si>
  <si>
    <t>MM</t>
    <phoneticPr fontId="19" type="noConversion"/>
  </si>
  <si>
    <t>외주인력 간접비 할당</t>
    <phoneticPr fontId="19" type="noConversion"/>
  </si>
  <si>
    <t>정규인력 간접비 할당</t>
    <phoneticPr fontId="19" type="noConversion"/>
  </si>
  <si>
    <t>③ 인건비</t>
    <phoneticPr fontId="19" type="noConversion"/>
  </si>
  <si>
    <t>ⓐ 정규인력</t>
    <phoneticPr fontId="19" type="noConversion"/>
  </si>
  <si>
    <t>⑤ 직접비 합계</t>
    <phoneticPr fontId="19" type="noConversion"/>
  </si>
  <si>
    <t>⑥ Contingency</t>
    <phoneticPr fontId="19" type="noConversion"/>
  </si>
  <si>
    <t>ⓑ 외주비(업체)</t>
    <phoneticPr fontId="19" type="noConversion"/>
  </si>
  <si>
    <t>ⓒ 외주비(프리랜서)</t>
    <phoneticPr fontId="19" type="noConversion"/>
  </si>
  <si>
    <t>④ 직접경비</t>
    <phoneticPr fontId="19" type="noConversion"/>
  </si>
  <si>
    <t>ⓓ 내부경비</t>
    <phoneticPr fontId="19" type="noConversion"/>
  </si>
  <si>
    <t>ⓔ 외주경비</t>
    <phoneticPr fontId="19" type="noConversion"/>
  </si>
  <si>
    <t>ⓕ 외주인건비</t>
    <phoneticPr fontId="19" type="noConversion"/>
  </si>
  <si>
    <t>ⓖ 직접경비</t>
    <phoneticPr fontId="19" type="noConversion"/>
  </si>
  <si>
    <t>⑦ GP1(정규인건비 포함)</t>
    <phoneticPr fontId="19" type="noConversion"/>
  </si>
  <si>
    <t>⑧ GP2(정규인건비 공제)</t>
    <phoneticPr fontId="19" type="noConversion"/>
  </si>
  <si>
    <t>⑨ 간접비</t>
    <phoneticPr fontId="19" type="noConversion"/>
  </si>
  <si>
    <t>ⓗ 매출총이익률</t>
    <phoneticPr fontId="19" type="noConversion"/>
  </si>
  <si>
    <t>ⓘ 공헌이익율</t>
    <phoneticPr fontId="19" type="noConversion"/>
  </si>
  <si>
    <t>ⓙ 정규</t>
    <phoneticPr fontId="19" type="noConversion"/>
  </si>
  <si>
    <t>ⓚ 외주</t>
    <phoneticPr fontId="19" type="noConversion"/>
  </si>
  <si>
    <t>⑩ 세전순이익</t>
    <phoneticPr fontId="19" type="noConversion"/>
  </si>
  <si>
    <t>②+③+④</t>
    <phoneticPr fontId="19" type="noConversion"/>
  </si>
  <si>
    <t>①-⑤-⑥+ⓐ</t>
    <phoneticPr fontId="19" type="noConversion"/>
  </si>
  <si>
    <t>⑦÷①</t>
    <phoneticPr fontId="19" type="noConversion"/>
  </si>
  <si>
    <t>⑦-ⓐ</t>
    <phoneticPr fontId="19" type="noConversion"/>
  </si>
  <si>
    <t>⑧÷①</t>
    <phoneticPr fontId="19" type="noConversion"/>
  </si>
  <si>
    <t>⒜용역</t>
    <phoneticPr fontId="19" type="noConversion"/>
  </si>
  <si>
    <t>2억이상</t>
    <phoneticPr fontId="19" type="noConversion"/>
  </si>
  <si>
    <t>매출</t>
    <phoneticPr fontId="19" type="noConversion"/>
  </si>
  <si>
    <t>2억미만</t>
    <phoneticPr fontId="19" type="noConversion"/>
  </si>
  <si>
    <t>비고</t>
    <phoneticPr fontId="19" type="noConversion"/>
  </si>
  <si>
    <t>(참고2)사업관리비 기준</t>
    <phoneticPr fontId="19" type="noConversion"/>
  </si>
  <si>
    <t>⑩÷①</t>
    <phoneticPr fontId="19" type="noConversion"/>
  </si>
  <si>
    <t>⑧-⑨</t>
    <phoneticPr fontId="19" type="noConversion"/>
  </si>
  <si>
    <t>ⓜ 순이익률</t>
    <phoneticPr fontId="19" type="noConversion"/>
  </si>
  <si>
    <t>기타매출 간접비 할당</t>
    <phoneticPr fontId="19" type="noConversion"/>
  </si>
  <si>
    <t>제품매출 간접비 할당</t>
    <phoneticPr fontId="19" type="noConversion"/>
  </si>
  <si>
    <t>&gt;판매금액 기준</t>
    <phoneticPr fontId="19" type="noConversion"/>
  </si>
  <si>
    <t>&gt;판매금액 기준</t>
    <phoneticPr fontId="19" type="noConversion"/>
  </si>
  <si>
    <t>⒝제품</t>
    <phoneticPr fontId="19" type="noConversion"/>
  </si>
  <si>
    <t>⒞기타</t>
    <phoneticPr fontId="19" type="noConversion"/>
  </si>
  <si>
    <r>
      <t>Contin%</t>
    </r>
    <r>
      <rPr>
        <b/>
        <sz val="9"/>
        <color indexed="8"/>
        <rFont val="맑은 고딕"/>
        <family val="3"/>
        <charset val="129"/>
        <scheme val="minor"/>
      </rPr>
      <t>(SI 10%, SM 2%)</t>
    </r>
    <phoneticPr fontId="22" type="noConversion"/>
  </si>
  <si>
    <t>산출근거</t>
    <phoneticPr fontId="19" type="noConversion"/>
  </si>
  <si>
    <t>외주 및 내부경비 합계</t>
    <phoneticPr fontId="19" type="noConversion"/>
  </si>
  <si>
    <t>① 매출금액</t>
    <phoneticPr fontId="19" type="noConversion"/>
  </si>
  <si>
    <t>수주형태</t>
    <phoneticPr fontId="19" type="noConversion"/>
  </si>
  <si>
    <t>MM</t>
    <phoneticPr fontId="19" type="noConversion"/>
  </si>
  <si>
    <t>MM</t>
    <phoneticPr fontId="19" type="noConversion"/>
  </si>
  <si>
    <t>ⓛ 제품...⒝기준</t>
    <phoneticPr fontId="19" type="noConversion"/>
  </si>
  <si>
    <t>ⓛ 기타...⒞기준</t>
    <phoneticPr fontId="19" type="noConversion"/>
  </si>
  <si>
    <t>S</t>
    <phoneticPr fontId="19" type="noConversion"/>
  </si>
  <si>
    <t>A</t>
    <phoneticPr fontId="19" type="noConversion"/>
  </si>
  <si>
    <t>B</t>
    <phoneticPr fontId="19" type="noConversion"/>
  </si>
  <si>
    <t>8% 이상</t>
    <phoneticPr fontId="19" type="noConversion"/>
  </si>
  <si>
    <t>C</t>
    <phoneticPr fontId="19" type="noConversion"/>
  </si>
  <si>
    <t>12% 이상</t>
    <phoneticPr fontId="19" type="noConversion"/>
  </si>
  <si>
    <t>10% 이상</t>
    <phoneticPr fontId="19" type="noConversion"/>
  </si>
  <si>
    <t>5% 이상</t>
    <phoneticPr fontId="19" type="noConversion"/>
  </si>
  <si>
    <t>D</t>
    <phoneticPr fontId="19" type="noConversion"/>
  </si>
  <si>
    <t>5% 미만</t>
    <phoneticPr fontId="19" type="noConversion"/>
  </si>
  <si>
    <t xml:space="preserve">B이상 사업이 
전체 매출액의60%
이상 시 목표 달성 </t>
    <phoneticPr fontId="19" type="noConversion"/>
  </si>
  <si>
    <t>(ⓑ+ⓒ)×Contin.%</t>
    <phoneticPr fontId="19" type="noConversion"/>
  </si>
  <si>
    <t>④×Contin.%</t>
    <phoneticPr fontId="19" type="noConversion"/>
  </si>
  <si>
    <t>M2</t>
  </si>
  <si>
    <t>M3</t>
  </si>
  <si>
    <t>M4</t>
  </si>
  <si>
    <t>M5</t>
  </si>
  <si>
    <t>M6</t>
  </si>
  <si>
    <t>M7</t>
  </si>
  <si>
    <t>MM</t>
    <phoneticPr fontId="19" type="noConversion"/>
  </si>
  <si>
    <t>외주인건비 및 직접경비의 컨틴전시</t>
    <phoneticPr fontId="19" type="noConversion"/>
  </si>
  <si>
    <t>S/W</t>
    <phoneticPr fontId="19" type="noConversion"/>
  </si>
  <si>
    <t>PJ 관련 산출물 제본비</t>
    <phoneticPr fontId="19" type="noConversion"/>
  </si>
  <si>
    <t>용역+상품</t>
    <phoneticPr fontId="19" type="noConversion"/>
  </si>
  <si>
    <t>사업관리비(킥오프,중간보고,종료보고)</t>
    <phoneticPr fontId="19" type="noConversion"/>
  </si>
  <si>
    <t>사전영업비(회의비,교통비,출장비 등)</t>
    <phoneticPr fontId="19" type="noConversion"/>
  </si>
  <si>
    <t>(참고3)대외 PJ수당 기준</t>
    <phoneticPr fontId="19" type="noConversion"/>
  </si>
  <si>
    <t>(참고4) 예산 초과 시</t>
    <phoneticPr fontId="19" type="noConversion"/>
  </si>
  <si>
    <t>별도의 특별 승인을 받고 진행</t>
    <phoneticPr fontId="19" type="noConversion"/>
  </si>
  <si>
    <t>3만원/인(실비)</t>
    <phoneticPr fontId="19" type="noConversion"/>
  </si>
  <si>
    <t>6만원/인(왕복기준)</t>
    <phoneticPr fontId="19" type="noConversion"/>
  </si>
  <si>
    <t>출장숙박비(영업 및 수행)</t>
    <phoneticPr fontId="19" type="noConversion"/>
  </si>
  <si>
    <t>출장교통비(영업 및 수행)</t>
    <phoneticPr fontId="19" type="noConversion"/>
  </si>
  <si>
    <t>지방파견수당(수행)</t>
    <phoneticPr fontId="19" type="noConversion"/>
  </si>
  <si>
    <t>프로젝트 수당(수행)</t>
    <phoneticPr fontId="19" type="noConversion"/>
  </si>
  <si>
    <t>인건비테이블</t>
    <phoneticPr fontId="19" type="noConversion"/>
  </si>
  <si>
    <t>간접비 = 2019년 공통비+영업외비용</t>
    <phoneticPr fontId="19" type="noConversion"/>
  </si>
  <si>
    <t>출장여비(식대,회의비)</t>
    <phoneticPr fontId="19" type="noConversion"/>
  </si>
  <si>
    <t>수주를 위한 모든 영업활동비(0.4%)</t>
    <phoneticPr fontId="19" type="noConversion"/>
  </si>
  <si>
    <t>PJ관리비(야근식대,회의비,회식비,소모품비)</t>
    <phoneticPr fontId="19" type="noConversion"/>
  </si>
  <si>
    <t>(참고1)PJ관리비 기준</t>
    <phoneticPr fontId="19" type="noConversion"/>
  </si>
  <si>
    <t>20만원</t>
    <phoneticPr fontId="19" type="noConversion"/>
  </si>
  <si>
    <t>10만원</t>
    <phoneticPr fontId="19" type="noConversion"/>
  </si>
  <si>
    <t>SI</t>
    <phoneticPr fontId="19" type="noConversion"/>
  </si>
  <si>
    <t>직원 1MM</t>
    <phoneticPr fontId="19" type="noConversion"/>
  </si>
  <si>
    <t>직원 2MM</t>
  </si>
  <si>
    <t>SM</t>
    <phoneticPr fontId="19" type="noConversion"/>
  </si>
  <si>
    <t>120만원/인 (부산 140만원)</t>
    <phoneticPr fontId="19" type="noConversion"/>
  </si>
  <si>
    <t>통신비</t>
    <phoneticPr fontId="19" type="noConversion"/>
  </si>
  <si>
    <t>PJ관련 네트워크 설치 및 통신비</t>
    <phoneticPr fontId="19" type="noConversion"/>
  </si>
  <si>
    <t>렌탈료 / 지급수수료</t>
    <phoneticPr fontId="19" type="noConversion"/>
  </si>
  <si>
    <t>데스크탑, 노트북, 모니터, 프린터, 가구 등 렌탈 시</t>
    <phoneticPr fontId="19" type="noConversion"/>
  </si>
  <si>
    <t>소모품</t>
    <phoneticPr fontId="19" type="noConversion"/>
  </si>
  <si>
    <t>2020 목표 이익율</t>
    <phoneticPr fontId="19" type="noConversion"/>
  </si>
  <si>
    <t>커피, 종이컵 외 비품 구입</t>
    <phoneticPr fontId="19" type="noConversion"/>
  </si>
  <si>
    <t>(참고5) 예산 초과 시</t>
    <phoneticPr fontId="19" type="noConversion"/>
  </si>
  <si>
    <t>(참고4) 예산 내역</t>
    <phoneticPr fontId="19" type="noConversion"/>
  </si>
  <si>
    <t>작성 외 예산 사용은 변경 VRB 작성 후 지출</t>
    <phoneticPr fontId="19" type="noConversion"/>
  </si>
  <si>
    <t>PJ 수행 시 예상되는 모든 예산 작성</t>
    <phoneticPr fontId="19" type="noConversion"/>
  </si>
  <si>
    <t>2020년 간접비 원가 배분 테이블</t>
    <phoneticPr fontId="19" type="noConversion"/>
  </si>
  <si>
    <t>인건비 = 2020년 급여+4대보험회사부담분+퇴직연금+학자금</t>
    <phoneticPr fontId="19" type="noConversion"/>
  </si>
  <si>
    <t>공통비</t>
    <phoneticPr fontId="19" type="noConversion"/>
  </si>
  <si>
    <t>도서인쇄비</t>
    <phoneticPr fontId="19" type="noConversion"/>
  </si>
  <si>
    <t>임대료</t>
    <phoneticPr fontId="19" type="noConversion"/>
  </si>
  <si>
    <t>20만원/인당(식대한도 8천원/인당, 회식비 15,000/인당)</t>
    <phoneticPr fontId="19" type="noConversion"/>
  </si>
  <si>
    <t>기타</t>
    <phoneticPr fontId="19" type="noConversion"/>
  </si>
  <si>
    <t>H/W</t>
    <phoneticPr fontId="19" type="noConversion"/>
  </si>
  <si>
    <t>6만원/인(1박기준)</t>
    <phoneticPr fontId="19" type="noConversion"/>
  </si>
  <si>
    <t>2021
정규직
인건비</t>
    <phoneticPr fontId="19" type="noConversion"/>
  </si>
  <si>
    <t>제약사항</t>
    <phoneticPr fontId="19" type="noConversion"/>
  </si>
  <si>
    <t>제안 시 지원인력 용역비</t>
    <phoneticPr fontId="19" type="noConversion"/>
  </si>
  <si>
    <t>외주비(제안 지원,디자인)</t>
    <phoneticPr fontId="19" type="noConversion"/>
  </si>
  <si>
    <t>vat별도</t>
    <phoneticPr fontId="19" type="noConversion"/>
  </si>
  <si>
    <t>비고</t>
    <phoneticPr fontId="44" type="noConversion"/>
  </si>
  <si>
    <t>2022년</t>
    <phoneticPr fontId="19" type="noConversion"/>
  </si>
  <si>
    <t>M8</t>
  </si>
  <si>
    <t>M9</t>
  </si>
  <si>
    <t>M10</t>
  </si>
  <si>
    <t>M11</t>
  </si>
  <si>
    <t>PM</t>
  </si>
  <si>
    <t>대리/주임</t>
    <phoneticPr fontId="19" type="noConversion"/>
  </si>
  <si>
    <t>M12</t>
  </si>
  <si>
    <t>M13</t>
  </si>
  <si>
    <t>M14</t>
  </si>
  <si>
    <t>M15</t>
  </si>
  <si>
    <t>M16</t>
  </si>
  <si>
    <t>M1</t>
    <phoneticPr fontId="19" type="noConversion"/>
  </si>
  <si>
    <t>과장</t>
    <phoneticPr fontId="19" type="noConversion"/>
  </si>
  <si>
    <t>23.01 ~ 24.12</t>
    <phoneticPr fontId="19" type="noConversion"/>
  </si>
  <si>
    <t>넷백업, Veritas CFS</t>
    <phoneticPr fontId="19" type="noConversion"/>
  </si>
  <si>
    <t>ESA 종합분석시스템</t>
    <phoneticPr fontId="19" type="noConversion"/>
  </si>
  <si>
    <t>PatchChaser V2.1 (PMS)</t>
    <phoneticPr fontId="19" type="noConversion"/>
  </si>
  <si>
    <t>APPM 2000 (업무망 서버 패스워드 관리)</t>
    <phoneticPr fontId="19" type="noConversion"/>
  </si>
  <si>
    <t>Magic SSO / EAM (2 EA)</t>
    <phoneticPr fontId="19" type="noConversion"/>
  </si>
  <si>
    <t>Touchen transkey (PC 키패드보안, 모바일 키패드보안)</t>
    <phoneticPr fontId="19" type="noConversion"/>
  </si>
  <si>
    <t>대량메일 발송 (아이메일러)</t>
    <phoneticPr fontId="19" type="noConversion"/>
  </si>
  <si>
    <t>보안USB관리시스템</t>
    <phoneticPr fontId="19" type="noConversion"/>
  </si>
  <si>
    <t>ks-PMIS (PMIS 자료이관)</t>
    <phoneticPr fontId="19" type="noConversion"/>
  </si>
  <si>
    <t>Jennifer</t>
    <phoneticPr fontId="19" type="noConversion"/>
  </si>
  <si>
    <t>IPSCAN XE</t>
    <phoneticPr fontId="19" type="noConversion"/>
  </si>
  <si>
    <t>D'Amo (DB암호화 솔루션)</t>
    <phoneticPr fontId="19" type="noConversion"/>
  </si>
  <si>
    <t>통합검색(Search Formula-1 5.3)</t>
    <phoneticPr fontId="19" type="noConversion"/>
  </si>
  <si>
    <t>WEEDS WIDAS Enterprise Edition</t>
    <phoneticPr fontId="19" type="noConversion"/>
  </si>
  <si>
    <t>이글루시큐리티 SPIDER TM 3.2</t>
    <phoneticPr fontId="19" type="noConversion"/>
  </si>
  <si>
    <t>이지큐메신저</t>
    <phoneticPr fontId="19" type="noConversion"/>
  </si>
  <si>
    <t>코이노 Anysupport 6 (원격지원SW)</t>
    <phoneticPr fontId="19" type="noConversion"/>
  </si>
  <si>
    <t>티베로 DB</t>
    <phoneticPr fontId="19" type="noConversion"/>
  </si>
  <si>
    <t>망분리 가상화 솔루션 (퓨전데이타)</t>
    <phoneticPr fontId="19" type="noConversion"/>
  </si>
  <si>
    <t>PRIMERGY RX1330 M2 (한싹자료전송시스템)</t>
    <phoneticPr fontId="19" type="noConversion"/>
  </si>
  <si>
    <t>데이터스트림즈(QualityStream)</t>
    <phoneticPr fontId="19" type="noConversion"/>
  </si>
  <si>
    <t>파인브이티</t>
    <phoneticPr fontId="19" type="noConversion"/>
  </si>
  <si>
    <t>에스지에이솔루션즈(ESA)</t>
    <phoneticPr fontId="19" type="noConversion"/>
  </si>
  <si>
    <t>에스지에이솔루션즈(PMS)</t>
    <phoneticPr fontId="19" type="noConversion"/>
  </si>
  <si>
    <t>굿모닝아이텍</t>
    <phoneticPr fontId="19" type="noConversion"/>
  </si>
  <si>
    <t>드림시큐리티</t>
    <phoneticPr fontId="19" type="noConversion"/>
  </si>
  <si>
    <t>라온시큐어</t>
    <phoneticPr fontId="19" type="noConversion"/>
  </si>
  <si>
    <t>모비젠</t>
    <phoneticPr fontId="19" type="noConversion"/>
  </si>
  <si>
    <t>하이엔드솔루션(비젯)</t>
    <phoneticPr fontId="19" type="noConversion"/>
  </si>
  <si>
    <t>상아매니지먼트컨설팅</t>
    <phoneticPr fontId="19" type="noConversion"/>
  </si>
  <si>
    <t>싸이웰시스템</t>
    <phoneticPr fontId="19" type="noConversion"/>
  </si>
  <si>
    <t>스콥정보통신</t>
    <phoneticPr fontId="19" type="noConversion"/>
  </si>
  <si>
    <t>열림데이타시스템</t>
    <phoneticPr fontId="19" type="noConversion"/>
  </si>
  <si>
    <t>와이즈넛</t>
    <phoneticPr fontId="19" type="noConversion"/>
  </si>
  <si>
    <t>위즈코리아</t>
    <phoneticPr fontId="19" type="noConversion"/>
  </si>
  <si>
    <t>이글루시큐리티</t>
    <phoneticPr fontId="19" type="noConversion"/>
  </si>
  <si>
    <t>이지닉스</t>
    <phoneticPr fontId="19" type="noConversion"/>
  </si>
  <si>
    <t>코이노</t>
    <phoneticPr fontId="19" type="noConversion"/>
  </si>
  <si>
    <t>티맥스티베로</t>
    <phoneticPr fontId="19" type="noConversion"/>
  </si>
  <si>
    <t>이트론</t>
    <phoneticPr fontId="19" type="noConversion"/>
  </si>
  <si>
    <t>한싹</t>
    <phoneticPr fontId="19" type="noConversion"/>
  </si>
  <si>
    <t>M17</t>
  </si>
  <si>
    <t>M18</t>
  </si>
  <si>
    <t>M19</t>
  </si>
  <si>
    <t>M20</t>
  </si>
  <si>
    <t>M21</t>
  </si>
  <si>
    <t>M22</t>
  </si>
  <si>
    <t>M23</t>
  </si>
  <si>
    <t>M24</t>
  </si>
  <si>
    <t>TBD</t>
    <phoneticPr fontId="19" type="noConversion"/>
  </si>
  <si>
    <t>적용단가</t>
    <phoneticPr fontId="19" type="noConversion"/>
  </si>
  <si>
    <t>M2</t>
    <phoneticPr fontId="19" type="noConversion"/>
  </si>
  <si>
    <t>M3</t>
    <phoneticPr fontId="19" type="noConversion"/>
  </si>
  <si>
    <t>프로젝트 사전 VRB</t>
    <phoneticPr fontId="19" type="noConversion"/>
  </si>
  <si>
    <t>사업관리</t>
    <phoneticPr fontId="19" type="noConversion"/>
  </si>
  <si>
    <t>육군본부</t>
    <phoneticPr fontId="19" type="noConversion"/>
  </si>
  <si>
    <t>23~25년 상용정보통신장비 통합유지보수</t>
    <phoneticPr fontId="19" type="noConversion"/>
  </si>
  <si>
    <t>2023-05-22</t>
    <phoneticPr fontId="19" type="noConversion"/>
  </si>
  <si>
    <t>2023.05.22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</si>
</sst>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_ "/>
    <numFmt numFmtId="178" formatCode="0.00_);[Red]\(0.00\)"/>
    <numFmt numFmtId="179" formatCode="0.00_ "/>
    <numFmt numFmtId="180" formatCode="0.0%"/>
    <numFmt numFmtId="181" formatCode="_-* #,##0.0_-;\-* #,##0.0_-;_-* &quot;-&quot;_-;_-@_-"/>
    <numFmt numFmtId="182" formatCode="_-* #,##0.00_-;\-* #,##0.00_-;_-* &quot;-&quot;_-;_-@_-"/>
    <numFmt numFmtId="183" formatCode="#,##0_);[Red]\(#,##0\)"/>
    <numFmt numFmtId="184" formatCode="_ * #,##0_ ;_ * \-#,##0_ ;_ * &quot;-&quot;_ ;_ @_ "/>
    <numFmt numFmtId="185" formatCode="_ * #,##0.00_ ;_ * \-#,##0.00_ ;_ * &quot;-&quot;??_ ;_ @_ "/>
    <numFmt numFmtId="186" formatCode="&quot;₩&quot;#,##0;&quot;₩&quot;&quot;₩&quot;\-#,##0"/>
    <numFmt numFmtId="187" formatCode="&quot;₩&quot;#,##0.00;&quot;₩&quot;&quot;₩&quot;\-#,##0.00"/>
    <numFmt numFmtId="188" formatCode="General_)"/>
    <numFmt numFmtId="189" formatCode="_ &quot;₩&quot;* #,##0_ ;_ &quot;₩&quot;* \-#,##0_ ;_ &quot;₩&quot;* &quot;-&quot;_ ;_ @_ "/>
    <numFmt numFmtId="190" formatCode="&quot;₩&quot;#,##0.00;&quot;₩&quot;&quot;₩&quot;&quot;₩&quot;\!\-&quot;₩&quot;#,##0.00"/>
    <numFmt numFmtId="191" formatCode="_ &quot;₩&quot;* #,##0.00_ ;_ &quot;₩&quot;* \-#,##0.00_ ;_ &quot;₩&quot;* &quot;-&quot;??_ ;_ @_ "/>
    <numFmt numFmtId="192" formatCode="&quot;₩&quot;#,##0.00;[Red]&quot;₩&quot;&quot;₩&quot;&quot;₩&quot;\!\-&quot;₩&quot;#,##0.00"/>
    <numFmt numFmtId="193" formatCode="#,##0;\(#,##0\)"/>
    <numFmt numFmtId="194" formatCode="&quot;$&quot;#,&quot;₩&quot;&quot;₩&quot;&quot;₩&quot;&quot;₩&quot;&quot;₩&quot;&quot;₩&quot;\);&quot;₩&quot;&quot;₩&quot;&quot;₩&quot;&quot;₩&quot;&quot;₩&quot;&quot;₩&quot;\(&quot;$&quot;#,&quot;₩&quot;&quot;₩&quot;&quot;₩&quot;&quot;₩&quot;&quot;₩&quot;&quot;₩&quot;\)"/>
    <numFmt numFmtId="195" formatCode="\$#.00"/>
    <numFmt numFmtId="196" formatCode="####"/>
    <numFmt numFmtId="197" formatCode="&quot;₩&quot;#,##0.00;&quot;₩&quot;&quot;₩&quot;&quot;₩&quot;&quot;₩&quot;&quot;₩&quot;&quot;₩&quot;&quot;₩&quot;&quot;₩&quot;&quot;₩&quot;&quot;₩&quot;&quot;₩&quot;\-&quot;₩&quot;#,##0.00"/>
    <numFmt numFmtId="198" formatCode="\$#,##0.00"/>
    <numFmt numFmtId="199" formatCode="&quot;₩&quot;#,##0.00;[Red]&quot;₩&quot;&quot;₩&quot;&quot;₩&quot;&quot;₩&quot;&quot;₩&quot;\-&quot;₩&quot;#,##0.00"/>
    <numFmt numFmtId="200" formatCode="&quot;£&quot;#,##0;\-&quot;£&quot;#,##0"/>
    <numFmt numFmtId="201" formatCode="m\o\n\th\ d\,\ yyyy"/>
    <numFmt numFmtId="202" formatCode="\,##"/>
    <numFmt numFmtId="203" formatCode="_ * #,##0.00_ ;_ * &quot;₩&quot;\-#,##0.00_ ;_ * &quot;-&quot;??_ ;_ @_ "/>
    <numFmt numFmtId="204" formatCode="_-* #,##0_-;&quot;₩&quot;&quot;₩&quot;&quot;₩&quot;&quot;₩&quot;&quot;₩&quot;\-* #,##0_-;_-* &quot;-&quot;_-;_-@_-"/>
    <numFmt numFmtId="205" formatCode="#.00"/>
    <numFmt numFmtId="206" formatCode="#."/>
    <numFmt numFmtId="207" formatCode="##"/>
    <numFmt numFmtId="208" formatCode="m/d/yy\ hh:mm"/>
    <numFmt numFmtId="209" formatCode="_(&quot;$&quot;* #,##0.00_);_(&quot;$&quot;* \(#,##0.00\);_(&quot;$&quot;* &quot;-&quot;??_);_(@_)"/>
    <numFmt numFmtId="210" formatCode="%#.00"/>
    <numFmt numFmtId="211" formatCode="###"/>
    <numFmt numFmtId="212" formatCode="&quot;$&quot;#,##0_);\(&quot;$&quot;#,##0\)"/>
    <numFmt numFmtId="213" formatCode="#,##0.0_%;[Red]\(#,##0.0%\)"/>
    <numFmt numFmtId="214" formatCode="_-* #,##0\ &quot;DM&quot;_-;\-* #,##0\ &quot;DM&quot;_-;_-* &quot;-&quot;\ &quot;DM&quot;_-;_-@_-"/>
    <numFmt numFmtId="215" formatCode="_-* #,##0.00\ &quot;DM&quot;_-;\-* #,##0.00\ &quot;DM&quot;_-;_-* &quot;-&quot;??\ &quot;DM&quot;_-;_-@_-"/>
    <numFmt numFmtId="216" formatCode="_-* #,##0.00_-;&quot;₩&quot;\-* #,##0.00_-;_-* &quot;-&quot;??_-;_-@_-"/>
    <numFmt numFmtId="217" formatCode="#,##0;[Red]&quot;-&quot;#,##0"/>
    <numFmt numFmtId="218" formatCode="#,##0\ &quot;F&quot;;[Red]\-#,##0\ &quot;F&quot;"/>
    <numFmt numFmtId="219" formatCode="#,##0\ &quot;F&quot;;\-#,##0\ &quot;F&quot;"/>
    <numFmt numFmtId="220" formatCode="_(* #,##0_);_(* &quot;₩&quot;&quot;₩&quot;&quot;₩&quot;&quot;₩&quot;&quot;₩&quot;&quot;₩&quot;&quot;₩&quot;&quot;₩&quot;&quot;₩&quot;&quot;₩&quot;&quot;₩&quot;&quot;₩&quot;&quot;₩&quot;\(#,##0&quot;₩&quot;&quot;₩&quot;&quot;₩&quot;&quot;₩&quot;&quot;₩&quot;&quot;₩&quot;&quot;₩&quot;&quot;₩&quot;&quot;₩&quot;&quot;₩&quot;&quot;₩&quot;&quot;₩&quot;&quot;₩&quot;\);_(* &quot;-&quot;_);_(@_)"/>
    <numFmt numFmtId="221" formatCode="&quot;₩&quot;#,##0;&quot;₩&quot;\-#,##0"/>
    <numFmt numFmtId="222" formatCode="_-&quot;£&quot;* #,##0_-;\-&quot;£&quot;* #,##0_-;_-&quot;£&quot;* &quot;-&quot;_-;_-@_-"/>
    <numFmt numFmtId="223" formatCode="_-&quot;£&quot;* #,##0.00_-;\-&quot;£&quot;* #,##0.00_-;_-&quot;£&quot;* &quot;-&quot;??_-;_-@_-"/>
    <numFmt numFmtId="224" formatCode="_-* #,##0_-;\-* #,##0_-;_-* &quot;-&quot;??_-;_-@_-"/>
    <numFmt numFmtId="225" formatCode="_-* #,##0.0_-;\-* #,##0.0_-;_-* &quot;-&quot;?_-;_-@_-"/>
    <numFmt numFmtId="226" formatCode="mm&quot;월&quot;\ dd&quot;일&quot;"/>
  </numFmts>
  <fonts count="1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8"/>
      <color theme="3"/>
      <name val="맑은 고딕"/>
      <family val="2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0"/>
      <color indexed="17"/>
      <name val="맑은 고딕"/>
      <family val="3"/>
      <charset val="129"/>
      <scheme val="minor"/>
    </font>
    <font>
      <sz val="10"/>
      <color indexed="17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b/>
      <sz val="18"/>
      <color indexed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굴림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4"/>
      <color indexed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0"/>
      <name val="Helv"/>
      <family val="2"/>
    </font>
    <font>
      <sz val="12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8"/>
      <name val="Arial"/>
      <family val="2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Courier"/>
      <family val="3"/>
    </font>
    <font>
      <b/>
      <sz val="10"/>
      <name val="MS Sans Serif"/>
      <family val="2"/>
    </font>
    <font>
      <sz val="12"/>
      <color indexed="0"/>
      <name val="바탕체"/>
      <family val="1"/>
    </font>
    <font>
      <sz val="12"/>
      <name val="Times New Roman"/>
      <family val="1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2"/>
      <name val="官帕眉"/>
      <family val="2"/>
    </font>
    <font>
      <sz val="11"/>
      <name val="??o"/>
      <family val="1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8"/>
      <name val="Times New Roman"/>
      <family val="1"/>
    </font>
    <font>
      <b/>
      <sz val="11"/>
      <color indexed="18"/>
      <name val="Times New Roman"/>
      <family val="1"/>
    </font>
    <font>
      <b/>
      <sz val="14"/>
      <color indexed="18"/>
      <name val="Times New Roman"/>
      <family val="1"/>
    </font>
    <font>
      <b/>
      <sz val="10"/>
      <name val="Times New Roman"/>
      <family val="1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1"/>
      <name val="µ¸¿ò"/>
      <family val="1"/>
      <charset val="129"/>
    </font>
    <font>
      <b/>
      <sz val="10"/>
      <name val="Helv"/>
      <family val="2"/>
    </font>
    <font>
      <sz val="10"/>
      <color indexed="8"/>
      <name val="Impact"/>
      <family val="2"/>
    </font>
    <font>
      <b/>
      <sz val="12"/>
      <name val="바탕체"/>
      <family val="1"/>
      <charset val="129"/>
    </font>
    <font>
      <sz val="1"/>
      <color indexed="8"/>
      <name val="Courier"/>
      <family val="3"/>
    </font>
    <font>
      <sz val="10"/>
      <name val="Times New Roman"/>
      <family val="1"/>
    </font>
    <font>
      <sz val="10"/>
      <color indexed="24"/>
      <name val="Arial"/>
      <family val="2"/>
    </font>
    <font>
      <sz val="10"/>
      <name val="MS Serif"/>
      <family val="1"/>
    </font>
    <font>
      <b/>
      <sz val="9"/>
      <name val="Helv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11"/>
      <name val="–¾’©"/>
      <family val="1"/>
      <charset val="129"/>
    </font>
    <font>
      <b/>
      <sz val="12"/>
      <name val="Helv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sz val="20"/>
      <name val="HP Logo LG"/>
      <family val="2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b/>
      <sz val="11"/>
      <name val="Helv"/>
      <family val="2"/>
    </font>
    <font>
      <b/>
      <sz val="10"/>
      <color indexed="9"/>
      <name val="Arial"/>
      <family val="2"/>
    </font>
    <font>
      <sz val="7"/>
      <name val="Small Fonts"/>
      <family val="2"/>
    </font>
    <font>
      <sz val="12"/>
      <name val="Helv"/>
      <family val="2"/>
    </font>
    <font>
      <b/>
      <sz val="8.5"/>
      <name val="MS Sans Serif"/>
      <family val="2"/>
    </font>
    <font>
      <sz val="9"/>
      <name val="Arial"/>
      <family val="2"/>
    </font>
    <font>
      <b/>
      <sz val="11"/>
      <color indexed="16"/>
      <name val="Times New Roman"/>
      <family val="1"/>
    </font>
    <font>
      <sz val="8"/>
      <name val="Wingdings"/>
      <charset val="2"/>
    </font>
    <font>
      <b/>
      <sz val="8.25"/>
      <name val="Helv"/>
      <family val="2"/>
    </font>
    <font>
      <b/>
      <sz val="12"/>
      <name val="AppleGothic"/>
      <family val="1"/>
    </font>
    <font>
      <sz val="8"/>
      <name val="MS Sans Serif"/>
      <family val="2"/>
    </font>
    <font>
      <b/>
      <sz val="8"/>
      <color indexed="8"/>
      <name val="Helv"/>
      <family val="2"/>
    </font>
    <font>
      <b/>
      <sz val="8"/>
      <name val="Times New Roman"/>
      <family val="1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b/>
      <sz val="12"/>
      <name val="굴림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name val="蹈框"/>
      <family val="3"/>
      <charset val="129"/>
    </font>
    <font>
      <sz val="10"/>
      <name val="PragmaticaCTT"/>
      <family val="1"/>
    </font>
    <font>
      <sz val="9"/>
      <name val="굴림"/>
      <family val="3"/>
      <charset val="129"/>
    </font>
    <font>
      <sz val="10"/>
      <color theme="1"/>
      <name val="Palatino Linotype"/>
      <family val="2"/>
      <charset val="129"/>
    </font>
    <font>
      <b/>
      <sz val="11"/>
      <color indexed="8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2"/>
      <name val="宋体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</patternFill>
    </fill>
    <fill>
      <patternFill patternType="solid">
        <fgColor indexed="10"/>
        <bgColor indexed="64"/>
      </patternFill>
    </fill>
    <fill>
      <patternFill patternType="darkVertical"/>
    </fill>
    <fill>
      <patternFill patternType="darkGray">
        <fgColor indexed="15"/>
      </patternFill>
    </fill>
    <fill>
      <patternFill patternType="gray0625">
        <fgColor indexed="2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59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medium">
        <color indexed="19"/>
      </left>
      <right style="hair">
        <color indexed="19"/>
      </right>
      <top style="hair">
        <color indexed="19"/>
      </top>
      <bottom style="hair">
        <color indexed="19"/>
      </bottom>
      <diagonal/>
    </border>
    <border>
      <left style="medium">
        <color indexed="19"/>
      </left>
      <right style="hair">
        <color indexed="19"/>
      </right>
      <top style="hair">
        <color indexed="19"/>
      </top>
      <bottom style="medium">
        <color indexed="19"/>
      </bottom>
      <diagonal/>
    </border>
    <border>
      <left style="medium">
        <color indexed="19"/>
      </left>
      <right style="hair">
        <color indexed="19"/>
      </right>
      <top style="medium">
        <color indexed="19"/>
      </top>
      <bottom style="hair">
        <color indexed="19"/>
      </bottom>
      <diagonal/>
    </border>
    <border>
      <left style="hair">
        <color indexed="19"/>
      </left>
      <right style="hair">
        <color indexed="19"/>
      </right>
      <top style="medium">
        <color indexed="19"/>
      </top>
      <bottom style="hair">
        <color indexed="19"/>
      </bottom>
      <diagonal/>
    </border>
    <border>
      <left style="hair">
        <color indexed="19"/>
      </left>
      <right style="hair">
        <color indexed="19"/>
      </right>
      <top style="hair">
        <color indexed="19"/>
      </top>
      <bottom style="hair">
        <color indexed="19"/>
      </bottom>
      <diagonal/>
    </border>
    <border>
      <left style="hair">
        <color indexed="19"/>
      </left>
      <right style="hair">
        <color indexed="19"/>
      </right>
      <top style="hair">
        <color indexed="19"/>
      </top>
      <bottom style="medium">
        <color indexed="19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59"/>
      </left>
      <right style="hair">
        <color indexed="23"/>
      </right>
      <top style="medium">
        <color indexed="59"/>
      </top>
      <bottom style="medium">
        <color indexed="59"/>
      </bottom>
      <diagonal/>
    </border>
    <border>
      <left style="hair">
        <color indexed="23"/>
      </left>
      <right style="hair">
        <color indexed="23"/>
      </right>
      <top style="medium">
        <color indexed="59"/>
      </top>
      <bottom style="medium">
        <color indexed="59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19"/>
      </left>
      <right style="medium">
        <color indexed="19"/>
      </right>
      <top style="medium">
        <color indexed="19"/>
      </top>
      <bottom style="hair">
        <color indexed="19"/>
      </bottom>
      <diagonal/>
    </border>
    <border>
      <left style="hair">
        <color indexed="19"/>
      </left>
      <right style="medium">
        <color indexed="19"/>
      </right>
      <top style="hair">
        <color indexed="19"/>
      </top>
      <bottom style="hair">
        <color indexed="19"/>
      </bottom>
      <diagonal/>
    </border>
    <border>
      <left style="hair">
        <color indexed="19"/>
      </left>
      <right style="medium">
        <color indexed="19"/>
      </right>
      <top style="hair">
        <color indexed="19"/>
      </top>
      <bottom style="medium">
        <color indexed="19"/>
      </bottom>
      <diagonal/>
    </border>
    <border>
      <left style="medium">
        <color indexed="59"/>
      </left>
      <right/>
      <top/>
      <bottom style="medium">
        <color indexed="59"/>
      </bottom>
      <diagonal/>
    </border>
    <border>
      <left/>
      <right/>
      <top/>
      <bottom style="medium">
        <color indexed="5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19"/>
      </left>
      <right/>
      <top style="hair">
        <color indexed="19"/>
      </top>
      <bottom style="medium">
        <color indexed="19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19"/>
      </left>
      <right/>
      <top style="medium">
        <color indexed="19"/>
      </top>
      <bottom style="hair">
        <color indexed="19"/>
      </bottom>
      <diagonal/>
    </border>
    <border>
      <left/>
      <right style="hair">
        <color indexed="19"/>
      </right>
      <top style="medium">
        <color indexed="19"/>
      </top>
      <bottom style="hair">
        <color indexed="19"/>
      </bottom>
      <diagonal/>
    </border>
    <border>
      <left style="hair">
        <color indexed="19"/>
      </left>
      <right style="hair">
        <color indexed="19"/>
      </right>
      <top style="hair">
        <color indexed="19"/>
      </top>
      <bottom style="medium">
        <color indexed="19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/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/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hair">
        <color indexed="23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9"/>
      </left>
      <right style="hair">
        <color indexed="19"/>
      </right>
      <top style="hair">
        <color indexed="19"/>
      </top>
      <bottom style="hair">
        <color indexed="19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19"/>
      </left>
      <right style="hair">
        <color indexed="19"/>
      </right>
      <top style="hair">
        <color indexed="19"/>
      </top>
      <bottom/>
      <diagonal/>
    </border>
    <border>
      <left style="hair">
        <color indexed="19"/>
      </left>
      <right style="hair">
        <color indexed="19"/>
      </right>
      <top style="hair">
        <color indexed="19"/>
      </top>
      <bottom/>
      <diagonal/>
    </border>
    <border>
      <left style="hair">
        <color indexed="19"/>
      </left>
      <right/>
      <top style="hair">
        <color indexed="19"/>
      </top>
      <bottom style="hair">
        <color indexed="19"/>
      </bottom>
      <diagonal/>
    </border>
    <border>
      <left/>
      <right style="hair">
        <color indexed="19"/>
      </right>
      <top style="hair">
        <color indexed="19"/>
      </top>
      <bottom style="hair">
        <color indexed="19"/>
      </bottom>
      <diagonal/>
    </border>
    <border>
      <left/>
      <right style="hair">
        <color indexed="19"/>
      </right>
      <top style="hair">
        <color indexed="19"/>
      </top>
      <bottom/>
      <diagonal/>
    </border>
    <border>
      <left style="hair">
        <color indexed="19"/>
      </left>
      <right style="hair">
        <color indexed="19"/>
      </right>
      <top/>
      <bottom style="hair">
        <color indexed="19"/>
      </bottom>
      <diagonal/>
    </border>
    <border>
      <left/>
      <right/>
      <top style="hair">
        <color indexed="19"/>
      </top>
      <bottom style="hair">
        <color indexed="19"/>
      </bottom>
      <diagonal/>
    </border>
    <border>
      <left/>
      <right style="medium">
        <color indexed="19"/>
      </right>
      <top style="hair">
        <color indexed="19"/>
      </top>
      <bottom style="hair">
        <color indexed="19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hair">
        <color indexed="19"/>
      </right>
      <top style="hair">
        <color indexed="19"/>
      </top>
      <bottom style="medium">
        <color indexed="19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19"/>
      </top>
      <bottom style="medium">
        <color indexed="64"/>
      </bottom>
      <diagonal/>
    </border>
    <border>
      <left/>
      <right style="medium">
        <color indexed="19"/>
      </right>
      <top style="hair">
        <color indexed="19"/>
      </top>
      <bottom style="medium">
        <color indexed="19"/>
      </bottom>
      <diagonal/>
    </border>
    <border>
      <left/>
      <right/>
      <top style="medium">
        <color indexed="19"/>
      </top>
      <bottom style="hair">
        <color indexed="19"/>
      </bottom>
      <diagonal/>
    </border>
    <border>
      <left/>
      <right style="medium">
        <color indexed="19"/>
      </right>
      <top style="medium">
        <color indexed="19"/>
      </top>
      <bottom style="hair">
        <color indexed="19"/>
      </bottom>
      <diagonal/>
    </border>
    <border>
      <left style="medium">
        <color indexed="64"/>
      </left>
      <right/>
      <top style="medium">
        <color indexed="64"/>
      </top>
      <bottom style="medium">
        <color indexed="19"/>
      </bottom>
      <diagonal/>
    </border>
    <border>
      <left/>
      <right/>
      <top style="medium">
        <color indexed="64"/>
      </top>
      <bottom style="medium">
        <color indexed="19"/>
      </bottom>
      <diagonal/>
    </border>
    <border>
      <left/>
      <right style="medium">
        <color indexed="64"/>
      </right>
      <top style="medium">
        <color indexed="64"/>
      </top>
      <bottom style="medium">
        <color indexed="19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19"/>
      </left>
      <right style="hair">
        <color indexed="19"/>
      </right>
      <top/>
      <bottom style="hair">
        <color indexed="19"/>
      </bottom>
      <diagonal/>
    </border>
    <border>
      <left style="hair">
        <color indexed="19"/>
      </left>
      <right/>
      <top style="hair">
        <color indexed="19"/>
      </top>
      <bottom/>
      <diagonal/>
    </border>
    <border>
      <left style="hair">
        <color indexed="19"/>
      </left>
      <right style="hair">
        <color indexed="19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 diagonalUp="1" diagonalDown="1"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59"/>
      </right>
      <top style="medium">
        <color indexed="64"/>
      </top>
      <bottom style="medium">
        <color indexed="59"/>
      </bottom>
      <diagonal/>
    </border>
    <border>
      <left style="hair">
        <color indexed="59"/>
      </left>
      <right style="hair">
        <color indexed="59"/>
      </right>
      <top style="medium">
        <color indexed="64"/>
      </top>
      <bottom style="medium">
        <color indexed="59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59"/>
      </right>
      <top style="medium">
        <color indexed="64"/>
      </top>
      <bottom style="medium">
        <color indexed="64"/>
      </bottom>
      <diagonal/>
    </border>
    <border>
      <left style="hair">
        <color indexed="59"/>
      </left>
      <right style="hair">
        <color indexed="5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hair">
        <color indexed="23"/>
      </right>
      <top/>
      <bottom/>
      <diagonal/>
    </border>
    <border>
      <left/>
      <right style="hair">
        <color indexed="23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59"/>
      </top>
      <bottom/>
      <diagonal/>
    </border>
    <border>
      <left style="hair">
        <color indexed="23"/>
      </left>
      <right style="thick">
        <color indexed="59"/>
      </right>
      <top style="medium">
        <color indexed="59"/>
      </top>
      <bottom style="medium">
        <color indexed="59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 style="hair">
        <color indexed="23"/>
      </left>
      <right style="medium">
        <color indexed="59"/>
      </right>
      <top style="hair">
        <color indexed="23"/>
      </top>
      <bottom/>
      <diagonal/>
    </border>
    <border>
      <left style="hair">
        <color indexed="23"/>
      </left>
      <right style="medium">
        <color indexed="59"/>
      </right>
      <top/>
      <bottom style="hair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23"/>
      </left>
      <right style="thick">
        <color theme="1"/>
      </right>
      <top style="hair">
        <color indexed="23"/>
      </top>
      <bottom/>
      <diagonal/>
    </border>
    <border>
      <left style="hair">
        <color indexed="23"/>
      </left>
      <right style="thick">
        <color theme="1"/>
      </right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23"/>
      </right>
      <top style="hair">
        <color indexed="23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23"/>
      </left>
      <right/>
      <top/>
      <bottom style="medium">
        <color indexed="59"/>
      </bottom>
      <diagonal/>
    </border>
    <border>
      <left style="thin">
        <color indexed="64"/>
      </left>
      <right style="thick">
        <color indexed="59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59"/>
      </right>
      <top/>
      <bottom style="medium">
        <color indexed="59"/>
      </bottom>
      <diagonal/>
    </border>
    <border>
      <left style="thin">
        <color indexed="64"/>
      </left>
      <right style="thin">
        <color indexed="64"/>
      </right>
      <top/>
      <bottom style="medium">
        <color indexed="59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59"/>
      </top>
      <bottom style="hair">
        <color auto="1"/>
      </bottom>
      <diagonal/>
    </border>
    <border>
      <left/>
      <right style="thin">
        <color indexed="64"/>
      </right>
      <top style="medium">
        <color indexed="59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471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7" fillId="0" borderId="0"/>
    <xf numFmtId="0" fontId="52" fillId="0" borderId="0"/>
    <xf numFmtId="0" fontId="52" fillId="0" borderId="0"/>
    <xf numFmtId="0" fontId="53" fillId="0" borderId="0"/>
    <xf numFmtId="41" fontId="17" fillId="0" borderId="0" applyFont="0" applyFill="0" applyBorder="0" applyAlignment="0" applyProtection="0"/>
    <xf numFmtId="0" fontId="49" fillId="0" borderId="0"/>
    <xf numFmtId="185" fontId="51" fillId="0" borderId="0" applyFont="0" applyFill="0" applyBorder="0" applyAlignment="0" applyProtection="0"/>
    <xf numFmtId="186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38" fontId="54" fillId="55" borderId="0" applyNumberFormat="0" applyBorder="0" applyAlignment="0" applyProtection="0"/>
    <xf numFmtId="10" fontId="54" fillId="33" borderId="108" applyNumberFormat="0" applyBorder="0" applyAlignment="0" applyProtection="0"/>
    <xf numFmtId="0" fontId="49" fillId="0" borderId="0"/>
    <xf numFmtId="0" fontId="51" fillId="0" borderId="0"/>
    <xf numFmtId="10" fontId="51" fillId="0" borderId="0" applyFont="0" applyFill="0" applyBorder="0" applyAlignment="0" applyProtection="0"/>
    <xf numFmtId="0" fontId="23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49" fillId="0" borderId="0"/>
    <xf numFmtId="0" fontId="49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1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188" fontId="57" fillId="0" borderId="0"/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/>
    <xf numFmtId="0" fontId="58" fillId="0" borderId="0" applyNumberFormat="0" applyFill="0" applyBorder="0" applyAlignment="0" applyProtection="0"/>
    <xf numFmtId="0" fontId="52" fillId="0" borderId="0"/>
    <xf numFmtId="0" fontId="52" fillId="0" borderId="0"/>
    <xf numFmtId="37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49" fillId="0" borderId="0"/>
    <xf numFmtId="0" fontId="51" fillId="0" borderId="0"/>
    <xf numFmtId="0" fontId="49" fillId="0" borderId="0"/>
    <xf numFmtId="0" fontId="49" fillId="0" borderId="0"/>
    <xf numFmtId="0" fontId="59" fillId="0" borderId="0" applyNumberFormat="0" applyFont="0" applyFill="0" applyBorder="0" applyAlignment="0" applyProtection="0"/>
    <xf numFmtId="0" fontId="52" fillId="0" borderId="0"/>
    <xf numFmtId="0" fontId="49" fillId="0" borderId="0"/>
    <xf numFmtId="0" fontId="49" fillId="0" borderId="0"/>
    <xf numFmtId="0" fontId="49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9" fillId="0" borderId="0"/>
    <xf numFmtId="0" fontId="51" fillId="0" borderId="0"/>
    <xf numFmtId="0" fontId="59" fillId="0" borderId="0" applyNumberFormat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1" fillId="0" borderId="0"/>
    <xf numFmtId="0" fontId="49" fillId="0" borderId="0"/>
    <xf numFmtId="0" fontId="51" fillId="0" borderId="0"/>
    <xf numFmtId="0" fontId="51" fillId="0" borderId="0"/>
    <xf numFmtId="0" fontId="51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49" fillId="0" borderId="0"/>
    <xf numFmtId="0" fontId="51" fillId="0" borderId="0"/>
    <xf numFmtId="0" fontId="52" fillId="0" borderId="0"/>
    <xf numFmtId="0" fontId="52" fillId="0" borderId="0"/>
    <xf numFmtId="0" fontId="49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51" fillId="0" borderId="0"/>
    <xf numFmtId="0" fontId="49" fillId="0" borderId="0"/>
    <xf numFmtId="0" fontId="52" fillId="0" borderId="0"/>
    <xf numFmtId="0" fontId="52" fillId="0" borderId="0"/>
    <xf numFmtId="0" fontId="51" fillId="0" borderId="0"/>
    <xf numFmtId="0" fontId="49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1" fillId="0" borderId="0"/>
    <xf numFmtId="0" fontId="52" fillId="0" borderId="0"/>
    <xf numFmtId="0" fontId="52" fillId="0" borderId="0"/>
    <xf numFmtId="0" fontId="49" fillId="0" borderId="0"/>
    <xf numFmtId="0" fontId="49" fillId="0" borderId="0"/>
    <xf numFmtId="0" fontId="51" fillId="0" borderId="0"/>
    <xf numFmtId="0" fontId="49" fillId="0" borderId="0"/>
    <xf numFmtId="0" fontId="51" fillId="0" borderId="0"/>
    <xf numFmtId="0" fontId="55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1" fillId="0" borderId="0"/>
    <xf numFmtId="0" fontId="52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49" fillId="0" borderId="0"/>
    <xf numFmtId="0" fontId="49" fillId="0" borderId="0"/>
    <xf numFmtId="0" fontId="52" fillId="0" borderId="0"/>
    <xf numFmtId="0" fontId="49" fillId="0" borderId="0"/>
    <xf numFmtId="0" fontId="51" fillId="0" borderId="0"/>
    <xf numFmtId="0" fontId="49" fillId="0" borderId="0"/>
    <xf numFmtId="0" fontId="49" fillId="0" borderId="0"/>
    <xf numFmtId="0" fontId="49" fillId="0" borderId="0"/>
    <xf numFmtId="0" fontId="52" fillId="0" borderId="0"/>
    <xf numFmtId="0" fontId="5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60" fillId="0" borderId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/>
    <xf numFmtId="0" fontId="62" fillId="0" borderId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89" fontId="65" fillId="0" borderId="0" applyFont="0" applyFill="0" applyBorder="0" applyAlignment="0" applyProtection="0"/>
    <xf numFmtId="190" fontId="52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91" fontId="65" fillId="0" borderId="0" applyFont="0" applyFill="0" applyBorder="0" applyAlignment="0" applyProtection="0"/>
    <xf numFmtId="192" fontId="52" fillId="0" borderId="0" applyFont="0" applyFill="0" applyBorder="0" applyAlignment="0" applyProtection="0"/>
    <xf numFmtId="0" fontId="67" fillId="0" borderId="0"/>
    <xf numFmtId="0" fontId="68" fillId="0" borderId="0">
      <alignment horizontal="center" wrapText="1"/>
      <protection locked="0"/>
    </xf>
    <xf numFmtId="0" fontId="65" fillId="0" borderId="0" applyFont="0" applyFill="0" applyBorder="0" applyAlignment="0" applyProtection="0"/>
    <xf numFmtId="184" fontId="66" fillId="0" borderId="0" applyFont="0" applyFill="0" applyBorder="0" applyAlignment="0" applyProtection="0"/>
    <xf numFmtId="184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185" fontId="65" fillId="0" borderId="0" applyFont="0" applyFill="0" applyBorder="0" applyAlignment="0" applyProtection="0"/>
    <xf numFmtId="0" fontId="69" fillId="0" borderId="0"/>
    <xf numFmtId="0" fontId="70" fillId="0" borderId="0"/>
    <xf numFmtId="0" fontId="71" fillId="0" borderId="0"/>
    <xf numFmtId="0" fontId="51" fillId="0" borderId="163" quotePrefix="1">
      <alignment horizontal="justify" vertical="justify" textRotation="127" wrapText="1" justifyLastLine="1"/>
      <protection hidden="1"/>
    </xf>
    <xf numFmtId="0" fontId="72" fillId="0" borderId="0"/>
    <xf numFmtId="0" fontId="73" fillId="0" borderId="0"/>
    <xf numFmtId="0" fontId="74" fillId="0" borderId="0"/>
    <xf numFmtId="0" fontId="51" fillId="0" borderId="0"/>
    <xf numFmtId="0" fontId="17" fillId="0" borderId="0" applyFill="0" applyBorder="0" applyAlignment="0"/>
    <xf numFmtId="0" fontId="75" fillId="0" borderId="0"/>
    <xf numFmtId="0" fontId="76" fillId="33" borderId="65">
      <alignment horizontal="center" wrapText="1"/>
    </xf>
    <xf numFmtId="0" fontId="76" fillId="33" borderId="65">
      <alignment horizontal="center" wrapText="1"/>
    </xf>
    <xf numFmtId="184" fontId="77" fillId="0" borderId="0" applyFont="0" applyFill="0" applyBorder="0" applyAlignment="0" applyProtection="0"/>
    <xf numFmtId="4" fontId="78" fillId="0" borderId="0">
      <protection locked="0"/>
    </xf>
    <xf numFmtId="0" fontId="17" fillId="0" borderId="117"/>
    <xf numFmtId="41" fontId="17" fillId="0" borderId="0" applyFont="0" applyFill="0" applyBorder="0" applyAlignment="0" applyProtection="0"/>
    <xf numFmtId="193" fontId="79" fillId="0" borderId="0"/>
    <xf numFmtId="194" fontId="17" fillId="0" borderId="0"/>
    <xf numFmtId="3" fontId="80" fillId="0" borderId="0" applyFont="0" applyFill="0" applyBorder="0" applyAlignment="0" applyProtection="0"/>
    <xf numFmtId="0" fontId="81" fillId="0" borderId="0" applyNumberFormat="0" applyAlignment="0">
      <alignment horizontal="left"/>
    </xf>
    <xf numFmtId="0" fontId="55" fillId="0" borderId="0" applyFont="0" applyFill="0" applyBorder="0" applyAlignment="0" applyProtection="0"/>
    <xf numFmtId="195" fontId="78" fillId="0" borderId="0">
      <protection locked="0"/>
    </xf>
    <xf numFmtId="196" fontId="51" fillId="0" borderId="0">
      <protection locked="0"/>
    </xf>
    <xf numFmtId="196" fontId="51" fillId="0" borderId="0">
      <protection locked="0"/>
    </xf>
    <xf numFmtId="196" fontId="51" fillId="0" borderId="0">
      <protection locked="0"/>
    </xf>
    <xf numFmtId="197" fontId="52" fillId="0" borderId="108" applyFill="0" applyBorder="0" applyAlignment="0"/>
    <xf numFmtId="198" fontId="82" fillId="0" borderId="108" applyFill="0" applyBorder="0" applyAlignment="0"/>
    <xf numFmtId="0" fontId="17" fillId="0" borderId="0"/>
    <xf numFmtId="199" fontId="17" fillId="0" borderId="0"/>
    <xf numFmtId="200" fontId="67" fillId="55" borderId="0" applyFont="0" applyBorder="0"/>
    <xf numFmtId="201" fontId="78" fillId="0" borderId="0">
      <protection locked="0"/>
    </xf>
    <xf numFmtId="202" fontId="51" fillId="0" borderId="0">
      <protection locked="0"/>
    </xf>
    <xf numFmtId="17" fontId="49" fillId="0" borderId="0" applyNumberFormat="0" applyFont="0" applyFill="0" applyBorder="0" applyAlignment="0" applyProtection="0">
      <alignment horizontal="right"/>
    </xf>
    <xf numFmtId="203" fontId="17" fillId="0" borderId="0"/>
    <xf numFmtId="204" fontId="17" fillId="0" borderId="0"/>
    <xf numFmtId="0" fontId="83" fillId="0" borderId="0" applyNumberFormat="0" applyAlignment="0">
      <alignment horizontal="left"/>
    </xf>
    <xf numFmtId="0" fontId="78" fillId="0" borderId="0">
      <protection locked="0"/>
    </xf>
    <xf numFmtId="0" fontId="78" fillId="0" borderId="0">
      <protection locked="0"/>
    </xf>
    <xf numFmtId="0" fontId="84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84" fillId="0" borderId="0">
      <protection locked="0"/>
    </xf>
    <xf numFmtId="205" fontId="78" fillId="0" borderId="0">
      <protection locked="0"/>
    </xf>
    <xf numFmtId="9" fontId="85" fillId="0" borderId="0" applyFont="0" applyFill="0" applyBorder="0" applyAlignment="0" applyProtection="0"/>
    <xf numFmtId="0" fontId="86" fillId="0" borderId="0">
      <alignment horizontal="left"/>
    </xf>
    <xf numFmtId="0" fontId="87" fillId="0" borderId="164" applyFill="0" applyBorder="0"/>
    <xf numFmtId="0" fontId="54" fillId="0" borderId="164" applyBorder="0">
      <alignment horizontal="center" vertical="center"/>
    </xf>
    <xf numFmtId="0" fontId="88" fillId="0" borderId="164" applyBorder="0">
      <alignment horizontal="center" vertical="center"/>
    </xf>
    <xf numFmtId="0" fontId="89" fillId="0" borderId="95" applyNumberFormat="0" applyAlignment="0" applyProtection="0">
      <alignment horizontal="left" vertical="center"/>
    </xf>
    <xf numFmtId="0" fontId="89" fillId="0" borderId="160">
      <alignment horizontal="left" vertical="center"/>
    </xf>
    <xf numFmtId="206" fontId="90" fillId="0" borderId="0">
      <protection locked="0"/>
    </xf>
    <xf numFmtId="207" fontId="51" fillId="0" borderId="0">
      <protection locked="0"/>
    </xf>
    <xf numFmtId="206" fontId="90" fillId="0" borderId="0">
      <protection locked="0"/>
    </xf>
    <xf numFmtId="207" fontId="51" fillId="0" borderId="0">
      <protection locked="0"/>
    </xf>
    <xf numFmtId="0" fontId="91" fillId="0" borderId="162">
      <alignment horizontal="center"/>
    </xf>
    <xf numFmtId="0" fontId="91" fillId="0" borderId="0">
      <alignment horizontal="center"/>
    </xf>
    <xf numFmtId="0" fontId="92" fillId="0" borderId="164" applyBorder="0">
      <alignment horizontal="center" vertical="center"/>
    </xf>
    <xf numFmtId="0" fontId="93" fillId="0" borderId="0" applyNumberFormat="0" applyFill="0" applyBorder="0" applyAlignment="0" applyProtection="0"/>
    <xf numFmtId="0" fontId="94" fillId="56" borderId="165" applyNumberFormat="0" applyAlignment="0" applyProtection="0">
      <alignment vertical="center"/>
    </xf>
    <xf numFmtId="38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95" fillId="0" borderId="162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7" fillId="0" borderId="0" applyFont="0" applyFill="0" applyBorder="0" applyAlignment="0" applyProtection="0"/>
    <xf numFmtId="208" fontId="51" fillId="0" borderId="0" applyFont="0" applyFill="0" applyBorder="0" applyAlignment="0" applyProtection="0"/>
    <xf numFmtId="209" fontId="96" fillId="57" borderId="0">
      <alignment vertical="top"/>
    </xf>
    <xf numFmtId="37" fontId="97" fillId="0" borderId="0"/>
    <xf numFmtId="0" fontId="49" fillId="0" borderId="0"/>
    <xf numFmtId="176" fontId="50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9" fillId="0" borderId="166">
      <alignment horizontal="left"/>
    </xf>
    <xf numFmtId="38" fontId="99" fillId="0" borderId="167" applyFont="0" applyFill="0" applyBorder="0" applyAlignment="0">
      <alignment horizontal="center"/>
    </xf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/>
    <xf numFmtId="14" fontId="68" fillId="0" borderId="0">
      <alignment horizontal="center" wrapText="1"/>
      <protection locked="0"/>
    </xf>
    <xf numFmtId="210" fontId="78" fillId="0" borderId="0">
      <protection locked="0"/>
    </xf>
    <xf numFmtId="211" fontId="51" fillId="0" borderId="0">
      <protection locked="0"/>
    </xf>
    <xf numFmtId="211" fontId="51" fillId="0" borderId="0">
      <protection locked="0"/>
    </xf>
    <xf numFmtId="211" fontId="51" fillId="0" borderId="0">
      <protection locked="0"/>
    </xf>
    <xf numFmtId="211" fontId="51" fillId="0" borderId="0">
      <protection locked="0"/>
    </xf>
    <xf numFmtId="212" fontId="49" fillId="0" borderId="0">
      <alignment horizontal="right"/>
    </xf>
    <xf numFmtId="0" fontId="100" fillId="0" borderId="0" applyNumberFormat="0" applyFont="0" applyFill="0" applyBorder="0" applyAlignment="0"/>
    <xf numFmtId="0" fontId="101" fillId="0" borderId="0"/>
    <xf numFmtId="0" fontId="102" fillId="58" borderId="0" applyNumberFormat="0" applyFont="0" applyBorder="0" applyAlignment="0">
      <alignment horizontal="center"/>
    </xf>
    <xf numFmtId="213" fontId="67" fillId="0" borderId="0" applyNumberFormat="0" applyFill="0" applyBorder="0" applyAlignment="0" applyProtection="0">
      <alignment horizontal="left"/>
    </xf>
    <xf numFmtId="0" fontId="51" fillId="0" borderId="0"/>
    <xf numFmtId="0" fontId="103" fillId="59" borderId="155"/>
    <xf numFmtId="0" fontId="102" fillId="1" borderId="160" applyNumberFormat="0" applyFont="0" applyAlignment="0">
      <alignment horizontal="center"/>
    </xf>
    <xf numFmtId="0" fontId="104" fillId="60" borderId="120" applyNumberFormat="0" applyFont="0" applyBorder="0" applyAlignment="0"/>
    <xf numFmtId="0" fontId="105" fillId="0" borderId="0" applyNumberFormat="0" applyFill="0" applyBorder="0" applyAlignment="0">
      <alignment horizontal="center"/>
    </xf>
    <xf numFmtId="208" fontId="51" fillId="0" borderId="0">
      <alignment horizontal="center"/>
    </xf>
    <xf numFmtId="0" fontId="52" fillId="0" borderId="0"/>
    <xf numFmtId="0" fontId="95" fillId="0" borderId="0"/>
    <xf numFmtId="40" fontId="106" fillId="0" borderId="0" applyBorder="0">
      <alignment horizontal="right"/>
    </xf>
    <xf numFmtId="0" fontId="107" fillId="0" borderId="0"/>
    <xf numFmtId="206" fontId="78" fillId="0" borderId="168">
      <protection locked="0"/>
    </xf>
    <xf numFmtId="207" fontId="51" fillId="0" borderId="168">
      <protection locked="0"/>
    </xf>
    <xf numFmtId="214" fontId="51" fillId="0" borderId="0" applyFont="0" applyFill="0" applyBorder="0" applyAlignment="0" applyProtection="0"/>
    <xf numFmtId="215" fontId="51" fillId="0" borderId="0" applyFont="0" applyFill="0" applyBorder="0" applyAlignment="0" applyProtection="0"/>
    <xf numFmtId="2" fontId="108" fillId="0" borderId="0" applyFont="0" applyFill="0" applyBorder="0" applyAlignment="0" applyProtection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11" fillId="0" borderId="0" applyNumberFormat="0" applyFill="0" applyBorder="0" applyAlignment="0" applyProtection="0">
      <alignment vertical="top"/>
      <protection locked="0"/>
    </xf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216" fontId="17" fillId="0" borderId="169">
      <alignment horizontal="right" vertical="center"/>
    </xf>
    <xf numFmtId="2" fontId="112" fillId="0" borderId="161"/>
    <xf numFmtId="217" fontId="11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1" fillId="0" borderId="0"/>
    <xf numFmtId="0" fontId="49" fillId="0" borderId="0"/>
    <xf numFmtId="0" fontId="49" fillId="0" borderId="0"/>
    <xf numFmtId="0" fontId="4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4" fillId="0" borderId="127"/>
    <xf numFmtId="0" fontId="114" fillId="0" borderId="127"/>
    <xf numFmtId="218" fontId="115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16" fillId="0" borderId="0"/>
    <xf numFmtId="4" fontId="108" fillId="0" borderId="0" applyFont="0" applyFill="0" applyBorder="0" applyAlignment="0" applyProtection="0"/>
    <xf numFmtId="3" fontId="108" fillId="0" borderId="0" applyFont="0" applyFill="0" applyBorder="0" applyAlignment="0" applyProtection="0"/>
    <xf numFmtId="0" fontId="52" fillId="0" borderId="0"/>
    <xf numFmtId="0" fontId="63" fillId="0" borderId="0"/>
    <xf numFmtId="184" fontId="52" fillId="0" borderId="0" applyFont="0" applyFill="0" applyBorder="0" applyAlignment="0" applyProtection="0"/>
    <xf numFmtId="185" fontId="52" fillId="0" borderId="0" applyFont="0" applyFill="0" applyBorder="0" applyAlignment="0" applyProtection="0"/>
    <xf numFmtId="189" fontId="52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219" fontId="115" fillId="0" borderId="0" applyFont="0" applyFill="0" applyBorder="0" applyAlignment="0" applyProtection="0"/>
    <xf numFmtId="0" fontId="63" fillId="0" borderId="0" applyFont="0" applyFill="0" applyBorder="0" applyAlignment="0" applyProtection="0"/>
    <xf numFmtId="10" fontId="108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17" fillId="0" borderId="0">
      <protection locked="0"/>
    </xf>
    <xf numFmtId="0" fontId="1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7" fillId="0" borderId="0"/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08" fillId="0" borderId="170" applyNumberFormat="0" applyFont="0" applyFill="0" applyAlignment="0" applyProtection="0"/>
    <xf numFmtId="0" fontId="63" fillId="0" borderId="0" applyFont="0" applyFill="0" applyBorder="0" applyAlignment="0" applyProtection="0"/>
    <xf numFmtId="184" fontId="63" fillId="0" borderId="0" applyFont="0" applyFill="0" applyBorder="0" applyAlignment="0" applyProtection="0"/>
    <xf numFmtId="220" fontId="17" fillId="0" borderId="0" applyFont="0" applyFill="0" applyBorder="0" applyAlignment="0" applyProtection="0"/>
    <xf numFmtId="221" fontId="10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8" fillId="0" borderId="0">
      <alignment vertical="center"/>
    </xf>
    <xf numFmtId="41" fontId="17" fillId="0" borderId="0" applyFont="0" applyFill="0" applyBorder="0" applyAlignment="0" applyProtection="0"/>
    <xf numFmtId="41" fontId="56" fillId="0" borderId="0" applyFont="0" applyFill="0" applyBorder="0" applyAlignment="0" applyProtection="0">
      <alignment vertical="center"/>
    </xf>
    <xf numFmtId="0" fontId="120" fillId="0" borderId="0"/>
    <xf numFmtId="41" fontId="120" fillId="0" borderId="0" applyFont="0" applyFill="0" applyBorder="0" applyAlignment="0" applyProtection="0"/>
    <xf numFmtId="42" fontId="120" fillId="0" borderId="0" applyFont="0" applyFill="0" applyBorder="0" applyAlignment="0" applyProtection="0">
      <alignment vertical="center"/>
    </xf>
    <xf numFmtId="0" fontId="56" fillId="61" borderId="0" applyNumberFormat="0" applyBorder="0" applyAlignment="0" applyProtection="0"/>
    <xf numFmtId="0" fontId="56" fillId="62" borderId="0" applyNumberFormat="0" applyBorder="0" applyAlignment="0" applyProtection="0"/>
    <xf numFmtId="0" fontId="56" fillId="63" borderId="0" applyNumberFormat="0" applyBorder="0" applyAlignment="0" applyProtection="0"/>
    <xf numFmtId="0" fontId="56" fillId="64" borderId="0" applyNumberFormat="0" applyBorder="0" applyAlignment="0" applyProtection="0"/>
    <xf numFmtId="0" fontId="56" fillId="65" borderId="0" applyNumberFormat="0" applyBorder="0" applyAlignment="0" applyProtection="0"/>
    <xf numFmtId="0" fontId="56" fillId="56" borderId="0" applyNumberFormat="0" applyBorder="0" applyAlignment="0" applyProtection="0"/>
    <xf numFmtId="0" fontId="56" fillId="66" borderId="0" applyNumberFormat="0" applyBorder="0" applyAlignment="0" applyProtection="0"/>
    <xf numFmtId="0" fontId="56" fillId="67" borderId="0" applyNumberFormat="0" applyBorder="0" applyAlignment="0" applyProtection="0"/>
    <xf numFmtId="0" fontId="56" fillId="68" borderId="0" applyNumberFormat="0" applyBorder="0" applyAlignment="0" applyProtection="0"/>
    <xf numFmtId="0" fontId="56" fillId="64" borderId="0" applyNumberFormat="0" applyBorder="0" applyAlignment="0" applyProtection="0"/>
    <xf numFmtId="0" fontId="56" fillId="66" borderId="0" applyNumberFormat="0" applyBorder="0" applyAlignment="0" applyProtection="0"/>
    <xf numFmtId="0" fontId="56" fillId="69" borderId="0" applyNumberFormat="0" applyBorder="0" applyAlignment="0" applyProtection="0"/>
    <xf numFmtId="0" fontId="121" fillId="70" borderId="0" applyNumberFormat="0" applyBorder="0" applyAlignment="0" applyProtection="0"/>
    <xf numFmtId="0" fontId="121" fillId="67" borderId="0" applyNumberFormat="0" applyBorder="0" applyAlignment="0" applyProtection="0"/>
    <xf numFmtId="0" fontId="121" fillId="68" borderId="0" applyNumberFormat="0" applyBorder="0" applyAlignment="0" applyProtection="0"/>
    <xf numFmtId="0" fontId="121" fillId="71" borderId="0" applyNumberFormat="0" applyBorder="0" applyAlignment="0" applyProtection="0"/>
    <xf numFmtId="0" fontId="121" fillId="72" borderId="0" applyNumberFormat="0" applyBorder="0" applyAlignment="0" applyProtection="0"/>
    <xf numFmtId="0" fontId="121" fillId="73" borderId="0" applyNumberFormat="0" applyBorder="0" applyAlignment="0" applyProtection="0"/>
    <xf numFmtId="0" fontId="121" fillId="74" borderId="0" applyNumberFormat="0" applyBorder="0" applyAlignment="0" applyProtection="0"/>
    <xf numFmtId="0" fontId="121" fillId="75" borderId="0" applyNumberFormat="0" applyBorder="0" applyAlignment="0" applyProtection="0"/>
    <xf numFmtId="0" fontId="121" fillId="76" borderId="0" applyNumberFormat="0" applyBorder="0" applyAlignment="0" applyProtection="0"/>
    <xf numFmtId="0" fontId="121" fillId="71" borderId="0" applyNumberFormat="0" applyBorder="0" applyAlignment="0" applyProtection="0"/>
    <xf numFmtId="0" fontId="121" fillId="72" borderId="0" applyNumberFormat="0" applyBorder="0" applyAlignment="0" applyProtection="0"/>
    <xf numFmtId="0" fontId="121" fillId="77" borderId="0" applyNumberFormat="0" applyBorder="0" applyAlignment="0" applyProtection="0"/>
    <xf numFmtId="0" fontId="122" fillId="62" borderId="0" applyNumberFormat="0" applyBorder="0" applyAlignment="0" applyProtection="0"/>
    <xf numFmtId="0" fontId="123" fillId="78" borderId="165" applyNumberFormat="0" applyAlignment="0" applyProtection="0"/>
    <xf numFmtId="0" fontId="124" fillId="79" borderId="171" applyNumberFormat="0" applyAlignment="0" applyProtection="0"/>
    <xf numFmtId="41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125" fillId="0" borderId="0" applyNumberFormat="0" applyFill="0" applyBorder="0" applyAlignment="0" applyProtection="0"/>
    <xf numFmtId="0" fontId="126" fillId="63" borderId="0" applyNumberFormat="0" applyBorder="0" applyAlignment="0" applyProtection="0"/>
    <xf numFmtId="0" fontId="127" fillId="0" borderId="172" applyNumberFormat="0" applyFill="0" applyAlignment="0" applyProtection="0"/>
    <xf numFmtId="0" fontId="128" fillId="0" borderId="173" applyNumberFormat="0" applyFill="0" applyAlignment="0" applyProtection="0"/>
    <xf numFmtId="0" fontId="129" fillId="0" borderId="174" applyNumberFormat="0" applyFill="0" applyAlignment="0" applyProtection="0"/>
    <xf numFmtId="0" fontId="129" fillId="0" borderId="0" applyNumberFormat="0" applyFill="0" applyBorder="0" applyAlignment="0" applyProtection="0"/>
    <xf numFmtId="0" fontId="130" fillId="56" borderId="165" applyNumberFormat="0" applyAlignment="0" applyProtection="0"/>
    <xf numFmtId="0" fontId="131" fillId="0" borderId="175" applyNumberFormat="0" applyFill="0" applyAlignment="0" applyProtection="0"/>
    <xf numFmtId="0" fontId="132" fillId="80" borderId="0" applyNumberFormat="0" applyBorder="0" applyAlignment="0" applyProtection="0"/>
    <xf numFmtId="0" fontId="56" fillId="81" borderId="176" applyNumberFormat="0" applyFont="0" applyAlignment="0" applyProtection="0"/>
    <xf numFmtId="0" fontId="133" fillId="78" borderId="177" applyNumberFormat="0" applyAlignment="0" applyProtection="0"/>
    <xf numFmtId="0" fontId="134" fillId="0" borderId="0" applyNumberFormat="0" applyFill="0" applyBorder="0" applyAlignment="0" applyProtection="0"/>
    <xf numFmtId="0" fontId="119" fillId="0" borderId="178" applyNumberFormat="0" applyFill="0" applyAlignment="0" applyProtection="0"/>
    <xf numFmtId="222" fontId="51" fillId="0" borderId="0" applyFont="0" applyFill="0" applyBorder="0" applyAlignment="0" applyProtection="0"/>
    <xf numFmtId="223" fontId="51" fillId="0" borderId="0" applyFont="0" applyFill="0" applyBorder="0" applyAlignment="0" applyProtection="0"/>
    <xf numFmtId="0" fontId="135" fillId="0" borderId="0" applyNumberFormat="0" applyFill="0" applyBorder="0" applyAlignment="0" applyProtection="0"/>
    <xf numFmtId="0" fontId="120" fillId="0" borderId="0"/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196" fontId="51" fillId="0" borderId="0">
      <protection locked="0"/>
    </xf>
    <xf numFmtId="211" fontId="51" fillId="0" borderId="0">
      <protection locked="0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36" fillId="0" borderId="0"/>
    <xf numFmtId="0" fontId="1" fillId="0" borderId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/>
    <xf numFmtId="10" fontId="54" fillId="33" borderId="179" applyNumberFormat="0" applyBorder="0" applyAlignment="0" applyProtection="0"/>
    <xf numFmtId="41" fontId="5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20" fillId="0" borderId="0" applyFont="0" applyFill="0" applyBorder="0" applyAlignment="0" applyProtection="0"/>
    <xf numFmtId="42" fontId="120" fillId="0" borderId="0" applyFont="0" applyFill="0" applyBorder="0" applyAlignment="0" applyProtection="0">
      <alignment vertical="center"/>
    </xf>
    <xf numFmtId="0" fontId="123" fillId="78" borderId="181" applyNumberFormat="0" applyAlignment="0" applyProtection="0"/>
    <xf numFmtId="0" fontId="89" fillId="0" borderId="180">
      <alignment horizontal="left" vertical="center"/>
    </xf>
    <xf numFmtId="0" fontId="130" fillId="56" borderId="181" applyNumberFormat="0" applyAlignment="0" applyProtection="0"/>
    <xf numFmtId="0" fontId="56" fillId="81" borderId="182" applyNumberFormat="0" applyFont="0" applyAlignment="0" applyProtection="0"/>
    <xf numFmtId="0" fontId="133" fillId="78" borderId="183" applyNumberFormat="0" applyAlignment="0" applyProtection="0"/>
    <xf numFmtId="0" fontId="119" fillId="0" borderId="184" applyNumberFormat="0" applyFill="0" applyAlignment="0" applyProtection="0"/>
    <xf numFmtId="0" fontId="1" fillId="0" borderId="0">
      <alignment vertical="center"/>
    </xf>
    <xf numFmtId="0" fontId="89" fillId="0" borderId="192">
      <alignment horizontal="left" vertical="center"/>
    </xf>
    <xf numFmtId="41" fontId="17" fillId="0" borderId="0" applyFont="0" applyFill="0" applyBorder="0" applyAlignment="0" applyProtection="0"/>
    <xf numFmtId="10" fontId="54" fillId="33" borderId="185" applyNumberFormat="0" applyBorder="0" applyAlignment="0" applyProtection="0"/>
    <xf numFmtId="41" fontId="56" fillId="0" borderId="0" applyFont="0" applyFill="0" applyBorder="0" applyAlignment="0" applyProtection="0">
      <alignment vertical="center"/>
    </xf>
    <xf numFmtId="10" fontId="54" fillId="33" borderId="191" applyNumberFormat="0" applyBorder="0" applyAlignment="0" applyProtection="0"/>
    <xf numFmtId="41" fontId="17" fillId="0" borderId="0" applyFont="0" applyFill="0" applyBorder="0" applyAlignment="0" applyProtection="0"/>
    <xf numFmtId="41" fontId="120" fillId="0" borderId="0" applyFont="0" applyFill="0" applyBorder="0" applyAlignment="0" applyProtection="0"/>
    <xf numFmtId="42" fontId="120" fillId="0" borderId="0" applyFont="0" applyFill="0" applyBorder="0" applyAlignment="0" applyProtection="0">
      <alignment vertical="center"/>
    </xf>
    <xf numFmtId="0" fontId="123" fillId="78" borderId="187" applyNumberFormat="0" applyAlignment="0" applyProtection="0"/>
    <xf numFmtId="0" fontId="89" fillId="0" borderId="186">
      <alignment horizontal="left" vertical="center"/>
    </xf>
    <xf numFmtId="0" fontId="130" fillId="56" borderId="187" applyNumberFormat="0" applyAlignment="0" applyProtection="0"/>
    <xf numFmtId="0" fontId="56" fillId="81" borderId="188" applyNumberFormat="0" applyFont="0" applyAlignment="0" applyProtection="0"/>
    <xf numFmtId="0" fontId="133" fillId="78" borderId="189" applyNumberFormat="0" applyAlignment="0" applyProtection="0"/>
    <xf numFmtId="0" fontId="119" fillId="0" borderId="190" applyNumberFormat="0" applyFill="0" applyAlignment="0" applyProtection="0"/>
    <xf numFmtId="0" fontId="1" fillId="0" borderId="0">
      <alignment vertical="center"/>
    </xf>
    <xf numFmtId="0" fontId="130" fillId="56" borderId="187" applyNumberFormat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/>
    <xf numFmtId="42" fontId="120" fillId="0" borderId="0" applyFont="0" applyFill="0" applyBorder="0" applyAlignment="0" applyProtection="0">
      <alignment vertical="center"/>
    </xf>
    <xf numFmtId="0" fontId="130" fillId="56" borderId="187" applyNumberFormat="0" applyAlignment="0" applyProtection="0"/>
    <xf numFmtId="0" fontId="56" fillId="81" borderId="193" applyNumberFormat="0" applyFont="0" applyAlignment="0" applyProtection="0"/>
    <xf numFmtId="0" fontId="133" fillId="78" borderId="194" applyNumberFormat="0" applyAlignment="0" applyProtection="0"/>
    <xf numFmtId="0" fontId="119" fillId="0" borderId="195" applyNumberFormat="0" applyFill="0" applyAlignment="0" applyProtection="0"/>
    <xf numFmtId="0" fontId="1" fillId="0" borderId="0">
      <alignment vertical="center"/>
    </xf>
    <xf numFmtId="0" fontId="56" fillId="81" borderId="193" applyNumberFormat="0" applyFont="0" applyAlignment="0" applyProtection="0"/>
    <xf numFmtId="0" fontId="133" fillId="78" borderId="194" applyNumberFormat="0" applyAlignment="0" applyProtection="0"/>
    <xf numFmtId="10" fontId="54" fillId="33" borderId="196" applyNumberFormat="0" applyBorder="0" applyAlignment="0" applyProtection="0"/>
    <xf numFmtId="41" fontId="56" fillId="0" borderId="0" applyFont="0" applyFill="0" applyBorder="0" applyAlignment="0" applyProtection="0">
      <alignment vertical="center"/>
    </xf>
    <xf numFmtId="0" fontId="130" fillId="56" borderId="197" applyNumberFormat="0" applyAlignment="0" applyProtection="0"/>
    <xf numFmtId="0" fontId="130" fillId="56" borderId="197" applyNumberFormat="0" applyAlignment="0" applyProtection="0"/>
    <xf numFmtId="41" fontId="17" fillId="0" borderId="0" applyFont="0" applyFill="0" applyBorder="0" applyAlignment="0" applyProtection="0"/>
    <xf numFmtId="41" fontId="120" fillId="0" borderId="0" applyFont="0" applyFill="0" applyBorder="0" applyAlignment="0" applyProtection="0"/>
    <xf numFmtId="42" fontId="120" fillId="0" borderId="0" applyFont="0" applyFill="0" applyBorder="0" applyAlignment="0" applyProtection="0">
      <alignment vertical="center"/>
    </xf>
    <xf numFmtId="0" fontId="123" fillId="78" borderId="197" applyNumberFormat="0" applyAlignment="0" applyProtection="0"/>
    <xf numFmtId="0" fontId="130" fillId="56" borderId="197" applyNumberFormat="0" applyAlignment="0" applyProtection="0"/>
    <xf numFmtId="0" fontId="123" fillId="78" borderId="197" applyNumberFormat="0" applyAlignment="0" applyProtection="0"/>
    <xf numFmtId="0" fontId="89" fillId="0" borderId="192">
      <alignment horizontal="left" vertical="center"/>
    </xf>
    <xf numFmtId="0" fontId="130" fillId="56" borderId="197" applyNumberFormat="0" applyAlignment="0" applyProtection="0"/>
    <xf numFmtId="0" fontId="56" fillId="81" borderId="193" applyNumberFormat="0" applyFont="0" applyAlignment="0" applyProtection="0"/>
    <xf numFmtId="0" fontId="133" fillId="78" borderId="194" applyNumberFormat="0" applyAlignment="0" applyProtection="0"/>
    <xf numFmtId="0" fontId="119" fillId="0" borderId="195" applyNumberFormat="0" applyFill="0" applyAlignment="0" applyProtection="0"/>
    <xf numFmtId="0" fontId="119" fillId="0" borderId="195" applyNumberFormat="0" applyFill="0" applyAlignment="0" applyProtection="0"/>
    <xf numFmtId="0" fontId="1" fillId="0" borderId="0">
      <alignment vertical="center"/>
    </xf>
    <xf numFmtId="0" fontId="89" fillId="0" borderId="192">
      <alignment horizontal="left" vertical="center"/>
    </xf>
    <xf numFmtId="196" fontId="51" fillId="0" borderId="0">
      <protection locked="0"/>
    </xf>
    <xf numFmtId="211" fontId="51" fillId="0" borderId="0">
      <protection locked="0"/>
    </xf>
    <xf numFmtId="10" fontId="54" fillId="33" borderId="196" applyNumberFormat="0" applyBorder="0" applyAlignment="0" applyProtection="0"/>
    <xf numFmtId="0" fontId="123" fillId="78" borderId="197" applyNumberFormat="0" applyAlignment="0" applyProtection="0"/>
    <xf numFmtId="0" fontId="89" fillId="0" borderId="192">
      <alignment horizontal="left" vertical="center"/>
    </xf>
    <xf numFmtId="0" fontId="130" fillId="56" borderId="197" applyNumberFormat="0" applyAlignment="0" applyProtection="0"/>
    <xf numFmtId="0" fontId="56" fillId="81" borderId="193" applyNumberFormat="0" applyFont="0" applyAlignment="0" applyProtection="0"/>
    <xf numFmtId="0" fontId="133" fillId="78" borderId="194" applyNumberFormat="0" applyAlignment="0" applyProtection="0"/>
    <xf numFmtId="0" fontId="119" fillId="0" borderId="195" applyNumberFormat="0" applyFill="0" applyAlignment="0" applyProtection="0"/>
    <xf numFmtId="0" fontId="89" fillId="0" borderId="204">
      <alignment horizontal="left" vertical="center"/>
    </xf>
    <xf numFmtId="10" fontId="54" fillId="33" borderId="196" applyNumberFormat="0" applyBorder="0" applyAlignment="0" applyProtection="0"/>
    <xf numFmtId="10" fontId="54" fillId="33" borderId="203" applyNumberFormat="0" applyBorder="0" applyAlignment="0" applyProtection="0"/>
    <xf numFmtId="0" fontId="123" fillId="78" borderId="199" applyNumberFormat="0" applyAlignment="0" applyProtection="0"/>
    <xf numFmtId="0" fontId="89" fillId="0" borderId="198">
      <alignment horizontal="left" vertical="center"/>
    </xf>
    <xf numFmtId="0" fontId="130" fillId="56" borderId="199" applyNumberFormat="0" applyAlignment="0" applyProtection="0"/>
    <xf numFmtId="0" fontId="56" fillId="81" borderId="200" applyNumberFormat="0" applyFont="0" applyAlignment="0" applyProtection="0"/>
    <xf numFmtId="0" fontId="133" fillId="78" borderId="201" applyNumberFormat="0" applyAlignment="0" applyProtection="0"/>
    <xf numFmtId="0" fontId="119" fillId="0" borderId="202" applyNumberFormat="0" applyFill="0" applyAlignment="0" applyProtection="0"/>
    <xf numFmtId="0" fontId="130" fillId="56" borderId="199" applyNumberFormat="0" applyAlignment="0" applyProtection="0"/>
    <xf numFmtId="0" fontId="130" fillId="56" borderId="199" applyNumberFormat="0" applyAlignment="0" applyProtection="0"/>
    <xf numFmtId="0" fontId="56" fillId="81" borderId="205" applyNumberFormat="0" applyFont="0" applyAlignment="0" applyProtection="0"/>
    <xf numFmtId="0" fontId="133" fillId="78" borderId="206" applyNumberFormat="0" applyAlignment="0" applyProtection="0"/>
    <xf numFmtId="0" fontId="119" fillId="0" borderId="207" applyNumberFormat="0" applyFill="0" applyAlignment="0" applyProtection="0"/>
    <xf numFmtId="0" fontId="56" fillId="81" borderId="205" applyNumberFormat="0" applyFont="0" applyAlignment="0" applyProtection="0"/>
    <xf numFmtId="0" fontId="133" fillId="78" borderId="206" applyNumberFormat="0" applyAlignment="0" applyProtection="0"/>
    <xf numFmtId="10" fontId="54" fillId="33" borderId="208" applyNumberFormat="0" applyBorder="0" applyAlignment="0" applyProtection="0"/>
    <xf numFmtId="0" fontId="130" fillId="56" borderId="209" applyNumberFormat="0" applyAlignment="0" applyProtection="0"/>
    <xf numFmtId="0" fontId="130" fillId="56" borderId="209" applyNumberFormat="0" applyAlignment="0" applyProtection="0"/>
    <xf numFmtId="0" fontId="123" fillId="78" borderId="209" applyNumberFormat="0" applyAlignment="0" applyProtection="0"/>
    <xf numFmtId="0" fontId="130" fillId="56" borderId="209" applyNumberFormat="0" applyAlignment="0" applyProtection="0"/>
    <xf numFmtId="0" fontId="123" fillId="78" borderId="209" applyNumberFormat="0" applyAlignment="0" applyProtection="0"/>
    <xf numFmtId="0" fontId="89" fillId="0" borderId="204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6" applyNumberFormat="0" applyAlignment="0" applyProtection="0"/>
    <xf numFmtId="0" fontId="119" fillId="0" borderId="207" applyNumberFormat="0" applyFill="0" applyAlignment="0" applyProtection="0"/>
    <xf numFmtId="0" fontId="119" fillId="0" borderId="207" applyNumberFormat="0" applyFill="0" applyAlignment="0" applyProtection="0"/>
    <xf numFmtId="0" fontId="89" fillId="0" borderId="204">
      <alignment horizontal="left" vertical="center"/>
    </xf>
    <xf numFmtId="196" fontId="51" fillId="0" borderId="0">
      <protection locked="0"/>
    </xf>
    <xf numFmtId="211" fontId="51" fillId="0" borderId="0">
      <protection locked="0"/>
    </xf>
    <xf numFmtId="10" fontId="54" fillId="33" borderId="208" applyNumberFormat="0" applyBorder="0" applyAlignment="0" applyProtection="0"/>
    <xf numFmtId="0" fontId="123" fillId="78" borderId="209" applyNumberFormat="0" applyAlignment="0" applyProtection="0"/>
    <xf numFmtId="0" fontId="89" fillId="0" borderId="204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6" applyNumberFormat="0" applyAlignment="0" applyProtection="0"/>
    <xf numFmtId="0" fontId="119" fillId="0" borderId="207" applyNumberFormat="0" applyFill="0" applyAlignment="0" applyProtection="0"/>
    <xf numFmtId="0" fontId="89" fillId="0" borderId="210">
      <alignment horizontal="left" vertical="center"/>
    </xf>
    <xf numFmtId="10" fontId="54" fillId="33" borderId="208" applyNumberFormat="0" applyBorder="0" applyAlignment="0" applyProtection="0"/>
    <xf numFmtId="10" fontId="54" fillId="33" borderId="208" applyNumberFormat="0" applyBorder="0" applyAlignment="0" applyProtection="0"/>
    <xf numFmtId="0" fontId="123" fillId="78" borderId="209" applyNumberFormat="0" applyAlignment="0" applyProtection="0"/>
    <xf numFmtId="0" fontId="89" fillId="0" borderId="204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6" applyNumberFormat="0" applyAlignment="0" applyProtection="0"/>
    <xf numFmtId="0" fontId="119" fillId="0" borderId="207" applyNumberFormat="0" applyFill="0" applyAlignment="0" applyProtection="0"/>
    <xf numFmtId="0" fontId="130" fillId="56" borderId="209" applyNumberFormat="0" applyAlignment="0" applyProtection="0"/>
    <xf numFmtId="0" fontId="130" fillId="56" borderId="209" applyNumberFormat="0" applyAlignment="0" applyProtection="0"/>
    <xf numFmtId="0" fontId="56" fillId="81" borderId="211" applyNumberFormat="0" applyFont="0" applyAlignment="0" applyProtection="0"/>
    <xf numFmtId="0" fontId="133" fillId="78" borderId="212" applyNumberFormat="0" applyAlignment="0" applyProtection="0"/>
    <xf numFmtId="0" fontId="119" fillId="0" borderId="213" applyNumberFormat="0" applyFill="0" applyAlignment="0" applyProtection="0"/>
    <xf numFmtId="0" fontId="56" fillId="81" borderId="211" applyNumberFormat="0" applyFont="0" applyAlignment="0" applyProtection="0"/>
    <xf numFmtId="0" fontId="133" fillId="78" borderId="212" applyNumberFormat="0" applyAlignment="0" applyProtection="0"/>
    <xf numFmtId="10" fontId="54" fillId="33" borderId="214" applyNumberFormat="0" applyBorder="0" applyAlignment="0" applyProtection="0"/>
    <xf numFmtId="0" fontId="130" fillId="56" borderId="215" applyNumberFormat="0" applyAlignment="0" applyProtection="0"/>
    <xf numFmtId="0" fontId="130" fillId="56" borderId="215" applyNumberFormat="0" applyAlignment="0" applyProtection="0"/>
    <xf numFmtId="0" fontId="123" fillId="78" borderId="215" applyNumberFormat="0" applyAlignment="0" applyProtection="0"/>
    <xf numFmtId="0" fontId="130" fillId="56" borderId="215" applyNumberFormat="0" applyAlignment="0" applyProtection="0"/>
    <xf numFmtId="0" fontId="123" fillId="78" borderId="215" applyNumberFormat="0" applyAlignment="0" applyProtection="0"/>
    <xf numFmtId="0" fontId="89" fillId="0" borderId="210">
      <alignment horizontal="left" vertical="center"/>
    </xf>
    <xf numFmtId="0" fontId="130" fillId="56" borderId="215" applyNumberFormat="0" applyAlignment="0" applyProtection="0"/>
    <xf numFmtId="0" fontId="56" fillId="81" borderId="211" applyNumberFormat="0" applyFont="0" applyAlignment="0" applyProtection="0"/>
    <xf numFmtId="0" fontId="133" fillId="78" borderId="212" applyNumberFormat="0" applyAlignment="0" applyProtection="0"/>
    <xf numFmtId="0" fontId="119" fillId="0" borderId="213" applyNumberFormat="0" applyFill="0" applyAlignment="0" applyProtection="0"/>
    <xf numFmtId="0" fontId="119" fillId="0" borderId="213" applyNumberFormat="0" applyFill="0" applyAlignment="0" applyProtection="0"/>
    <xf numFmtId="9" fontId="17" fillId="0" borderId="0" applyFont="0" applyFill="0" applyBorder="0" applyAlignment="0" applyProtection="0">
      <alignment vertical="center"/>
    </xf>
    <xf numFmtId="0" fontId="76" fillId="33" borderId="65">
      <alignment horizontal="center" wrapText="1"/>
    </xf>
    <xf numFmtId="0" fontId="76" fillId="33" borderId="65">
      <alignment horizontal="center" wrapText="1"/>
    </xf>
    <xf numFmtId="197" fontId="52" fillId="0" borderId="196" applyFill="0" applyBorder="0" applyAlignment="0"/>
    <xf numFmtId="198" fontId="82" fillId="0" borderId="196" applyFill="0" applyBorder="0" applyAlignment="0"/>
    <xf numFmtId="0" fontId="89" fillId="0" borderId="95" applyNumberFormat="0" applyAlignment="0" applyProtection="0">
      <alignment horizontal="left" vertical="center"/>
    </xf>
    <xf numFmtId="0" fontId="89" fillId="0" borderId="216">
      <alignment horizontal="left" vertical="center"/>
    </xf>
    <xf numFmtId="0" fontId="102" fillId="1" borderId="216" applyNumberFormat="0" applyFont="0" applyAlignment="0">
      <alignment horizontal="center"/>
    </xf>
    <xf numFmtId="0" fontId="104" fillId="60" borderId="217" applyNumberFormat="0" applyFont="0" applyBorder="0" applyAlignment="0"/>
    <xf numFmtId="0" fontId="137" fillId="0" borderId="0" applyNumberFormat="0" applyFill="0" applyBorder="0" applyAlignment="0" applyProtection="0">
      <alignment vertical="center"/>
    </xf>
    <xf numFmtId="0" fontId="123" fillId="78" borderId="215" applyNumberFormat="0" applyAlignment="0" applyProtection="0"/>
    <xf numFmtId="0" fontId="130" fillId="56" borderId="215" applyNumberFormat="0" applyAlignment="0" applyProtection="0"/>
    <xf numFmtId="0" fontId="56" fillId="81" borderId="211" applyNumberFormat="0" applyFont="0" applyAlignment="0" applyProtection="0"/>
    <xf numFmtId="0" fontId="133" fillId="78" borderId="201" applyNumberFormat="0" applyAlignment="0" applyProtection="0"/>
    <xf numFmtId="0" fontId="119" fillId="0" borderId="202" applyNumberFormat="0" applyFill="0" applyAlignment="0" applyProtection="0"/>
    <xf numFmtId="0" fontId="123" fillId="78" borderId="209" applyNumberFormat="0" applyAlignment="0" applyProtection="0"/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89" fillId="0" borderId="216">
      <alignment horizontal="left" vertical="center"/>
    </xf>
    <xf numFmtId="10" fontId="54" fillId="33" borderId="208" applyNumberFormat="0" applyBorder="0" applyAlignment="0" applyProtection="0"/>
    <xf numFmtId="0" fontId="89" fillId="0" borderId="216">
      <alignment horizontal="left" vertical="center"/>
    </xf>
    <xf numFmtId="0" fontId="119" fillId="0" borderId="207" applyNumberFormat="0" applyFill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10" fontId="54" fillId="33" borderId="208" applyNumberFormat="0" applyBorder="0" applyAlignment="0" applyProtection="0"/>
    <xf numFmtId="0" fontId="130" fillId="56" borderId="209" applyNumberFormat="0" applyAlignment="0" applyProtection="0"/>
    <xf numFmtId="0" fontId="130" fillId="56" borderId="209" applyNumberFormat="0" applyAlignment="0" applyProtection="0"/>
    <xf numFmtId="0" fontId="123" fillId="78" borderId="209" applyNumberFormat="0" applyAlignment="0" applyProtection="0"/>
    <xf numFmtId="0" fontId="130" fillId="56" borderId="209" applyNumberFormat="0" applyAlignment="0" applyProtection="0"/>
    <xf numFmtId="0" fontId="123" fillId="78" borderId="209" applyNumberFormat="0" applyAlignment="0" applyProtection="0"/>
    <xf numFmtId="0" fontId="89" fillId="0" borderId="216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119" fillId="0" borderId="207" applyNumberFormat="0" applyFill="0" applyAlignment="0" applyProtection="0"/>
    <xf numFmtId="0" fontId="89" fillId="0" borderId="216">
      <alignment horizontal="left" vertical="center"/>
    </xf>
    <xf numFmtId="10" fontId="54" fillId="33" borderId="208" applyNumberFormat="0" applyBorder="0" applyAlignment="0" applyProtection="0"/>
    <xf numFmtId="0" fontId="123" fillId="78" borderId="209" applyNumberFormat="0" applyAlignment="0" applyProtection="0"/>
    <xf numFmtId="0" fontId="89" fillId="0" borderId="216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89" fillId="0" borderId="216">
      <alignment horizontal="left" vertical="center"/>
    </xf>
    <xf numFmtId="10" fontId="54" fillId="33" borderId="208" applyNumberFormat="0" applyBorder="0" applyAlignment="0" applyProtection="0"/>
    <xf numFmtId="10" fontId="54" fillId="33" borderId="208" applyNumberFormat="0" applyBorder="0" applyAlignment="0" applyProtection="0"/>
    <xf numFmtId="0" fontId="123" fillId="78" borderId="209" applyNumberFormat="0" applyAlignment="0" applyProtection="0"/>
    <xf numFmtId="0" fontId="89" fillId="0" borderId="216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19" fillId="0" borderId="207" applyNumberFormat="0" applyFill="0" applyAlignment="0" applyProtection="0"/>
    <xf numFmtId="0" fontId="130" fillId="56" borderId="209" applyNumberFormat="0" applyAlignment="0" applyProtection="0"/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10" fontId="54" fillId="33" borderId="208" applyNumberFormat="0" applyBorder="0" applyAlignment="0" applyProtection="0"/>
    <xf numFmtId="0" fontId="130" fillId="56" borderId="209" applyNumberFormat="0" applyAlignment="0" applyProtection="0"/>
    <xf numFmtId="0" fontId="130" fillId="56" borderId="209" applyNumberFormat="0" applyAlignment="0" applyProtection="0"/>
    <xf numFmtId="0" fontId="123" fillId="78" borderId="209" applyNumberFormat="0" applyAlignment="0" applyProtection="0"/>
    <xf numFmtId="0" fontId="130" fillId="56" borderId="209" applyNumberFormat="0" applyAlignment="0" applyProtection="0"/>
    <xf numFmtId="0" fontId="123" fillId="78" borderId="209" applyNumberFormat="0" applyAlignment="0" applyProtection="0"/>
    <xf numFmtId="0" fontId="89" fillId="0" borderId="216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119" fillId="0" borderId="207" applyNumberFormat="0" applyFill="0" applyAlignment="0" applyProtection="0"/>
    <xf numFmtId="0" fontId="89" fillId="0" borderId="216">
      <alignment horizontal="left" vertical="center"/>
    </xf>
    <xf numFmtId="10" fontId="54" fillId="33" borderId="208" applyNumberFormat="0" applyBorder="0" applyAlignment="0" applyProtection="0"/>
    <xf numFmtId="0" fontId="123" fillId="78" borderId="209" applyNumberFormat="0" applyAlignment="0" applyProtection="0"/>
    <xf numFmtId="0" fontId="89" fillId="0" borderId="216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89" fillId="0" borderId="216">
      <alignment horizontal="left" vertical="center"/>
    </xf>
    <xf numFmtId="10" fontId="54" fillId="33" borderId="208" applyNumberFormat="0" applyBorder="0" applyAlignment="0" applyProtection="0"/>
    <xf numFmtId="0" fontId="89" fillId="0" borderId="216">
      <alignment horizontal="left" vertical="center"/>
    </xf>
    <xf numFmtId="0" fontId="133" fillId="78" borderId="201" applyNumberFormat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10" fontId="54" fillId="33" borderId="208" applyNumberFormat="0" applyBorder="0" applyAlignment="0" applyProtection="0"/>
    <xf numFmtId="0" fontId="130" fillId="56" borderId="209" applyNumberFormat="0" applyAlignment="0" applyProtection="0"/>
    <xf numFmtId="0" fontId="130" fillId="56" borderId="209" applyNumberFormat="0" applyAlignment="0" applyProtection="0"/>
    <xf numFmtId="0" fontId="123" fillId="78" borderId="209" applyNumberFormat="0" applyAlignment="0" applyProtection="0"/>
    <xf numFmtId="0" fontId="130" fillId="56" borderId="209" applyNumberFormat="0" applyAlignment="0" applyProtection="0"/>
    <xf numFmtId="0" fontId="123" fillId="78" borderId="209" applyNumberFormat="0" applyAlignment="0" applyProtection="0"/>
    <xf numFmtId="0" fontId="89" fillId="0" borderId="216">
      <alignment horizontal="left" vertical="center"/>
    </xf>
    <xf numFmtId="0" fontId="130" fillId="56" borderId="209" applyNumberFormat="0" applyAlignment="0" applyProtection="0"/>
    <xf numFmtId="0" fontId="56" fillId="81" borderId="205" applyNumberFormat="0" applyFont="0" applyAlignment="0" applyProtection="0"/>
    <xf numFmtId="0" fontId="133" fillId="78" borderId="201" applyNumberFormat="0" applyAlignment="0" applyProtection="0"/>
    <xf numFmtId="0" fontId="119" fillId="0" borderId="207" applyNumberFormat="0" applyFill="0" applyAlignment="0" applyProtection="0"/>
    <xf numFmtId="0" fontId="119" fillId="0" borderId="207" applyNumberFormat="0" applyFill="0" applyAlignment="0" applyProtection="0"/>
    <xf numFmtId="0" fontId="89" fillId="0" borderId="218" applyNumberFormat="0" applyAlignment="0" applyProtection="0">
      <alignment horizontal="left" vertical="center"/>
    </xf>
    <xf numFmtId="0" fontId="123" fillId="78" borderId="219" applyNumberFormat="0" applyAlignment="0" applyProtection="0"/>
    <xf numFmtId="0" fontId="130" fillId="56" borderId="219" applyNumberFormat="0" applyAlignment="0" applyProtection="0"/>
    <xf numFmtId="0" fontId="56" fillId="81" borderId="220" applyNumberFormat="0" applyFont="0" applyAlignment="0" applyProtection="0"/>
    <xf numFmtId="0" fontId="133" fillId="78" borderId="221" applyNumberFormat="0" applyAlignment="0" applyProtection="0"/>
    <xf numFmtId="0" fontId="119" fillId="0" borderId="222" applyNumberFormat="0" applyFill="0" applyAlignment="0" applyProtection="0"/>
    <xf numFmtId="10" fontId="54" fillId="33" borderId="223" applyNumberFormat="0" applyBorder="0" applyAlignment="0" applyProtection="0"/>
    <xf numFmtId="0" fontId="123" fillId="78" borderId="225" applyNumberFormat="0" applyAlignment="0" applyProtection="0"/>
    <xf numFmtId="0" fontId="89" fillId="0" borderId="224">
      <alignment horizontal="left" vertical="center"/>
    </xf>
    <xf numFmtId="0" fontId="130" fillId="56" borderId="225" applyNumberFormat="0" applyAlignment="0" applyProtection="0"/>
    <xf numFmtId="0" fontId="56" fillId="81" borderId="226" applyNumberFormat="0" applyFont="0" applyAlignment="0" applyProtection="0"/>
    <xf numFmtId="0" fontId="133" fillId="78" borderId="227" applyNumberFormat="0" applyAlignment="0" applyProtection="0"/>
    <xf numFmtId="0" fontId="119" fillId="0" borderId="228" applyNumberFormat="0" applyFill="0" applyAlignment="0" applyProtection="0"/>
    <xf numFmtId="0" fontId="89" fillId="0" borderId="236">
      <alignment horizontal="left" vertical="center"/>
    </xf>
    <xf numFmtId="10" fontId="54" fillId="33" borderId="229" applyNumberFormat="0" applyBorder="0" applyAlignment="0" applyProtection="0"/>
    <xf numFmtId="10" fontId="54" fillId="33" borderId="235" applyNumberFormat="0" applyBorder="0" applyAlignment="0" applyProtection="0"/>
    <xf numFmtId="0" fontId="123" fillId="78" borderId="231" applyNumberFormat="0" applyAlignment="0" applyProtection="0"/>
    <xf numFmtId="0" fontId="89" fillId="0" borderId="230">
      <alignment horizontal="left" vertical="center"/>
    </xf>
    <xf numFmtId="0" fontId="130" fillId="56" borderId="231" applyNumberFormat="0" applyAlignment="0" applyProtection="0"/>
    <xf numFmtId="0" fontId="56" fillId="81" borderId="232" applyNumberFormat="0" applyFont="0" applyAlignment="0" applyProtection="0"/>
    <xf numFmtId="0" fontId="133" fillId="78" borderId="233" applyNumberFormat="0" applyAlignment="0" applyProtection="0"/>
    <xf numFmtId="0" fontId="119" fillId="0" borderId="234" applyNumberFormat="0" applyFill="0" applyAlignment="0" applyProtection="0"/>
    <xf numFmtId="0" fontId="130" fillId="56" borderId="231" applyNumberFormat="0" applyAlignment="0" applyProtection="0"/>
    <xf numFmtId="0" fontId="130" fillId="56" borderId="231" applyNumberFormat="0" applyAlignment="0" applyProtection="0"/>
    <xf numFmtId="0" fontId="56" fillId="81" borderId="237" applyNumberFormat="0" applyFont="0" applyAlignment="0" applyProtection="0"/>
    <xf numFmtId="0" fontId="133" fillId="78" borderId="238" applyNumberFormat="0" applyAlignment="0" applyProtection="0"/>
    <xf numFmtId="0" fontId="119" fillId="0" borderId="239" applyNumberFormat="0" applyFill="0" applyAlignment="0" applyProtection="0"/>
    <xf numFmtId="0" fontId="56" fillId="81" borderId="237" applyNumberFormat="0" applyFont="0" applyAlignment="0" applyProtection="0"/>
    <xf numFmtId="0" fontId="133" fillId="78" borderId="238" applyNumberFormat="0" applyAlignment="0" applyProtection="0"/>
    <xf numFmtId="10" fontId="54" fillId="33" borderId="240" applyNumberFormat="0" applyBorder="0" applyAlignment="0" applyProtection="0"/>
    <xf numFmtId="0" fontId="130" fillId="56" borderId="241" applyNumberFormat="0" applyAlignment="0" applyProtection="0"/>
    <xf numFmtId="0" fontId="130" fillId="56" borderId="241" applyNumberFormat="0" applyAlignment="0" applyProtection="0"/>
    <xf numFmtId="0" fontId="123" fillId="78" borderId="241" applyNumberFormat="0" applyAlignment="0" applyProtection="0"/>
    <xf numFmtId="0" fontId="130" fillId="56" borderId="241" applyNumberFormat="0" applyAlignment="0" applyProtection="0"/>
    <xf numFmtId="0" fontId="123" fillId="78" borderId="241" applyNumberFormat="0" applyAlignment="0" applyProtection="0"/>
    <xf numFmtId="0" fontId="89" fillId="0" borderId="236">
      <alignment horizontal="left" vertical="center"/>
    </xf>
    <xf numFmtId="0" fontId="130" fillId="56" borderId="241" applyNumberFormat="0" applyAlignment="0" applyProtection="0"/>
    <xf numFmtId="0" fontId="56" fillId="81" borderId="237" applyNumberFormat="0" applyFont="0" applyAlignment="0" applyProtection="0"/>
    <xf numFmtId="0" fontId="133" fillId="78" borderId="238" applyNumberFormat="0" applyAlignment="0" applyProtection="0"/>
    <xf numFmtId="0" fontId="119" fillId="0" borderId="239" applyNumberFormat="0" applyFill="0" applyAlignment="0" applyProtection="0"/>
    <xf numFmtId="0" fontId="119" fillId="0" borderId="239" applyNumberFormat="0" applyFill="0" applyAlignment="0" applyProtection="0"/>
    <xf numFmtId="0" fontId="89" fillId="0" borderId="236">
      <alignment horizontal="left" vertical="center"/>
    </xf>
    <xf numFmtId="10" fontId="54" fillId="33" borderId="240" applyNumberFormat="0" applyBorder="0" applyAlignment="0" applyProtection="0"/>
    <xf numFmtId="0" fontId="123" fillId="78" borderId="241" applyNumberFormat="0" applyAlignment="0" applyProtection="0"/>
    <xf numFmtId="0" fontId="89" fillId="0" borderId="236">
      <alignment horizontal="left" vertical="center"/>
    </xf>
    <xf numFmtId="0" fontId="130" fillId="56" borderId="241" applyNumberFormat="0" applyAlignment="0" applyProtection="0"/>
    <xf numFmtId="0" fontId="56" fillId="81" borderId="237" applyNumberFormat="0" applyFont="0" applyAlignment="0" applyProtection="0"/>
    <xf numFmtId="0" fontId="133" fillId="78" borderId="238" applyNumberFormat="0" applyAlignment="0" applyProtection="0"/>
    <xf numFmtId="0" fontId="119" fillId="0" borderId="239" applyNumberFormat="0" applyFill="0" applyAlignment="0" applyProtection="0"/>
    <xf numFmtId="0" fontId="89" fillId="0" borderId="248">
      <alignment horizontal="left" vertical="center"/>
    </xf>
    <xf numFmtId="10" fontId="54" fillId="33" borderId="240" applyNumberFormat="0" applyBorder="0" applyAlignment="0" applyProtection="0"/>
    <xf numFmtId="10" fontId="54" fillId="33" borderId="247" applyNumberFormat="0" applyBorder="0" applyAlignment="0" applyProtection="0"/>
    <xf numFmtId="0" fontId="123" fillId="78" borderId="243" applyNumberFormat="0" applyAlignment="0" applyProtection="0"/>
    <xf numFmtId="0" fontId="89" fillId="0" borderId="242">
      <alignment horizontal="left" vertical="center"/>
    </xf>
    <xf numFmtId="0" fontId="130" fillId="56" borderId="243" applyNumberFormat="0" applyAlignment="0" applyProtection="0"/>
    <xf numFmtId="0" fontId="56" fillId="81" borderId="244" applyNumberFormat="0" applyFont="0" applyAlignment="0" applyProtection="0"/>
    <xf numFmtId="0" fontId="133" fillId="78" borderId="245" applyNumberFormat="0" applyAlignment="0" applyProtection="0"/>
    <xf numFmtId="0" fontId="119" fillId="0" borderId="246" applyNumberFormat="0" applyFill="0" applyAlignment="0" applyProtection="0"/>
    <xf numFmtId="0" fontId="130" fillId="56" borderId="243" applyNumberFormat="0" applyAlignment="0" applyProtection="0"/>
    <xf numFmtId="0" fontId="130" fillId="56" borderId="243" applyNumberFormat="0" applyAlignment="0" applyProtection="0"/>
    <xf numFmtId="0" fontId="56" fillId="81" borderId="249" applyNumberFormat="0" applyFont="0" applyAlignment="0" applyProtection="0"/>
    <xf numFmtId="0" fontId="133" fillId="78" borderId="250" applyNumberFormat="0" applyAlignment="0" applyProtection="0"/>
    <xf numFmtId="0" fontId="119" fillId="0" borderId="251" applyNumberFormat="0" applyFill="0" applyAlignment="0" applyProtection="0"/>
    <xf numFmtId="0" fontId="56" fillId="81" borderId="249" applyNumberFormat="0" applyFont="0" applyAlignment="0" applyProtection="0"/>
    <xf numFmtId="0" fontId="133" fillId="78" borderId="250" applyNumberFormat="0" applyAlignment="0" applyProtection="0"/>
    <xf numFmtId="10" fontId="54" fillId="33" borderId="252" applyNumberFormat="0" applyBorder="0" applyAlignment="0" applyProtection="0"/>
    <xf numFmtId="0" fontId="130" fillId="56" borderId="253" applyNumberFormat="0" applyAlignment="0" applyProtection="0"/>
    <xf numFmtId="0" fontId="130" fillId="56" borderId="253" applyNumberFormat="0" applyAlignment="0" applyProtection="0"/>
    <xf numFmtId="0" fontId="123" fillId="78" borderId="253" applyNumberFormat="0" applyAlignment="0" applyProtection="0"/>
    <xf numFmtId="0" fontId="130" fillId="56" borderId="253" applyNumberFormat="0" applyAlignment="0" applyProtection="0"/>
    <xf numFmtId="0" fontId="123" fillId="78" borderId="253" applyNumberFormat="0" applyAlignment="0" applyProtection="0"/>
    <xf numFmtId="0" fontId="89" fillId="0" borderId="248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50" applyNumberFormat="0" applyAlignment="0" applyProtection="0"/>
    <xf numFmtId="0" fontId="119" fillId="0" borderId="251" applyNumberFormat="0" applyFill="0" applyAlignment="0" applyProtection="0"/>
    <xf numFmtId="0" fontId="119" fillId="0" borderId="251" applyNumberFormat="0" applyFill="0" applyAlignment="0" applyProtection="0"/>
    <xf numFmtId="0" fontId="89" fillId="0" borderId="248">
      <alignment horizontal="left" vertical="center"/>
    </xf>
    <xf numFmtId="10" fontId="54" fillId="33" borderId="252" applyNumberFormat="0" applyBorder="0" applyAlignment="0" applyProtection="0"/>
    <xf numFmtId="0" fontId="123" fillId="78" borderId="253" applyNumberFormat="0" applyAlignment="0" applyProtection="0"/>
    <xf numFmtId="0" fontId="89" fillId="0" borderId="248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50" applyNumberFormat="0" applyAlignment="0" applyProtection="0"/>
    <xf numFmtId="0" fontId="119" fillId="0" borderId="251" applyNumberFormat="0" applyFill="0" applyAlignment="0" applyProtection="0"/>
    <xf numFmtId="0" fontId="89" fillId="0" borderId="254">
      <alignment horizontal="left" vertical="center"/>
    </xf>
    <xf numFmtId="10" fontId="54" fillId="33" borderId="252" applyNumberFormat="0" applyBorder="0" applyAlignment="0" applyProtection="0"/>
    <xf numFmtId="10" fontId="54" fillId="33" borderId="252" applyNumberFormat="0" applyBorder="0" applyAlignment="0" applyProtection="0"/>
    <xf numFmtId="0" fontId="123" fillId="78" borderId="253" applyNumberFormat="0" applyAlignment="0" applyProtection="0"/>
    <xf numFmtId="0" fontId="89" fillId="0" borderId="248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50" applyNumberFormat="0" applyAlignment="0" applyProtection="0"/>
    <xf numFmtId="0" fontId="119" fillId="0" borderId="251" applyNumberFormat="0" applyFill="0" applyAlignment="0" applyProtection="0"/>
    <xf numFmtId="0" fontId="130" fillId="56" borderId="253" applyNumberFormat="0" applyAlignment="0" applyProtection="0"/>
    <xf numFmtId="0" fontId="130" fillId="56" borderId="253" applyNumberFormat="0" applyAlignment="0" applyProtection="0"/>
    <xf numFmtId="0" fontId="56" fillId="81" borderId="255" applyNumberFormat="0" applyFont="0" applyAlignment="0" applyProtection="0"/>
    <xf numFmtId="0" fontId="133" fillId="78" borderId="256" applyNumberFormat="0" applyAlignment="0" applyProtection="0"/>
    <xf numFmtId="0" fontId="119" fillId="0" borderId="257" applyNumberFormat="0" applyFill="0" applyAlignment="0" applyProtection="0"/>
    <xf numFmtId="0" fontId="56" fillId="81" borderId="255" applyNumberFormat="0" applyFont="0" applyAlignment="0" applyProtection="0"/>
    <xf numFmtId="0" fontId="133" fillId="78" borderId="256" applyNumberFormat="0" applyAlignment="0" applyProtection="0"/>
    <xf numFmtId="10" fontId="54" fillId="33" borderId="258" applyNumberFormat="0" applyBorder="0" applyAlignment="0" applyProtection="0"/>
    <xf numFmtId="0" fontId="130" fillId="56" borderId="259" applyNumberFormat="0" applyAlignment="0" applyProtection="0"/>
    <xf numFmtId="0" fontId="130" fillId="56" borderId="259" applyNumberFormat="0" applyAlignment="0" applyProtection="0"/>
    <xf numFmtId="0" fontId="123" fillId="78" borderId="259" applyNumberFormat="0" applyAlignment="0" applyProtection="0"/>
    <xf numFmtId="0" fontId="130" fillId="56" borderId="259" applyNumberFormat="0" applyAlignment="0" applyProtection="0"/>
    <xf numFmtId="0" fontId="123" fillId="78" borderId="259" applyNumberFormat="0" applyAlignment="0" applyProtection="0"/>
    <xf numFmtId="0" fontId="89" fillId="0" borderId="254">
      <alignment horizontal="left" vertical="center"/>
    </xf>
    <xf numFmtId="0" fontId="130" fillId="56" borderId="259" applyNumberFormat="0" applyAlignment="0" applyProtection="0"/>
    <xf numFmtId="0" fontId="56" fillId="81" borderId="255" applyNumberFormat="0" applyFont="0" applyAlignment="0" applyProtection="0"/>
    <xf numFmtId="0" fontId="133" fillId="78" borderId="256" applyNumberFormat="0" applyAlignment="0" applyProtection="0"/>
    <xf numFmtId="0" fontId="119" fillId="0" borderId="257" applyNumberFormat="0" applyFill="0" applyAlignment="0" applyProtection="0"/>
    <xf numFmtId="0" fontId="119" fillId="0" borderId="257" applyNumberFormat="0" applyFill="0" applyAlignment="0" applyProtection="0"/>
    <xf numFmtId="197" fontId="52" fillId="0" borderId="240" applyFill="0" applyBorder="0" applyAlignment="0"/>
    <xf numFmtId="198" fontId="82" fillId="0" borderId="240" applyFill="0" applyBorder="0" applyAlignment="0"/>
    <xf numFmtId="0" fontId="89" fillId="0" borderId="218" applyNumberFormat="0" applyAlignment="0" applyProtection="0">
      <alignment horizontal="left" vertical="center"/>
    </xf>
    <xf numFmtId="0" fontId="89" fillId="0" borderId="260">
      <alignment horizontal="left" vertical="center"/>
    </xf>
    <xf numFmtId="0" fontId="102" fillId="1" borderId="260" applyNumberFormat="0" applyFont="0" applyAlignment="0">
      <alignment horizontal="center"/>
    </xf>
    <xf numFmtId="0" fontId="104" fillId="60" borderId="261" applyNumberFormat="0" applyFont="0" applyBorder="0" applyAlignment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264" applyNumberFormat="0" applyAlignment="0" applyProtection="0"/>
    <xf numFmtId="0" fontId="119" fillId="0" borderId="265" applyNumberFormat="0" applyFill="0" applyAlignment="0" applyProtection="0"/>
    <xf numFmtId="0" fontId="123" fillId="78" borderId="253" applyNumberFormat="0" applyAlignment="0" applyProtection="0"/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89" fillId="0" borderId="260">
      <alignment horizontal="left" vertical="center"/>
    </xf>
    <xf numFmtId="10" fontId="54" fillId="33" borderId="252" applyNumberFormat="0" applyBorder="0" applyAlignment="0" applyProtection="0"/>
    <xf numFmtId="0" fontId="89" fillId="0" borderId="260">
      <alignment horizontal="left" vertical="center"/>
    </xf>
    <xf numFmtId="0" fontId="119" fillId="0" borderId="251" applyNumberFormat="0" applyFill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10" fontId="54" fillId="33" borderId="252" applyNumberFormat="0" applyBorder="0" applyAlignment="0" applyProtection="0"/>
    <xf numFmtId="0" fontId="130" fillId="56" borderId="253" applyNumberFormat="0" applyAlignment="0" applyProtection="0"/>
    <xf numFmtId="0" fontId="130" fillId="56" borderId="253" applyNumberFormat="0" applyAlignment="0" applyProtection="0"/>
    <xf numFmtId="0" fontId="123" fillId="78" borderId="253" applyNumberFormat="0" applyAlignment="0" applyProtection="0"/>
    <xf numFmtId="0" fontId="130" fillId="56" borderId="253" applyNumberFormat="0" applyAlignment="0" applyProtection="0"/>
    <xf numFmtId="0" fontId="123" fillId="78" borderId="253" applyNumberFormat="0" applyAlignment="0" applyProtection="0"/>
    <xf numFmtId="0" fontId="89" fillId="0" borderId="260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119" fillId="0" borderId="251" applyNumberFormat="0" applyFill="0" applyAlignment="0" applyProtection="0"/>
    <xf numFmtId="0" fontId="89" fillId="0" borderId="260">
      <alignment horizontal="left" vertical="center"/>
    </xf>
    <xf numFmtId="10" fontId="54" fillId="33" borderId="252" applyNumberFormat="0" applyBorder="0" applyAlignment="0" applyProtection="0"/>
    <xf numFmtId="0" fontId="123" fillId="78" borderId="253" applyNumberFormat="0" applyAlignment="0" applyProtection="0"/>
    <xf numFmtId="0" fontId="89" fillId="0" borderId="260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89" fillId="0" borderId="260">
      <alignment horizontal="left" vertical="center"/>
    </xf>
    <xf numFmtId="10" fontId="54" fillId="33" borderId="252" applyNumberFormat="0" applyBorder="0" applyAlignment="0" applyProtection="0"/>
    <xf numFmtId="10" fontId="54" fillId="33" borderId="252" applyNumberFormat="0" applyBorder="0" applyAlignment="0" applyProtection="0"/>
    <xf numFmtId="0" fontId="123" fillId="78" borderId="253" applyNumberFormat="0" applyAlignment="0" applyProtection="0"/>
    <xf numFmtId="0" fontId="89" fillId="0" borderId="260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19" fillId="0" borderId="251" applyNumberFormat="0" applyFill="0" applyAlignment="0" applyProtection="0"/>
    <xf numFmtId="0" fontId="130" fillId="56" borderId="253" applyNumberFormat="0" applyAlignment="0" applyProtection="0"/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10" fontId="54" fillId="33" borderId="252" applyNumberFormat="0" applyBorder="0" applyAlignment="0" applyProtection="0"/>
    <xf numFmtId="0" fontId="130" fillId="56" borderId="253" applyNumberFormat="0" applyAlignment="0" applyProtection="0"/>
    <xf numFmtId="0" fontId="130" fillId="56" borderId="253" applyNumberFormat="0" applyAlignment="0" applyProtection="0"/>
    <xf numFmtId="0" fontId="123" fillId="78" borderId="253" applyNumberFormat="0" applyAlignment="0" applyProtection="0"/>
    <xf numFmtId="0" fontId="130" fillId="56" borderId="253" applyNumberFormat="0" applyAlignment="0" applyProtection="0"/>
    <xf numFmtId="0" fontId="123" fillId="78" borderId="253" applyNumberFormat="0" applyAlignment="0" applyProtection="0"/>
    <xf numFmtId="0" fontId="89" fillId="0" borderId="260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119" fillId="0" borderId="251" applyNumberFormat="0" applyFill="0" applyAlignment="0" applyProtection="0"/>
    <xf numFmtId="0" fontId="89" fillId="0" borderId="260">
      <alignment horizontal="left" vertical="center"/>
    </xf>
    <xf numFmtId="10" fontId="54" fillId="33" borderId="252" applyNumberFormat="0" applyBorder="0" applyAlignment="0" applyProtection="0"/>
    <xf numFmtId="0" fontId="123" fillId="78" borderId="253" applyNumberFormat="0" applyAlignment="0" applyProtection="0"/>
    <xf numFmtId="0" fontId="89" fillId="0" borderId="260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89" fillId="0" borderId="260">
      <alignment horizontal="left" vertical="center"/>
    </xf>
    <xf numFmtId="10" fontId="54" fillId="33" borderId="252" applyNumberFormat="0" applyBorder="0" applyAlignment="0" applyProtection="0"/>
    <xf numFmtId="0" fontId="89" fillId="0" borderId="260">
      <alignment horizontal="left" vertical="center"/>
    </xf>
    <xf numFmtId="0" fontId="133" fillId="78" borderId="245" applyNumberFormat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10" fontId="54" fillId="33" borderId="252" applyNumberFormat="0" applyBorder="0" applyAlignment="0" applyProtection="0"/>
    <xf numFmtId="0" fontId="130" fillId="56" borderId="253" applyNumberFormat="0" applyAlignment="0" applyProtection="0"/>
    <xf numFmtId="0" fontId="130" fillId="56" borderId="253" applyNumberFormat="0" applyAlignment="0" applyProtection="0"/>
    <xf numFmtId="0" fontId="123" fillId="78" borderId="253" applyNumberFormat="0" applyAlignment="0" applyProtection="0"/>
    <xf numFmtId="0" fontId="130" fillId="56" borderId="253" applyNumberFormat="0" applyAlignment="0" applyProtection="0"/>
    <xf numFmtId="0" fontId="123" fillId="78" borderId="253" applyNumberFormat="0" applyAlignment="0" applyProtection="0"/>
    <xf numFmtId="0" fontId="89" fillId="0" borderId="260">
      <alignment horizontal="left" vertical="center"/>
    </xf>
    <xf numFmtId="0" fontId="130" fillId="56" borderId="253" applyNumberFormat="0" applyAlignment="0" applyProtection="0"/>
    <xf numFmtId="0" fontId="56" fillId="81" borderId="249" applyNumberFormat="0" applyFont="0" applyAlignment="0" applyProtection="0"/>
    <xf numFmtId="0" fontId="133" fillId="78" borderId="245" applyNumberFormat="0" applyAlignment="0" applyProtection="0"/>
    <xf numFmtId="0" fontId="119" fillId="0" borderId="251" applyNumberFormat="0" applyFill="0" applyAlignment="0" applyProtection="0"/>
    <xf numFmtId="0" fontId="119" fillId="0" borderId="251" applyNumberFormat="0" applyFill="0" applyAlignment="0" applyProtection="0"/>
    <xf numFmtId="0" fontId="89" fillId="0" borderId="310">
      <alignment horizontal="left" vertical="center"/>
    </xf>
    <xf numFmtId="0" fontId="89" fillId="0" borderId="310">
      <alignment horizontal="left" vertical="center"/>
    </xf>
    <xf numFmtId="10" fontId="54" fillId="33" borderId="302" applyNumberFormat="0" applyBorder="0" applyAlignment="0" applyProtection="0"/>
    <xf numFmtId="0" fontId="89" fillId="0" borderId="310">
      <alignment horizontal="left" vertical="center"/>
    </xf>
    <xf numFmtId="10" fontId="54" fillId="33" borderId="302" applyNumberFormat="0" applyBorder="0" applyAlignment="0" applyProtection="0"/>
    <xf numFmtId="10" fontId="54" fillId="33" borderId="302" applyNumberFormat="0" applyBorder="0" applyAlignment="0" applyProtection="0"/>
    <xf numFmtId="0" fontId="133" fillId="78" borderId="300" applyNumberFormat="0" applyAlignment="0" applyProtection="0"/>
    <xf numFmtId="0" fontId="89" fillId="0" borderId="310">
      <alignment horizontal="left" vertical="center"/>
    </xf>
    <xf numFmtId="0" fontId="123" fillId="78" borderId="303" applyNumberFormat="0" applyAlignment="0" applyProtection="0"/>
    <xf numFmtId="0" fontId="130" fillId="56" borderId="303" applyNumberFormat="0" applyAlignment="0" applyProtection="0"/>
    <xf numFmtId="0" fontId="56" fillId="81" borderId="305" applyNumberFormat="0" applyFont="0" applyAlignment="0" applyProtection="0"/>
    <xf numFmtId="0" fontId="130" fillId="56" borderId="303" applyNumberFormat="0" applyAlignment="0" applyProtection="0"/>
    <xf numFmtId="0" fontId="119" fillId="0" borderId="301" applyNumberFormat="0" applyFill="0" applyAlignment="0" applyProtection="0"/>
    <xf numFmtId="0" fontId="123" fillId="78" borderId="281" applyNumberFormat="0" applyAlignment="0" applyProtection="0"/>
    <xf numFmtId="0" fontId="89" fillId="0" borderId="280">
      <alignment horizontal="left" vertical="center"/>
    </xf>
    <xf numFmtId="0" fontId="130" fillId="56" borderId="281" applyNumberFormat="0" applyAlignment="0" applyProtection="0"/>
    <xf numFmtId="0" fontId="130" fillId="56" borderId="309" applyNumberFormat="0" applyAlignment="0" applyProtection="0"/>
    <xf numFmtId="0" fontId="56" fillId="81" borderId="299" applyNumberFormat="0" applyFont="0" applyAlignment="0" applyProtection="0"/>
    <xf numFmtId="0" fontId="56" fillId="81" borderId="299" applyNumberFormat="0" applyFont="0" applyAlignment="0" applyProtection="0"/>
    <xf numFmtId="198" fontId="82" fillId="0" borderId="290" applyFill="0" applyBorder="0" applyAlignment="0"/>
    <xf numFmtId="0" fontId="133" fillId="78" borderId="295" applyNumberFormat="0" applyAlignment="0" applyProtection="0"/>
    <xf numFmtId="0" fontId="133" fillId="78" borderId="300" applyNumberFormat="0" applyAlignment="0" applyProtection="0"/>
    <xf numFmtId="0" fontId="119" fillId="0" borderId="301" applyNumberFormat="0" applyFill="0" applyAlignment="0" applyProtection="0"/>
    <xf numFmtId="0" fontId="119" fillId="0" borderId="301" applyNumberFormat="0" applyFill="0" applyAlignment="0" applyProtection="0"/>
    <xf numFmtId="0" fontId="56" fillId="81" borderId="299" applyNumberFormat="0" applyFont="0" applyAlignment="0" applyProtection="0"/>
    <xf numFmtId="0" fontId="130" fillId="56" borderId="303" applyNumberFormat="0" applyAlignment="0" applyProtection="0"/>
    <xf numFmtId="0" fontId="130" fillId="56" borderId="303" applyNumberFormat="0" applyAlignment="0" applyProtection="0"/>
    <xf numFmtId="0" fontId="56" fillId="81" borderId="299" applyNumberFormat="0" applyFont="0" applyAlignment="0" applyProtection="0"/>
    <xf numFmtId="0" fontId="133" fillId="78" borderId="295" applyNumberFormat="0" applyAlignment="0" applyProtection="0"/>
    <xf numFmtId="0" fontId="119" fillId="0" borderId="301" applyNumberFormat="0" applyFill="0" applyAlignment="0" applyProtection="0"/>
    <xf numFmtId="0" fontId="119" fillId="0" borderId="301" applyNumberFormat="0" applyFill="0" applyAlignment="0" applyProtection="0"/>
    <xf numFmtId="0" fontId="133" fillId="78" borderId="295" applyNumberFormat="0" applyAlignment="0" applyProtection="0"/>
    <xf numFmtId="0" fontId="130" fillId="56" borderId="303" applyNumberFormat="0" applyAlignment="0" applyProtection="0"/>
    <xf numFmtId="0" fontId="89" fillId="0" borderId="298">
      <alignment horizontal="left" vertical="center"/>
    </xf>
    <xf numFmtId="10" fontId="54" fillId="33" borderId="302" applyNumberFormat="0" applyBorder="0" applyAlignment="0" applyProtection="0"/>
    <xf numFmtId="0" fontId="119" fillId="0" borderId="301" applyNumberFormat="0" applyFill="0" applyAlignment="0" applyProtection="0"/>
    <xf numFmtId="0" fontId="133" fillId="78" borderId="306" applyNumberFormat="0" applyAlignment="0" applyProtection="0"/>
    <xf numFmtId="0" fontId="130" fillId="56" borderId="303" applyNumberFormat="0" applyAlignment="0" applyProtection="0"/>
    <xf numFmtId="0" fontId="130" fillId="56" borderId="303" applyNumberFormat="0" applyAlignment="0" applyProtection="0"/>
    <xf numFmtId="0" fontId="56" fillId="81" borderId="305" applyNumberFormat="0" applyFont="0" applyAlignment="0" applyProtection="0"/>
    <xf numFmtId="0" fontId="130" fillId="56" borderId="303" applyNumberFormat="0" applyAlignment="0" applyProtection="0"/>
    <xf numFmtId="0" fontId="119" fillId="0" borderId="301" applyNumberFormat="0" applyFill="0" applyAlignment="0" applyProtection="0"/>
    <xf numFmtId="0" fontId="130" fillId="56" borderId="309" applyNumberFormat="0" applyAlignment="0" applyProtection="0"/>
    <xf numFmtId="0" fontId="56" fillId="81" borderId="299" applyNumberFormat="0" applyFont="0" applyAlignment="0" applyProtection="0"/>
    <xf numFmtId="197" fontId="52" fillId="0" borderId="290" applyFill="0" applyBorder="0" applyAlignment="0"/>
    <xf numFmtId="10" fontId="54" fillId="33" borderId="290" applyNumberFormat="0" applyBorder="0" applyAlignment="0" applyProtection="0"/>
    <xf numFmtId="0" fontId="130" fillId="56" borderId="293" applyNumberFormat="0" applyAlignment="0" applyProtection="0"/>
    <xf numFmtId="0" fontId="56" fillId="81" borderId="294" applyNumberFormat="0" applyFont="0" applyAlignment="0" applyProtection="0"/>
    <xf numFmtId="0" fontId="133" fillId="78" borderId="295" applyNumberFormat="0" applyAlignment="0" applyProtection="0"/>
    <xf numFmtId="0" fontId="119" fillId="0" borderId="296" applyNumberFormat="0" applyFill="0" applyAlignment="0" applyProtection="0"/>
    <xf numFmtId="0" fontId="130" fillId="56" borderId="293" applyNumberFormat="0" applyAlignment="0" applyProtection="0"/>
    <xf numFmtId="0" fontId="130" fillId="56" borderId="293" applyNumberFormat="0" applyAlignment="0" applyProtection="0"/>
    <xf numFmtId="0" fontId="56" fillId="81" borderId="299" applyNumberFormat="0" applyFont="0" applyAlignment="0" applyProtection="0"/>
    <xf numFmtId="0" fontId="133" fillId="78" borderId="300" applyNumberFormat="0" applyAlignment="0" applyProtection="0"/>
    <xf numFmtId="0" fontId="119" fillId="0" borderId="301" applyNumberFormat="0" applyFill="0" applyAlignment="0" applyProtection="0"/>
    <xf numFmtId="0" fontId="56" fillId="81" borderId="299" applyNumberFormat="0" applyFont="0" applyAlignment="0" applyProtection="0"/>
    <xf numFmtId="0" fontId="133" fillId="78" borderId="300" applyNumberFormat="0" applyAlignment="0" applyProtection="0"/>
    <xf numFmtId="0" fontId="133" fillId="78" borderId="295" applyNumberFormat="0" applyAlignment="0" applyProtection="0"/>
    <xf numFmtId="0" fontId="119" fillId="0" borderId="272" applyNumberFormat="0" applyFill="0" applyAlignment="0" applyProtection="0"/>
    <xf numFmtId="0" fontId="130" fillId="56" borderId="262" applyNumberFormat="0" applyAlignment="0" applyProtection="0"/>
    <xf numFmtId="0" fontId="89" fillId="0" borderId="274">
      <alignment horizontal="left" vertical="center"/>
    </xf>
    <xf numFmtId="0" fontId="56" fillId="81" borderId="282" applyNumberFormat="0" applyFont="0" applyAlignment="0" applyProtection="0"/>
    <xf numFmtId="0" fontId="133" fillId="78" borderId="283" applyNumberFormat="0" applyAlignment="0" applyProtection="0"/>
    <xf numFmtId="0" fontId="119" fillId="0" borderId="284" applyNumberFormat="0" applyFill="0" applyAlignment="0" applyProtection="0"/>
    <xf numFmtId="0" fontId="130" fillId="56" borderId="281" applyNumberFormat="0" applyAlignment="0" applyProtection="0"/>
    <xf numFmtId="0" fontId="56" fillId="81" borderId="287" applyNumberFormat="0" applyFont="0" applyAlignment="0" applyProtection="0"/>
    <xf numFmtId="0" fontId="133" fillId="78" borderId="288" applyNumberFormat="0" applyAlignment="0" applyProtection="0"/>
    <xf numFmtId="0" fontId="130" fillId="56" borderId="291" applyNumberFormat="0" applyAlignment="0" applyProtection="0"/>
    <xf numFmtId="0" fontId="130" fillId="56" borderId="291" applyNumberFormat="0" applyAlignment="0" applyProtection="0"/>
    <xf numFmtId="0" fontId="89" fillId="0" borderId="286">
      <alignment horizontal="left" vertical="center"/>
    </xf>
    <xf numFmtId="0" fontId="130" fillId="56" borderId="291" applyNumberFormat="0" applyAlignment="0" applyProtection="0"/>
    <xf numFmtId="0" fontId="56" fillId="81" borderId="287" applyNumberFormat="0" applyFont="0" applyAlignment="0" applyProtection="0"/>
    <xf numFmtId="0" fontId="133" fillId="78" borderId="288" applyNumberFormat="0" applyAlignment="0" applyProtection="0"/>
    <xf numFmtId="0" fontId="119" fillId="0" borderId="289" applyNumberFormat="0" applyFill="0" applyAlignment="0" applyProtection="0"/>
    <xf numFmtId="0" fontId="119" fillId="0" borderId="289" applyNumberFormat="0" applyFill="0" applyAlignment="0" applyProtection="0"/>
    <xf numFmtId="0" fontId="89" fillId="0" borderId="286">
      <alignment horizontal="left" vertical="center"/>
    </xf>
    <xf numFmtId="0" fontId="130" fillId="56" borderId="291" applyNumberFormat="0" applyAlignment="0" applyProtection="0"/>
    <xf numFmtId="0" fontId="56" fillId="81" borderId="287" applyNumberFormat="0" applyFont="0" applyAlignment="0" applyProtection="0"/>
    <xf numFmtId="0" fontId="133" fillId="78" borderId="288" applyNumberFormat="0" applyAlignment="0" applyProtection="0"/>
    <xf numFmtId="0" fontId="119" fillId="0" borderId="289" applyNumberFormat="0" applyFill="0" applyAlignment="0" applyProtection="0"/>
    <xf numFmtId="0" fontId="89" fillId="0" borderId="298">
      <alignment horizontal="left" vertical="center"/>
    </xf>
    <xf numFmtId="0" fontId="91" fillId="0" borderId="266">
      <alignment horizontal="center"/>
    </xf>
    <xf numFmtId="0" fontId="95" fillId="0" borderId="266"/>
    <xf numFmtId="0" fontId="123" fillId="78" borderId="269" applyNumberFormat="0" applyAlignment="0" applyProtection="0"/>
    <xf numFmtId="0" fontId="123" fillId="78" borderId="275" applyNumberFormat="0" applyAlignment="0" applyProtection="0"/>
    <xf numFmtId="0" fontId="130" fillId="56" borderId="275" applyNumberFormat="0" applyAlignment="0" applyProtection="0"/>
    <xf numFmtId="0" fontId="56" fillId="81" borderId="276" applyNumberFormat="0" applyFont="0" applyAlignment="0" applyProtection="0"/>
    <xf numFmtId="0" fontId="119" fillId="0" borderId="278" applyNumberFormat="0" applyFill="0" applyAlignment="0" applyProtection="0"/>
    <xf numFmtId="10" fontId="54" fillId="33" borderId="285" applyNumberFormat="0" applyBorder="0" applyAlignment="0" applyProtection="0"/>
    <xf numFmtId="10" fontId="54" fillId="33" borderId="297" applyNumberFormat="0" applyBorder="0" applyAlignment="0" applyProtection="0"/>
    <xf numFmtId="0" fontId="123" fillId="78" borderId="293" applyNumberFormat="0" applyAlignment="0" applyProtection="0"/>
    <xf numFmtId="0" fontId="89" fillId="0" borderId="292">
      <alignment horizontal="left" vertical="center"/>
    </xf>
    <xf numFmtId="0" fontId="130" fillId="56" borderId="303" applyNumberFormat="0" applyAlignment="0" applyProtection="0"/>
    <xf numFmtId="0" fontId="130" fillId="56" borderId="303" applyNumberFormat="0" applyAlignment="0" applyProtection="0"/>
    <xf numFmtId="0" fontId="130" fillId="56" borderId="303" applyNumberFormat="0" applyAlignment="0" applyProtection="0"/>
    <xf numFmtId="0" fontId="123" fillId="78" borderId="303" applyNumberFormat="0" applyAlignment="0" applyProtection="0"/>
    <xf numFmtId="0" fontId="89" fillId="0" borderId="298">
      <alignment horizontal="left" vertical="center"/>
    </xf>
    <xf numFmtId="0" fontId="123" fillId="78" borderId="303" applyNumberFormat="0" applyAlignment="0" applyProtection="0"/>
    <xf numFmtId="0" fontId="89" fillId="0" borderId="298">
      <alignment horizontal="left" vertical="center"/>
    </xf>
    <xf numFmtId="0" fontId="56" fillId="81" borderId="299" applyNumberFormat="0" applyFont="0" applyAlignment="0" applyProtection="0"/>
    <xf numFmtId="0" fontId="133" fillId="78" borderId="300" applyNumberFormat="0" applyAlignment="0" applyProtection="0"/>
    <xf numFmtId="0" fontId="56" fillId="81" borderId="299" applyNumberFormat="0" applyFont="0" applyAlignment="0" applyProtection="0"/>
    <xf numFmtId="0" fontId="133" fillId="78" borderId="306" applyNumberFormat="0" applyAlignment="0" applyProtection="0"/>
    <xf numFmtId="0" fontId="119" fillId="0" borderId="307" applyNumberFormat="0" applyFill="0" applyAlignment="0" applyProtection="0"/>
    <xf numFmtId="0" fontId="123" fillId="78" borderId="309" applyNumberFormat="0" applyAlignment="0" applyProtection="0"/>
    <xf numFmtId="0" fontId="130" fillId="56" borderId="309" applyNumberFormat="0" applyAlignment="0" applyProtection="0"/>
    <xf numFmtId="0" fontId="119" fillId="0" borderId="307" applyNumberFormat="0" applyFill="0" applyAlignment="0" applyProtection="0"/>
    <xf numFmtId="0" fontId="89" fillId="0" borderId="268" applyNumberFormat="0" applyAlignment="0" applyProtection="0">
      <alignment horizontal="left" vertical="center"/>
    </xf>
    <xf numFmtId="0" fontId="130" fillId="56" borderId="312" applyNumberFormat="0" applyAlignment="0" applyProtection="0"/>
    <xf numFmtId="0" fontId="89" fillId="0" borderId="310">
      <alignment horizontal="left" vertical="center"/>
    </xf>
    <xf numFmtId="0" fontId="133" fillId="78" borderId="295" applyNumberFormat="0" applyAlignment="0" applyProtection="0"/>
    <xf numFmtId="0" fontId="89" fillId="0" borderId="310">
      <alignment horizontal="left" vertical="center"/>
    </xf>
    <xf numFmtId="0" fontId="130" fillId="56" borderId="303" applyNumberFormat="0" applyAlignment="0" applyProtection="0"/>
    <xf numFmtId="0" fontId="119" fillId="0" borderId="301" applyNumberFormat="0" applyFill="0" applyAlignment="0" applyProtection="0"/>
    <xf numFmtId="0" fontId="130" fillId="56" borderId="303" applyNumberFormat="0" applyAlignment="0" applyProtection="0"/>
    <xf numFmtId="0" fontId="130" fillId="56" borderId="303" applyNumberFormat="0" applyAlignment="0" applyProtection="0"/>
    <xf numFmtId="0" fontId="56" fillId="81" borderId="299" applyNumberFormat="0" applyFont="0" applyAlignment="0" applyProtection="0"/>
    <xf numFmtId="0" fontId="119" fillId="0" borderId="301" applyNumberFormat="0" applyFill="0" applyAlignment="0" applyProtection="0"/>
    <xf numFmtId="0" fontId="56" fillId="81" borderId="299" applyNumberFormat="0" applyFont="0" applyAlignment="0" applyProtection="0"/>
    <xf numFmtId="0" fontId="133" fillId="78" borderId="295" applyNumberFormat="0" applyAlignment="0" applyProtection="0"/>
    <xf numFmtId="10" fontId="54" fillId="33" borderId="302" applyNumberFormat="0" applyBorder="0" applyAlignment="0" applyProtection="0"/>
    <xf numFmtId="0" fontId="130" fillId="56" borderId="303" applyNumberFormat="0" applyAlignment="0" applyProtection="0"/>
    <xf numFmtId="0" fontId="130" fillId="56" borderId="303" applyNumberFormat="0" applyAlignment="0" applyProtection="0"/>
    <xf numFmtId="0" fontId="123" fillId="78" borderId="303" applyNumberFormat="0" applyAlignment="0" applyProtection="0"/>
    <xf numFmtId="0" fontId="130" fillId="56" borderId="303" applyNumberFormat="0" applyAlignment="0" applyProtection="0"/>
    <xf numFmtId="0" fontId="123" fillId="78" borderId="303" applyNumberFormat="0" applyAlignment="0" applyProtection="0"/>
    <xf numFmtId="0" fontId="89" fillId="0" borderId="310">
      <alignment horizontal="left" vertical="center"/>
    </xf>
    <xf numFmtId="0" fontId="56" fillId="81" borderId="299" applyNumberFormat="0" applyFont="0" applyAlignment="0" applyProtection="0"/>
    <xf numFmtId="0" fontId="133" fillId="78" borderId="295" applyNumberFormat="0" applyAlignment="0" applyProtection="0"/>
    <xf numFmtId="0" fontId="119" fillId="0" borderId="301" applyNumberFormat="0" applyFill="0" applyAlignment="0" applyProtection="0"/>
    <xf numFmtId="10" fontId="54" fillId="33" borderId="302" applyNumberFormat="0" applyBorder="0" applyAlignment="0" applyProtection="0"/>
    <xf numFmtId="0" fontId="123" fillId="78" borderId="303" applyNumberFormat="0" applyAlignment="0" applyProtection="0"/>
    <xf numFmtId="0" fontId="130" fillId="56" borderId="303" applyNumberFormat="0" applyAlignment="0" applyProtection="0"/>
    <xf numFmtId="0" fontId="130" fillId="56" borderId="303" applyNumberFormat="0" applyAlignment="0" applyProtection="0"/>
    <xf numFmtId="0" fontId="130" fillId="56" borderId="303" applyNumberFormat="0" applyAlignment="0" applyProtection="0"/>
    <xf numFmtId="0" fontId="123" fillId="78" borderId="303" applyNumberFormat="0" applyAlignment="0" applyProtection="0"/>
    <xf numFmtId="0" fontId="89" fillId="0" borderId="310">
      <alignment horizontal="left" vertical="center"/>
    </xf>
    <xf numFmtId="0" fontId="123" fillId="78" borderId="303" applyNumberFormat="0" applyAlignment="0" applyProtection="0"/>
    <xf numFmtId="0" fontId="133" fillId="78" borderId="288" applyNumberFormat="0" applyAlignment="0" applyProtection="0"/>
    <xf numFmtId="0" fontId="123" fillId="78" borderId="291" applyNumberFormat="0" applyAlignment="0" applyProtection="0"/>
    <xf numFmtId="10" fontId="54" fillId="33" borderId="290" applyNumberFormat="0" applyBorder="0" applyAlignment="0" applyProtection="0"/>
    <xf numFmtId="0" fontId="123" fillId="78" borderId="291" applyNumberFormat="0" applyAlignment="0" applyProtection="0"/>
    <xf numFmtId="0" fontId="89" fillId="0" borderId="310">
      <alignment horizontal="left" vertical="center"/>
    </xf>
    <xf numFmtId="0" fontId="119" fillId="0" borderId="301" applyNumberFormat="0" applyFill="0" applyAlignment="0" applyProtection="0"/>
    <xf numFmtId="0" fontId="130" fillId="56" borderId="303" applyNumberFormat="0" applyAlignment="0" applyProtection="0"/>
    <xf numFmtId="0" fontId="89" fillId="0" borderId="304">
      <alignment horizontal="left" vertical="center"/>
    </xf>
    <xf numFmtId="0" fontId="89" fillId="0" borderId="304">
      <alignment horizontal="left" vertical="center"/>
    </xf>
    <xf numFmtId="10" fontId="54" fillId="33" borderId="302" applyNumberFormat="0" applyBorder="0" applyAlignment="0" applyProtection="0"/>
    <xf numFmtId="0" fontId="119" fillId="0" borderId="301" applyNumberFormat="0" applyFill="0" applyAlignment="0" applyProtection="0"/>
    <xf numFmtId="0" fontId="56" fillId="81" borderId="299" applyNumberFormat="0" applyFont="0" applyAlignment="0" applyProtection="0"/>
    <xf numFmtId="0" fontId="123" fillId="78" borderId="291" applyNumberFormat="0" applyAlignment="0" applyProtection="0"/>
    <xf numFmtId="0" fontId="56" fillId="81" borderId="299" applyNumberFormat="0" applyFont="0" applyAlignment="0" applyProtection="0"/>
    <xf numFmtId="0" fontId="119" fillId="0" borderId="315" applyNumberFormat="0" applyFill="0" applyAlignment="0" applyProtection="0"/>
    <xf numFmtId="10" fontId="54" fillId="33" borderId="302" applyNumberFormat="0" applyBorder="0" applyAlignment="0" applyProtection="0"/>
    <xf numFmtId="0" fontId="133" fillId="78" borderId="295" applyNumberFormat="0" applyAlignment="0" applyProtection="0"/>
    <xf numFmtId="0" fontId="130" fillId="56" borderId="303" applyNumberFormat="0" applyAlignment="0" applyProtection="0"/>
    <xf numFmtId="10" fontId="54" fillId="33" borderId="302" applyNumberFormat="0" applyBorder="0" applyAlignment="0" applyProtection="0"/>
    <xf numFmtId="0" fontId="56" fillId="81" borderId="305" applyNumberFormat="0" applyFont="0" applyAlignment="0" applyProtection="0"/>
    <xf numFmtId="0" fontId="119" fillId="0" borderId="301" applyNumberFormat="0" applyFill="0" applyAlignment="0" applyProtection="0"/>
    <xf numFmtId="10" fontId="54" fillId="33" borderId="302" applyNumberFormat="0" applyBorder="0" applyAlignment="0" applyProtection="0"/>
    <xf numFmtId="0" fontId="119" fillId="0" borderId="301" applyNumberFormat="0" applyFill="0" applyAlignment="0" applyProtection="0"/>
    <xf numFmtId="0" fontId="119" fillId="0" borderId="289" applyNumberFormat="0" applyFill="0" applyAlignment="0" applyProtection="0"/>
    <xf numFmtId="10" fontId="54" fillId="33" borderId="290" applyNumberFormat="0" applyBorder="0" applyAlignment="0" applyProtection="0"/>
    <xf numFmtId="0" fontId="119" fillId="0" borderId="301" applyNumberFormat="0" applyFill="0" applyAlignment="0" applyProtection="0"/>
    <xf numFmtId="0" fontId="133" fillId="78" borderId="295" applyNumberFormat="0" applyAlignment="0" applyProtection="0"/>
    <xf numFmtId="0" fontId="123" fillId="78" borderId="303" applyNumberFormat="0" applyAlignment="0" applyProtection="0"/>
    <xf numFmtId="0" fontId="56" fillId="81" borderId="299" applyNumberFormat="0" applyFont="0" applyAlignment="0" applyProtection="0"/>
    <xf numFmtId="0" fontId="56" fillId="81" borderId="287" applyNumberFormat="0" applyFont="0" applyAlignment="0" applyProtection="0"/>
    <xf numFmtId="0" fontId="123" fillId="78" borderId="303" applyNumberFormat="0" applyAlignment="0" applyProtection="0"/>
    <xf numFmtId="10" fontId="54" fillId="33" borderId="302" applyNumberFormat="0" applyBorder="0" applyAlignment="0" applyProtection="0"/>
    <xf numFmtId="0" fontId="130" fillId="56" borderId="309" applyNumberFormat="0" applyAlignment="0" applyProtection="0"/>
    <xf numFmtId="0" fontId="89" fillId="0" borderId="310">
      <alignment horizontal="left" vertical="center"/>
    </xf>
    <xf numFmtId="0" fontId="89" fillId="0" borderId="310">
      <alignment horizontal="left" vertical="center"/>
    </xf>
    <xf numFmtId="0" fontId="133" fillId="78" borderId="295" applyNumberFormat="0" applyAlignment="0" applyProtection="0"/>
    <xf numFmtId="0" fontId="133" fillId="78" borderId="295" applyNumberFormat="0" applyAlignment="0" applyProtection="0"/>
    <xf numFmtId="0" fontId="89" fillId="0" borderId="310">
      <alignment horizontal="left" vertical="center"/>
    </xf>
    <xf numFmtId="10" fontId="54" fillId="33" borderId="302" applyNumberFormat="0" applyBorder="0" applyAlignment="0" applyProtection="0"/>
    <xf numFmtId="0" fontId="133" fillId="78" borderId="314" applyNumberFormat="0" applyAlignment="0" applyProtection="0"/>
    <xf numFmtId="0" fontId="133" fillId="78" borderId="295" applyNumberFormat="0" applyAlignment="0" applyProtection="0"/>
    <xf numFmtId="0" fontId="89" fillId="0" borderId="310">
      <alignment horizontal="left" vertical="center"/>
    </xf>
    <xf numFmtId="0" fontId="56" fillId="81" borderId="313" applyNumberFormat="0" applyFont="0" applyAlignment="0" applyProtection="0"/>
    <xf numFmtId="10" fontId="54" fillId="33" borderId="308" applyNumberFormat="0" applyBorder="0" applyAlignment="0" applyProtection="0"/>
    <xf numFmtId="0" fontId="123" fillId="78" borderId="312" applyNumberFormat="0" applyAlignment="0" applyProtection="0"/>
    <xf numFmtId="0" fontId="129" fillId="0" borderId="267" applyNumberFormat="0" applyFill="0" applyAlignment="0" applyProtection="0"/>
    <xf numFmtId="0" fontId="130" fillId="56" borderId="262" applyNumberFormat="0" applyAlignment="0" applyProtection="0"/>
    <xf numFmtId="0" fontId="133" fillId="78" borderId="277" applyNumberFormat="0" applyAlignment="0" applyProtection="0"/>
    <xf numFmtId="10" fontId="54" fillId="33" borderId="302" applyNumberFormat="0" applyBorder="0" applyAlignment="0" applyProtection="0"/>
    <xf numFmtId="0" fontId="123" fillId="78" borderId="303" applyNumberFormat="0" applyAlignment="0" applyProtection="0"/>
    <xf numFmtId="0" fontId="89" fillId="0" borderId="298">
      <alignment horizontal="left" vertical="center"/>
    </xf>
    <xf numFmtId="0" fontId="130" fillId="56" borderId="303" applyNumberFormat="0" applyAlignment="0" applyProtection="0"/>
    <xf numFmtId="0" fontId="130" fillId="56" borderId="281" applyNumberFormat="0" applyAlignment="0" applyProtection="0"/>
    <xf numFmtId="0" fontId="123" fillId="78" borderId="303" applyNumberFormat="0" applyAlignment="0" applyProtection="0"/>
    <xf numFmtId="10" fontId="54" fillId="33" borderId="258" applyNumberFormat="0" applyBorder="0" applyAlignment="0" applyProtection="0"/>
    <xf numFmtId="0" fontId="119" fillId="0" borderId="307" applyNumberFormat="0" applyFill="0" applyAlignment="0" applyProtection="0"/>
    <xf numFmtId="0" fontId="56" fillId="81" borderId="299" applyNumberFormat="0" applyFont="0" applyAlignment="0" applyProtection="0"/>
    <xf numFmtId="0" fontId="104" fillId="60" borderId="311" applyNumberFormat="0" applyFont="0" applyBorder="0" applyAlignment="0"/>
    <xf numFmtId="0" fontId="133" fillId="78" borderId="295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89" fillId="0" borderId="286">
      <alignment horizontal="left" vertical="center"/>
    </xf>
    <xf numFmtId="0" fontId="56" fillId="81" borderId="299" applyNumberFormat="0" applyFont="0" applyAlignment="0" applyProtection="0"/>
    <xf numFmtId="0" fontId="133" fillId="78" borderId="306" applyNumberFormat="0" applyAlignment="0" applyProtection="0"/>
    <xf numFmtId="10" fontId="54" fillId="33" borderId="258" applyNumberFormat="0" applyBorder="0" applyAlignment="0" applyProtection="0"/>
    <xf numFmtId="0" fontId="130" fillId="56" borderId="303" applyNumberFormat="0" applyAlignment="0" applyProtection="0"/>
    <xf numFmtId="0" fontId="89" fillId="0" borderId="310">
      <alignment horizontal="left" vertical="center"/>
    </xf>
    <xf numFmtId="0" fontId="130" fillId="56" borderId="303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130" fillId="56" borderId="262" applyNumberFormat="0" applyAlignment="0" applyProtection="0"/>
    <xf numFmtId="0" fontId="130" fillId="56" borderId="291" applyNumberFormat="0" applyAlignment="0" applyProtection="0"/>
    <xf numFmtId="0" fontId="123" fillId="78" borderId="303" applyNumberFormat="0" applyAlignment="0" applyProtection="0"/>
    <xf numFmtId="0" fontId="119" fillId="0" borderId="301" applyNumberFormat="0" applyFill="0" applyAlignment="0" applyProtection="0"/>
    <xf numFmtId="0" fontId="119" fillId="0" borderId="301" applyNumberFormat="0" applyFill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23" fillId="78" borderId="309" applyNumberFormat="0" applyAlignment="0" applyProtection="0"/>
    <xf numFmtId="0" fontId="130" fillId="56" borderId="262" applyNumberFormat="0" applyAlignment="0" applyProtection="0"/>
    <xf numFmtId="0" fontId="130" fillId="56" borderId="262" applyNumberFormat="0" applyAlignment="0" applyProtection="0"/>
    <xf numFmtId="0" fontId="123" fillId="78" borderId="303" applyNumberFormat="0" applyAlignment="0" applyProtection="0"/>
    <xf numFmtId="0" fontId="102" fillId="1" borderId="310" applyNumberFormat="0" applyFont="0" applyAlignment="0">
      <alignment horizontal="center"/>
    </xf>
    <xf numFmtId="0" fontId="56" fillId="81" borderId="299" applyNumberFormat="0" applyFon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119" fillId="0" borderId="202" applyNumberFormat="0" applyFill="0" applyAlignment="0" applyProtection="0"/>
    <xf numFmtId="0" fontId="89" fillId="0" borderId="160">
      <alignment horizontal="left" vertical="center"/>
    </xf>
    <xf numFmtId="10" fontId="54" fillId="33" borderId="258" applyNumberFormat="0" applyBorder="0" applyAlignment="0" applyProtection="0"/>
    <xf numFmtId="0" fontId="123" fillId="78" borderId="262" applyNumberFormat="0" applyAlignment="0" applyProtection="0"/>
    <xf numFmtId="0" fontId="89" fillId="0" borderId="160">
      <alignment horizontal="left" vertical="center"/>
    </xf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10" fontId="54" fillId="33" borderId="258" applyNumberFormat="0" applyBorder="0" applyAlignment="0" applyProtection="0"/>
    <xf numFmtId="10" fontId="54" fillId="33" borderId="258" applyNumberFormat="0" applyBorder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89" fillId="0" borderId="286">
      <alignment horizontal="left" vertical="center"/>
    </xf>
    <xf numFmtId="0" fontId="130" fillId="56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10" fontId="54" fillId="33" borderId="258" applyNumberFormat="0" applyBorder="0" applyAlignment="0" applyProtection="0"/>
    <xf numFmtId="0" fontId="130" fillId="56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119" fillId="0" borderId="202" applyNumberFormat="0" applyFill="0" applyAlignment="0" applyProtection="0"/>
    <xf numFmtId="10" fontId="54" fillId="33" borderId="258" applyNumberFormat="0" applyBorder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10" fontId="54" fillId="33" borderId="258" applyNumberFormat="0" applyBorder="0" applyAlignment="0" applyProtection="0"/>
    <xf numFmtId="10" fontId="54" fillId="33" borderId="258" applyNumberFormat="0" applyBorder="0" applyAlignment="0" applyProtection="0"/>
    <xf numFmtId="0" fontId="123" fillId="78" borderId="262" applyNumberFormat="0" applyAlignment="0" applyProtection="0"/>
    <xf numFmtId="0" fontId="89" fillId="0" borderId="160">
      <alignment horizontal="left" vertical="center"/>
    </xf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130" fillId="56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30" fillId="56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119" fillId="0" borderId="202" applyNumberFormat="0" applyFill="0" applyAlignment="0" applyProtection="0"/>
    <xf numFmtId="0" fontId="130" fillId="56" borderId="303" applyNumberFormat="0" applyAlignment="0" applyProtection="0"/>
    <xf numFmtId="197" fontId="52" fillId="0" borderId="258" applyFill="0" applyBorder="0" applyAlignment="0"/>
    <xf numFmtId="198" fontId="82" fillId="0" borderId="258" applyFill="0" applyBorder="0" applyAlignment="0"/>
    <xf numFmtId="10" fontId="54" fillId="33" borderId="273" applyNumberFormat="0" applyBorder="0" applyAlignment="0" applyProtection="0"/>
    <xf numFmtId="0" fontId="104" fillId="60" borderId="120" applyNumberFormat="0" applyFont="0" applyBorder="0" applyAlignment="0"/>
    <xf numFmtId="0" fontId="133" fillId="78" borderId="177" applyNumberFormat="0" applyAlignment="0" applyProtection="0"/>
    <xf numFmtId="10" fontId="54" fillId="33" borderId="279" applyNumberFormat="0" applyBorder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10" fontId="54" fillId="33" borderId="258" applyNumberFormat="0" applyBorder="0" applyAlignment="0" applyProtection="0"/>
    <xf numFmtId="0" fontId="119" fillId="0" borderId="202" applyNumberFormat="0" applyFill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10" fontId="54" fillId="33" borderId="258" applyNumberFormat="0" applyBorder="0" applyAlignment="0" applyProtection="0"/>
    <xf numFmtId="0" fontId="130" fillId="56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119" fillId="0" borderId="202" applyNumberFormat="0" applyFill="0" applyAlignment="0" applyProtection="0"/>
    <xf numFmtId="10" fontId="54" fillId="33" borderId="258" applyNumberFormat="0" applyBorder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10" fontId="54" fillId="33" borderId="258" applyNumberFormat="0" applyBorder="0" applyAlignment="0" applyProtection="0"/>
    <xf numFmtId="10" fontId="54" fillId="33" borderId="258" applyNumberFormat="0" applyBorder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19" fillId="0" borderId="202" applyNumberFormat="0" applyFill="0" applyAlignment="0" applyProtection="0"/>
    <xf numFmtId="0" fontId="130" fillId="56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10" fontId="54" fillId="33" borderId="258" applyNumberFormat="0" applyBorder="0" applyAlignment="0" applyProtection="0"/>
    <xf numFmtId="0" fontId="130" fillId="56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119" fillId="0" borderId="202" applyNumberFormat="0" applyFill="0" applyAlignment="0" applyProtection="0"/>
    <xf numFmtId="10" fontId="54" fillId="33" borderId="258" applyNumberFormat="0" applyBorder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10" fontId="54" fillId="33" borderId="258" applyNumberFormat="0" applyBorder="0" applyAlignment="0" applyProtection="0"/>
    <xf numFmtId="0" fontId="133" fillId="78" borderId="177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10" fontId="54" fillId="33" borderId="258" applyNumberFormat="0" applyBorder="0" applyAlignment="0" applyProtection="0"/>
    <xf numFmtId="0" fontId="130" fillId="56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123" fillId="78" borderId="262" applyNumberFormat="0" applyAlignment="0" applyProtection="0"/>
    <xf numFmtId="0" fontId="130" fillId="56" borderId="262" applyNumberFormat="0" applyAlignment="0" applyProtection="0"/>
    <xf numFmtId="0" fontId="56" fillId="81" borderId="263" applyNumberFormat="0" applyFont="0" applyAlignment="0" applyProtection="0"/>
    <xf numFmtId="0" fontId="133" fillId="78" borderId="177" applyNumberFormat="0" applyAlignment="0" applyProtection="0"/>
    <xf numFmtId="0" fontId="119" fillId="0" borderId="202" applyNumberFormat="0" applyFill="0" applyAlignment="0" applyProtection="0"/>
    <xf numFmtId="0" fontId="119" fillId="0" borderId="202" applyNumberFormat="0" applyFill="0" applyAlignment="0" applyProtection="0"/>
    <xf numFmtId="0" fontId="133" fillId="78" borderId="271" applyNumberFormat="0" applyAlignment="0" applyProtection="0"/>
    <xf numFmtId="0" fontId="130" fillId="56" borderId="269" applyNumberFormat="0" applyAlignment="0" applyProtection="0"/>
    <xf numFmtId="0" fontId="56" fillId="81" borderId="270" applyNumberFormat="0" applyFont="0" applyAlignment="0" applyProtection="0"/>
    <xf numFmtId="0" fontId="119" fillId="0" borderId="301" applyNumberFormat="0" applyFill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88">
    <xf numFmtId="0" fontId="0" fillId="0" borderId="0" xfId="0">
      <alignment vertical="center"/>
    </xf>
    <xf numFmtId="0" fontId="23" fillId="0" borderId="0" xfId="0" applyFont="1">
      <alignment vertical="center"/>
    </xf>
    <xf numFmtId="0" fontId="20" fillId="0" borderId="0" xfId="0" applyFont="1">
      <alignment vertical="center"/>
    </xf>
    <xf numFmtId="0" fontId="25" fillId="33" borderId="19" xfId="40" applyFont="1" applyFill="1" applyBorder="1" applyAlignment="1" applyProtection="1">
      <alignment horizontal="center" vertical="center"/>
      <protection locked="0"/>
    </xf>
    <xf numFmtId="0" fontId="27" fillId="0" borderId="0" xfId="0" applyFont="1">
      <alignment vertical="center"/>
    </xf>
    <xf numFmtId="0" fontId="25" fillId="33" borderId="18" xfId="40" applyFont="1" applyFill="1" applyBorder="1" applyAlignment="1" applyProtection="1">
      <alignment horizontal="center" vertical="center"/>
      <protection locked="0"/>
    </xf>
    <xf numFmtId="0" fontId="31" fillId="34" borderId="0" xfId="40" applyFont="1" applyFill="1" applyAlignment="1" applyProtection="1">
      <alignment horizontal="right" vertical="center"/>
      <protection locked="0"/>
    </xf>
    <xf numFmtId="0" fontId="31" fillId="34" borderId="0" xfId="40" applyFont="1" applyFill="1" applyProtection="1">
      <alignment vertical="center"/>
      <protection locked="0"/>
    </xf>
    <xf numFmtId="0" fontId="28" fillId="0" borderId="0" xfId="0" applyFont="1">
      <alignment vertical="center"/>
    </xf>
    <xf numFmtId="0" fontId="31" fillId="0" borderId="0" xfId="40" applyFont="1" applyProtection="1">
      <alignment vertical="center"/>
      <protection locked="0"/>
    </xf>
    <xf numFmtId="0" fontId="33" fillId="0" borderId="0" xfId="40" applyFont="1">
      <alignment vertical="center"/>
    </xf>
    <xf numFmtId="0" fontId="25" fillId="33" borderId="19" xfId="40" applyFont="1" applyFill="1" applyBorder="1" applyAlignment="1">
      <alignment horizontal="center" vertical="center"/>
    </xf>
    <xf numFmtId="0" fontId="25" fillId="33" borderId="17" xfId="40" applyFont="1" applyFill="1" applyBorder="1" applyAlignment="1">
      <alignment horizontal="center" vertical="center"/>
    </xf>
    <xf numFmtId="0" fontId="25" fillId="33" borderId="18" xfId="40" applyFont="1" applyFill="1" applyBorder="1" applyAlignment="1">
      <alignment horizontal="center" vertical="center"/>
    </xf>
    <xf numFmtId="0" fontId="33" fillId="0" borderId="0" xfId="40" applyFont="1" applyAlignment="1" applyProtection="1">
      <alignment horizontal="right" vertical="center" wrapText="1"/>
      <protection locked="0"/>
    </xf>
    <xf numFmtId="0" fontId="31" fillId="0" borderId="0" xfId="40" applyFont="1" applyAlignment="1" applyProtection="1">
      <alignment horizontal="right" vertical="center" wrapText="1"/>
      <protection locked="0"/>
    </xf>
    <xf numFmtId="0" fontId="30" fillId="36" borderId="25" xfId="40" applyFont="1" applyFill="1" applyBorder="1" applyAlignment="1">
      <alignment horizontal="center" vertical="center" wrapText="1"/>
    </xf>
    <xf numFmtId="0" fontId="33" fillId="0" borderId="0" xfId="40" applyFont="1" applyAlignment="1" applyProtection="1">
      <alignment horizontal="center" vertical="center" wrapText="1"/>
      <protection locked="0"/>
    </xf>
    <xf numFmtId="0" fontId="33" fillId="0" borderId="0" xfId="40" applyFont="1" applyAlignment="1" applyProtection="1">
      <alignment vertical="center" wrapText="1"/>
      <protection locked="0"/>
    </xf>
    <xf numFmtId="0" fontId="35" fillId="0" borderId="0" xfId="40" applyFont="1" applyAlignment="1" applyProtection="1">
      <alignment horizontal="left" vertical="center"/>
      <protection locked="0"/>
    </xf>
    <xf numFmtId="0" fontId="25" fillId="43" borderId="16" xfId="40" applyFont="1" applyFill="1" applyBorder="1" applyAlignment="1">
      <alignment horizontal="center" vertical="center" wrapText="1"/>
    </xf>
    <xf numFmtId="0" fontId="25" fillId="0" borderId="20" xfId="40" applyFont="1" applyBorder="1" applyAlignment="1">
      <alignment horizontal="center" vertical="center"/>
    </xf>
    <xf numFmtId="0" fontId="25" fillId="0" borderId="21" xfId="40" applyFont="1" applyBorder="1" applyAlignment="1">
      <alignment horizontal="center" vertical="center"/>
    </xf>
    <xf numFmtId="0" fontId="25" fillId="0" borderId="22" xfId="40" applyFont="1" applyBorder="1" applyAlignment="1">
      <alignment horizontal="center" vertical="center"/>
    </xf>
    <xf numFmtId="0" fontId="31" fillId="0" borderId="23" xfId="40" applyFont="1" applyBorder="1" applyAlignment="1">
      <alignment horizontal="center" vertical="center"/>
    </xf>
    <xf numFmtId="0" fontId="31" fillId="0" borderId="24" xfId="40" applyFont="1" applyBorder="1" applyAlignment="1">
      <alignment horizontal="center" vertical="center"/>
    </xf>
    <xf numFmtId="177" fontId="25" fillId="35" borderId="30" xfId="40" applyNumberFormat="1" applyFont="1" applyFill="1" applyBorder="1" applyAlignment="1">
      <alignment horizontal="center" vertical="center"/>
    </xf>
    <xf numFmtId="0" fontId="30" fillId="36" borderId="27" xfId="40" applyFont="1" applyFill="1" applyBorder="1" applyAlignment="1">
      <alignment horizontal="center" vertical="center" wrapText="1"/>
    </xf>
    <xf numFmtId="0" fontId="30" fillId="36" borderId="28" xfId="40" applyFont="1" applyFill="1" applyBorder="1" applyAlignment="1">
      <alignment horizontal="center" vertical="center" wrapText="1"/>
    </xf>
    <xf numFmtId="0" fontId="30" fillId="36" borderId="29" xfId="40" applyFont="1" applyFill="1" applyBorder="1" applyAlignment="1">
      <alignment horizontal="center" vertical="center" wrapText="1"/>
    </xf>
    <xf numFmtId="176" fontId="31" fillId="0" borderId="15" xfId="40" applyNumberFormat="1" applyFont="1" applyBorder="1">
      <alignment vertical="center"/>
    </xf>
    <xf numFmtId="0" fontId="43" fillId="0" borderId="10" xfId="40" applyFont="1" applyBorder="1">
      <alignment vertical="center"/>
    </xf>
    <xf numFmtId="0" fontId="37" fillId="37" borderId="32" xfId="40" applyFont="1" applyFill="1" applyBorder="1" applyAlignment="1">
      <alignment vertical="center" wrapText="1"/>
    </xf>
    <xf numFmtId="0" fontId="23" fillId="48" borderId="0" xfId="0" applyFont="1" applyFill="1">
      <alignment vertical="center"/>
    </xf>
    <xf numFmtId="0" fontId="32" fillId="46" borderId="73" xfId="0" applyFont="1" applyFill="1" applyBorder="1" applyAlignment="1">
      <alignment horizontal="center" vertical="center"/>
    </xf>
    <xf numFmtId="0" fontId="32" fillId="46" borderId="74" xfId="0" applyFont="1" applyFill="1" applyBorder="1" applyAlignment="1">
      <alignment horizontal="center" vertical="center"/>
    </xf>
    <xf numFmtId="41" fontId="25" fillId="43" borderId="69" xfId="4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0" borderId="85" xfId="0" applyFont="1" applyBorder="1" applyAlignment="1">
      <alignment horizontal="center" vertical="center"/>
    </xf>
    <xf numFmtId="41" fontId="27" fillId="0" borderId="63" xfId="66" applyFont="1" applyBorder="1" applyAlignment="1">
      <alignment horizontal="right" vertical="center"/>
    </xf>
    <xf numFmtId="41" fontId="23" fillId="0" borderId="0" xfId="66" applyFont="1">
      <alignment vertical="center"/>
    </xf>
    <xf numFmtId="0" fontId="28" fillId="0" borderId="91" xfId="0" applyFont="1" applyBorder="1" applyAlignment="1">
      <alignment horizontal="center" vertical="center"/>
    </xf>
    <xf numFmtId="41" fontId="28" fillId="0" borderId="92" xfId="66" applyFont="1" applyBorder="1" applyAlignment="1">
      <alignment horizontal="center" vertical="center"/>
    </xf>
    <xf numFmtId="9" fontId="27" fillId="50" borderId="35" xfId="0" applyNumberFormat="1" applyFont="1" applyFill="1" applyBorder="1" applyAlignment="1">
      <alignment horizontal="center" vertical="center"/>
    </xf>
    <xf numFmtId="9" fontId="27" fillId="50" borderId="89" xfId="0" applyNumberFormat="1" applyFont="1" applyFill="1" applyBorder="1" applyAlignment="1">
      <alignment horizontal="center" vertical="center"/>
    </xf>
    <xf numFmtId="9" fontId="27" fillId="47" borderId="35" xfId="0" applyNumberFormat="1" applyFont="1" applyFill="1" applyBorder="1" applyAlignment="1">
      <alignment horizontal="center" vertical="center"/>
    </xf>
    <xf numFmtId="9" fontId="27" fillId="47" borderId="89" xfId="0" applyNumberFormat="1" applyFont="1" applyFill="1" applyBorder="1" applyAlignment="1">
      <alignment horizontal="center" vertical="center"/>
    </xf>
    <xf numFmtId="9" fontId="27" fillId="49" borderId="35" xfId="0" applyNumberFormat="1" applyFont="1" applyFill="1" applyBorder="1" applyAlignment="1">
      <alignment horizontal="center" vertical="center"/>
    </xf>
    <xf numFmtId="9" fontId="27" fillId="49" borderId="90" xfId="0" applyNumberFormat="1" applyFont="1" applyFill="1" applyBorder="1" applyAlignment="1">
      <alignment horizontal="center" vertical="center"/>
    </xf>
    <xf numFmtId="0" fontId="46" fillId="52" borderId="98" xfId="40" applyFont="1" applyFill="1" applyBorder="1" applyAlignment="1" applyProtection="1">
      <alignment horizontal="center" vertical="center" wrapText="1"/>
      <protection locked="0"/>
    </xf>
    <xf numFmtId="3" fontId="43" fillId="0" borderId="11" xfId="40" applyNumberFormat="1" applyFont="1" applyBorder="1" applyAlignment="1">
      <alignment horizontal="right" vertical="center" wrapText="1"/>
    </xf>
    <xf numFmtId="178" fontId="31" fillId="0" borderId="0" xfId="40" applyNumberFormat="1" applyFont="1">
      <alignment vertical="center"/>
    </xf>
    <xf numFmtId="178" fontId="25" fillId="43" borderId="69" xfId="40" applyNumberFormat="1" applyFont="1" applyFill="1" applyBorder="1" applyAlignment="1">
      <alignment horizontal="center" vertical="center" wrapText="1"/>
    </xf>
    <xf numFmtId="178" fontId="27" fillId="0" borderId="0" xfId="0" applyNumberFormat="1" applyFont="1">
      <alignment vertical="center"/>
    </xf>
    <xf numFmtId="179" fontId="33" fillId="0" borderId="0" xfId="40" applyNumberFormat="1" applyFont="1" applyAlignment="1" applyProtection="1">
      <alignment vertical="center" wrapText="1"/>
      <protection locked="0"/>
    </xf>
    <xf numFmtId="179" fontId="31" fillId="0" borderId="0" xfId="40" applyNumberFormat="1" applyFont="1" applyAlignment="1" applyProtection="1">
      <alignment horizontal="right" vertical="center" wrapText="1"/>
      <protection locked="0"/>
    </xf>
    <xf numFmtId="179" fontId="25" fillId="43" borderId="69" xfId="40" applyNumberFormat="1" applyFont="1" applyFill="1" applyBorder="1" applyAlignment="1">
      <alignment horizontal="center" vertical="center" wrapText="1"/>
    </xf>
    <xf numFmtId="179" fontId="45" fillId="0" borderId="96" xfId="40" applyNumberFormat="1" applyFont="1" applyBorder="1" applyAlignment="1" applyProtection="1">
      <alignment horizontal="center" vertical="center" wrapText="1"/>
      <protection locked="0"/>
    </xf>
    <xf numFmtId="179" fontId="23" fillId="0" borderId="0" xfId="0" applyNumberFormat="1" applyFont="1">
      <alignment vertical="center"/>
    </xf>
    <xf numFmtId="179" fontId="37" fillId="37" borderId="39" xfId="40" applyNumberFormat="1" applyFont="1" applyFill="1" applyBorder="1" applyAlignment="1">
      <alignment horizontal="center" vertical="center" wrapText="1"/>
    </xf>
    <xf numFmtId="177" fontId="37" fillId="37" borderId="39" xfId="40" applyNumberFormat="1" applyFont="1" applyFill="1" applyBorder="1" applyAlignment="1">
      <alignment horizontal="center" vertical="center" wrapText="1"/>
    </xf>
    <xf numFmtId="3" fontId="39" fillId="37" borderId="39" xfId="40" applyNumberFormat="1" applyFont="1" applyFill="1" applyBorder="1" applyAlignment="1">
      <alignment horizontal="right" vertical="center" wrapText="1"/>
    </xf>
    <xf numFmtId="0" fontId="25" fillId="0" borderId="110" xfId="40" applyFont="1" applyBorder="1" applyAlignment="1" applyProtection="1">
      <alignment horizontal="center" vertical="center" wrapText="1"/>
      <protection locked="0"/>
    </xf>
    <xf numFmtId="0" fontId="25" fillId="43" borderId="110" xfId="40" applyFont="1" applyFill="1" applyBorder="1" applyAlignment="1" applyProtection="1">
      <alignment horizontal="center" vertical="center" wrapText="1"/>
      <protection locked="0"/>
    </xf>
    <xf numFmtId="179" fontId="25" fillId="43" borderId="111" xfId="40" applyNumberFormat="1" applyFont="1" applyFill="1" applyBorder="1" applyAlignment="1">
      <alignment horizontal="center" vertical="center" wrapText="1"/>
    </xf>
    <xf numFmtId="3" fontId="31" fillId="43" borderId="112" xfId="40" applyNumberFormat="1" applyFont="1" applyFill="1" applyBorder="1" applyAlignment="1" applyProtection="1">
      <alignment horizontal="right" vertical="center" wrapText="1"/>
      <protection locked="0"/>
    </xf>
    <xf numFmtId="41" fontId="25" fillId="43" borderId="111" xfId="40" applyNumberFormat="1" applyFont="1" applyFill="1" applyBorder="1" applyAlignment="1">
      <alignment horizontal="center" vertical="center" wrapText="1"/>
    </xf>
    <xf numFmtId="178" fontId="25" fillId="43" borderId="111" xfId="40" applyNumberFormat="1" applyFont="1" applyFill="1" applyBorder="1" applyAlignment="1">
      <alignment horizontal="center" vertical="center" wrapText="1"/>
    </xf>
    <xf numFmtId="41" fontId="45" fillId="0" borderId="96" xfId="66" applyFont="1" applyBorder="1" applyAlignment="1" applyProtection="1">
      <alignment horizontal="center" vertical="center" wrapText="1"/>
      <protection locked="0"/>
    </xf>
    <xf numFmtId="181" fontId="43" fillId="53" borderId="69" xfId="66" applyNumberFormat="1" applyFont="1" applyFill="1" applyBorder="1" applyAlignment="1" applyProtection="1">
      <alignment horizontal="center" vertical="center" wrapText="1"/>
      <protection locked="0"/>
    </xf>
    <xf numFmtId="0" fontId="23" fillId="48" borderId="73" xfId="0" applyFont="1" applyFill="1" applyBorder="1" applyAlignment="1">
      <alignment horizontal="center" vertical="center"/>
    </xf>
    <xf numFmtId="41" fontId="23" fillId="48" borderId="114" xfId="66" applyFont="1" applyFill="1" applyBorder="1">
      <alignment vertical="center"/>
    </xf>
    <xf numFmtId="0" fontId="23" fillId="48" borderId="74" xfId="0" applyFont="1" applyFill="1" applyBorder="1">
      <alignment vertical="center"/>
    </xf>
    <xf numFmtId="0" fontId="23" fillId="48" borderId="118" xfId="0" applyFont="1" applyFill="1" applyBorder="1">
      <alignment vertical="center"/>
    </xf>
    <xf numFmtId="41" fontId="23" fillId="48" borderId="120" xfId="66" applyFont="1" applyFill="1" applyBorder="1">
      <alignment vertical="center"/>
    </xf>
    <xf numFmtId="0" fontId="23" fillId="48" borderId="121" xfId="0" applyFont="1" applyFill="1" applyBorder="1">
      <alignment vertical="center"/>
    </xf>
    <xf numFmtId="0" fontId="23" fillId="48" borderId="115" xfId="0" applyFont="1" applyFill="1" applyBorder="1">
      <alignment vertical="center"/>
    </xf>
    <xf numFmtId="0" fontId="23" fillId="48" borderId="122" xfId="0" applyFont="1" applyFill="1" applyBorder="1">
      <alignment vertical="center"/>
    </xf>
    <xf numFmtId="0" fontId="23" fillId="48" borderId="123" xfId="0" applyFont="1" applyFill="1" applyBorder="1">
      <alignment vertical="center"/>
    </xf>
    <xf numFmtId="0" fontId="23" fillId="48" borderId="124" xfId="0" applyFont="1" applyFill="1" applyBorder="1">
      <alignment vertical="center"/>
    </xf>
    <xf numFmtId="0" fontId="23" fillId="48" borderId="97" xfId="0" applyFont="1" applyFill="1" applyBorder="1">
      <alignment vertical="center"/>
    </xf>
    <xf numFmtId="0" fontId="25" fillId="33" borderId="126" xfId="40" applyFont="1" applyFill="1" applyBorder="1" applyAlignment="1" applyProtection="1">
      <alignment horizontal="center" vertical="center"/>
      <protection locked="0"/>
    </xf>
    <xf numFmtId="0" fontId="27" fillId="54" borderId="58" xfId="0" applyFont="1" applyFill="1" applyBorder="1">
      <alignment vertical="center"/>
    </xf>
    <xf numFmtId="0" fontId="28" fillId="54" borderId="105" xfId="0" applyFont="1" applyFill="1" applyBorder="1">
      <alignment vertical="center"/>
    </xf>
    <xf numFmtId="0" fontId="28" fillId="54" borderId="58" xfId="0" applyFont="1" applyFill="1" applyBorder="1">
      <alignment vertical="center"/>
    </xf>
    <xf numFmtId="0" fontId="40" fillId="0" borderId="0" xfId="0" applyFont="1">
      <alignment vertical="center"/>
    </xf>
    <xf numFmtId="0" fontId="43" fillId="0" borderId="76" xfId="40" applyFont="1" applyBorder="1" applyAlignment="1">
      <alignment horizontal="center" vertical="center"/>
    </xf>
    <xf numFmtId="0" fontId="40" fillId="0" borderId="73" xfId="0" applyFont="1" applyBorder="1" applyAlignment="1">
      <alignment horizontal="center" vertical="center"/>
    </xf>
    <xf numFmtId="0" fontId="43" fillId="0" borderId="74" xfId="40" applyFont="1" applyBorder="1" applyAlignment="1">
      <alignment horizontal="center" vertical="center"/>
    </xf>
    <xf numFmtId="14" fontId="31" fillId="0" borderId="77" xfId="40" applyNumberFormat="1" applyFont="1" applyBorder="1">
      <alignment vertical="center"/>
    </xf>
    <xf numFmtId="14" fontId="31" fillId="0" borderId="65" xfId="40" applyNumberFormat="1" applyFont="1" applyBorder="1">
      <alignment vertical="center"/>
    </xf>
    <xf numFmtId="0" fontId="31" fillId="0" borderId="78" xfId="40" applyFont="1" applyBorder="1">
      <alignment vertical="center"/>
    </xf>
    <xf numFmtId="0" fontId="25" fillId="33" borderId="133" xfId="40" applyFont="1" applyFill="1" applyBorder="1" applyAlignment="1">
      <alignment horizontal="center" vertical="center"/>
    </xf>
    <xf numFmtId="0" fontId="25" fillId="0" borderId="134" xfId="40" applyFont="1" applyBorder="1" applyAlignment="1">
      <alignment horizontal="center" vertical="center"/>
    </xf>
    <xf numFmtId="0" fontId="31" fillId="0" borderId="0" xfId="40" applyFont="1" applyAlignment="1">
      <alignment horizontal="center" vertical="center"/>
    </xf>
    <xf numFmtId="0" fontId="25" fillId="33" borderId="137" xfId="40" applyFont="1" applyFill="1" applyBorder="1" applyAlignment="1">
      <alignment horizontal="center" vertical="center"/>
    </xf>
    <xf numFmtId="0" fontId="25" fillId="33" borderId="136" xfId="40" applyFont="1" applyFill="1" applyBorder="1" applyAlignment="1">
      <alignment horizontal="center" vertical="center"/>
    </xf>
    <xf numFmtId="0" fontId="25" fillId="33" borderId="133" xfId="40" applyFont="1" applyFill="1" applyBorder="1" applyAlignment="1" applyProtection="1">
      <alignment horizontal="center" vertical="center"/>
      <protection locked="0"/>
    </xf>
    <xf numFmtId="0" fontId="26" fillId="33" borderId="137" xfId="40" applyFont="1" applyFill="1" applyBorder="1" applyAlignment="1" applyProtection="1">
      <alignment horizontal="center" vertical="center"/>
      <protection locked="0"/>
    </xf>
    <xf numFmtId="0" fontId="26" fillId="33" borderId="136" xfId="40" applyFont="1" applyFill="1" applyBorder="1" applyAlignment="1" applyProtection="1">
      <alignment horizontal="center" vertical="center"/>
      <protection locked="0"/>
    </xf>
    <xf numFmtId="0" fontId="27" fillId="0" borderId="53" xfId="0" applyFont="1" applyBorder="1">
      <alignment vertical="center"/>
    </xf>
    <xf numFmtId="0" fontId="27" fillId="0" borderId="61" xfId="0" applyFont="1" applyBorder="1">
      <alignment vertical="center"/>
    </xf>
    <xf numFmtId="0" fontId="27" fillId="54" borderId="34" xfId="0" applyFont="1" applyFill="1" applyBorder="1">
      <alignment vertical="center"/>
    </xf>
    <xf numFmtId="0" fontId="27" fillId="54" borderId="129" xfId="0" applyFont="1" applyFill="1" applyBorder="1">
      <alignment vertical="center"/>
    </xf>
    <xf numFmtId="0" fontId="27" fillId="48" borderId="53" xfId="0" applyFont="1" applyFill="1" applyBorder="1">
      <alignment vertical="center"/>
    </xf>
    <xf numFmtId="0" fontId="27" fillId="48" borderId="61" xfId="0" applyFont="1" applyFill="1" applyBorder="1">
      <alignment vertical="center"/>
    </xf>
    <xf numFmtId="0" fontId="28" fillId="54" borderId="141" xfId="0" applyFont="1" applyFill="1" applyBorder="1">
      <alignment vertical="center"/>
    </xf>
    <xf numFmtId="0" fontId="23" fillId="48" borderId="86" xfId="0" applyFont="1" applyFill="1" applyBorder="1">
      <alignment vertical="center"/>
    </xf>
    <xf numFmtId="9" fontId="23" fillId="48" borderId="120" xfId="66" applyNumberFormat="1" applyFont="1" applyFill="1" applyBorder="1">
      <alignment vertical="center"/>
    </xf>
    <xf numFmtId="9" fontId="23" fillId="48" borderId="125" xfId="66" applyNumberFormat="1" applyFont="1" applyFill="1" applyBorder="1">
      <alignment vertical="center"/>
    </xf>
    <xf numFmtId="0" fontId="26" fillId="34" borderId="54" xfId="0" applyFont="1" applyFill="1" applyBorder="1" applyAlignment="1" applyProtection="1">
      <alignment horizontal="center" vertical="center"/>
      <protection locked="0"/>
    </xf>
    <xf numFmtId="0" fontId="26" fillId="54" borderId="68" xfId="0" applyFont="1" applyFill="1" applyBorder="1" applyAlignment="1" applyProtection="1">
      <alignment horizontal="center" vertical="center"/>
      <protection locked="0"/>
    </xf>
    <xf numFmtId="0" fontId="26" fillId="34" borderId="136" xfId="0" applyFont="1" applyFill="1" applyBorder="1" applyProtection="1">
      <alignment vertical="center"/>
      <protection locked="0"/>
    </xf>
    <xf numFmtId="0" fontId="27" fillId="0" borderId="36" xfId="0" applyFont="1" applyBorder="1" applyAlignment="1">
      <alignment horizontal="left" vertical="center"/>
    </xf>
    <xf numFmtId="9" fontId="26" fillId="34" borderId="147" xfId="67" applyFont="1" applyFill="1" applyBorder="1" applyAlignment="1" applyProtection="1">
      <alignment vertical="center"/>
      <protection locked="0"/>
    </xf>
    <xf numFmtId="0" fontId="27" fillId="0" borderId="37" xfId="0" applyFont="1" applyBorder="1">
      <alignment vertical="center"/>
    </xf>
    <xf numFmtId="41" fontId="28" fillId="0" borderId="0" xfId="66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179" fontId="28" fillId="0" borderId="0" xfId="0" applyNumberFormat="1" applyFont="1" applyAlignment="1">
      <alignment horizontal="center" vertical="center"/>
    </xf>
    <xf numFmtId="0" fontId="27" fillId="48" borderId="153" xfId="0" applyFont="1" applyFill="1" applyBorder="1">
      <alignment vertical="center"/>
    </xf>
    <xf numFmtId="0" fontId="27" fillId="48" borderId="14" xfId="0" applyFont="1" applyFill="1" applyBorder="1">
      <alignment vertical="center"/>
    </xf>
    <xf numFmtId="3" fontId="26" fillId="54" borderId="21" xfId="0" applyNumberFormat="1" applyFont="1" applyFill="1" applyBorder="1" applyAlignment="1" applyProtection="1">
      <alignment horizontal="center" vertical="center"/>
      <protection locked="0"/>
    </xf>
    <xf numFmtId="41" fontId="26" fillId="34" borderId="140" xfId="66" applyFont="1" applyFill="1" applyBorder="1" applyAlignment="1" applyProtection="1">
      <alignment vertical="center"/>
      <protection locked="0"/>
    </xf>
    <xf numFmtId="41" fontId="26" fillId="34" borderId="135" xfId="66" applyFont="1" applyFill="1" applyBorder="1" applyAlignment="1" applyProtection="1">
      <alignment horizontal="center" vertical="center"/>
      <protection locked="0"/>
    </xf>
    <xf numFmtId="10" fontId="31" fillId="0" borderId="14" xfId="67" applyNumberFormat="1" applyFont="1" applyBorder="1" applyProtection="1">
      <alignment vertical="center"/>
    </xf>
    <xf numFmtId="0" fontId="27" fillId="48" borderId="130" xfId="0" applyFont="1" applyFill="1" applyBorder="1">
      <alignment vertical="center"/>
    </xf>
    <xf numFmtId="0" fontId="27" fillId="48" borderId="116" xfId="0" applyFont="1" applyFill="1" applyBorder="1">
      <alignment vertical="center"/>
    </xf>
    <xf numFmtId="179" fontId="27" fillId="0" borderId="53" xfId="0" applyNumberFormat="1" applyFont="1" applyBorder="1" applyAlignment="1">
      <alignment horizontal="center" vertical="center"/>
    </xf>
    <xf numFmtId="179" fontId="27" fillId="0" borderId="61" xfId="0" applyNumberFormat="1" applyFont="1" applyBorder="1" applyAlignment="1">
      <alignment horizontal="center" vertical="center"/>
    </xf>
    <xf numFmtId="182" fontId="27" fillId="0" borderId="53" xfId="66" applyNumberFormat="1" applyFont="1" applyBorder="1" applyAlignment="1">
      <alignment horizontal="center" vertical="center"/>
    </xf>
    <xf numFmtId="9" fontId="27" fillId="0" borderId="53" xfId="67" applyFont="1" applyBorder="1" applyAlignment="1">
      <alignment vertical="center"/>
    </xf>
    <xf numFmtId="9" fontId="27" fillId="0" borderId="153" xfId="67" applyFont="1" applyBorder="1" applyAlignment="1">
      <alignment vertical="center"/>
    </xf>
    <xf numFmtId="0" fontId="25" fillId="33" borderId="157" xfId="40" applyFont="1" applyFill="1" applyBorder="1" applyAlignment="1" applyProtection="1">
      <alignment horizontal="center" vertical="center"/>
      <protection locked="0"/>
    </xf>
    <xf numFmtId="0" fontId="26" fillId="33" borderId="159" xfId="40" applyFont="1" applyFill="1" applyBorder="1" applyAlignment="1" applyProtection="1">
      <alignment vertical="center" wrapText="1"/>
      <protection locked="0"/>
    </xf>
    <xf numFmtId="0" fontId="26" fillId="33" borderId="138" xfId="40" applyFont="1" applyFill="1" applyBorder="1" applyAlignment="1" applyProtection="1">
      <alignment vertical="center" wrapText="1"/>
      <protection locked="0"/>
    </xf>
    <xf numFmtId="0" fontId="28" fillId="0" borderId="108" xfId="0" applyFont="1" applyBorder="1" applyAlignment="1">
      <alignment horizontal="center" vertical="center"/>
    </xf>
    <xf numFmtId="0" fontId="28" fillId="0" borderId="119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10" fontId="28" fillId="40" borderId="74" xfId="0" applyNumberFormat="1" applyFont="1" applyFill="1" applyBorder="1" applyAlignment="1">
      <alignment horizontal="center" vertical="center"/>
    </xf>
    <xf numFmtId="179" fontId="27" fillId="54" borderId="58" xfId="0" applyNumberFormat="1" applyFont="1" applyFill="1" applyBorder="1" applyAlignment="1">
      <alignment horizontal="center" vertical="center"/>
    </xf>
    <xf numFmtId="179" fontId="31" fillId="0" borderId="16" xfId="40" applyNumberFormat="1" applyFont="1" applyBorder="1" applyAlignment="1">
      <alignment horizontal="center" vertical="center" wrapText="1"/>
    </xf>
    <xf numFmtId="0" fontId="26" fillId="48" borderId="135" xfId="0" applyFont="1" applyFill="1" applyBorder="1" applyProtection="1">
      <alignment vertical="center"/>
      <protection locked="0"/>
    </xf>
    <xf numFmtId="179" fontId="25" fillId="0" borderId="69" xfId="40" applyNumberFormat="1" applyFont="1" applyBorder="1" applyAlignment="1">
      <alignment horizontal="center" vertical="center" wrapText="1"/>
    </xf>
    <xf numFmtId="3" fontId="31" fillId="0" borderId="70" xfId="40" applyNumberFormat="1" applyFont="1" applyBorder="1" applyAlignment="1">
      <alignment horizontal="right" vertical="center" wrapText="1"/>
    </xf>
    <xf numFmtId="3" fontId="31" fillId="0" borderId="70" xfId="40" applyNumberFormat="1" applyFont="1" applyBorder="1" applyAlignment="1" applyProtection="1">
      <alignment horizontal="right" vertical="center" wrapText="1"/>
      <protection locked="0"/>
    </xf>
    <xf numFmtId="0" fontId="31" fillId="0" borderId="16" xfId="40" applyFont="1" applyBorder="1" applyAlignment="1" applyProtection="1">
      <alignment horizontal="center" vertical="center" wrapText="1"/>
      <protection locked="0"/>
    </xf>
    <xf numFmtId="179" fontId="37" fillId="37" borderId="28" xfId="40" applyNumberFormat="1" applyFont="1" applyFill="1" applyBorder="1" applyAlignment="1">
      <alignment horizontal="center" vertical="center" wrapText="1"/>
    </xf>
    <xf numFmtId="177" fontId="37" fillId="37" borderId="28" xfId="40" applyNumberFormat="1" applyFont="1" applyFill="1" applyBorder="1" applyAlignment="1">
      <alignment horizontal="center" vertical="center" wrapText="1"/>
    </xf>
    <xf numFmtId="41" fontId="38" fillId="37" borderId="32" xfId="40" applyNumberFormat="1" applyFont="1" applyFill="1" applyBorder="1" applyAlignment="1">
      <alignment horizontal="center" vertical="center" wrapText="1"/>
    </xf>
    <xf numFmtId="178" fontId="31" fillId="37" borderId="32" xfId="40" applyNumberFormat="1" applyFont="1" applyFill="1" applyBorder="1" applyAlignment="1">
      <alignment horizontal="center" vertical="center" wrapText="1"/>
    </xf>
    <xf numFmtId="0" fontId="30" fillId="36" borderId="317" xfId="40" applyFont="1" applyFill="1" applyBorder="1" applyAlignment="1">
      <alignment horizontal="center" vertical="center" wrapText="1"/>
    </xf>
    <xf numFmtId="0" fontId="30" fillId="36" borderId="318" xfId="40" applyFont="1" applyFill="1" applyBorder="1" applyAlignment="1">
      <alignment horizontal="center" vertical="center" wrapText="1"/>
    </xf>
    <xf numFmtId="179" fontId="30" fillId="36" borderId="318" xfId="40" applyNumberFormat="1" applyFont="1" applyFill="1" applyBorder="1" applyAlignment="1">
      <alignment horizontal="center" vertical="center" wrapText="1"/>
    </xf>
    <xf numFmtId="2" fontId="31" fillId="0" borderId="69" xfId="40" applyNumberFormat="1" applyFont="1" applyBorder="1" applyAlignment="1" applyProtection="1">
      <alignment horizontal="center" vertical="center"/>
      <protection locked="0"/>
    </xf>
    <xf numFmtId="0" fontId="30" fillId="36" borderId="320" xfId="40" applyFont="1" applyFill="1" applyBorder="1" applyAlignment="1">
      <alignment horizontal="center" vertical="center" wrapText="1"/>
    </xf>
    <xf numFmtId="0" fontId="30" fillId="36" borderId="321" xfId="40" applyFont="1" applyFill="1" applyBorder="1" applyAlignment="1">
      <alignment horizontal="center" vertical="center" wrapText="1"/>
    </xf>
    <xf numFmtId="179" fontId="30" fillId="36" borderId="321" xfId="40" applyNumberFormat="1" applyFont="1" applyFill="1" applyBorder="1" applyAlignment="1">
      <alignment horizontal="center" vertical="center" wrapText="1"/>
    </xf>
    <xf numFmtId="0" fontId="30" fillId="36" borderId="321" xfId="40" quotePrefix="1" applyFont="1" applyFill="1" applyBorder="1" applyAlignment="1">
      <alignment horizontal="center" vertical="center" wrapText="1"/>
    </xf>
    <xf numFmtId="178" fontId="32" fillId="46" borderId="322" xfId="40" applyNumberFormat="1" applyFont="1" applyFill="1" applyBorder="1" applyAlignment="1">
      <alignment horizontal="center" vertical="center"/>
    </xf>
    <xf numFmtId="0" fontId="33" fillId="0" borderId="324" xfId="40" applyFont="1" applyBorder="1" applyAlignment="1" applyProtection="1">
      <alignment horizontal="center" vertical="center" wrapText="1"/>
      <protection locked="0"/>
    </xf>
    <xf numFmtId="41" fontId="23" fillId="0" borderId="0" xfId="66" applyFont="1" applyAlignment="1">
      <alignment horizontal="center" vertical="center"/>
    </xf>
    <xf numFmtId="41" fontId="23" fillId="0" borderId="0" xfId="0" applyNumberFormat="1" applyFont="1" applyAlignment="1">
      <alignment horizontal="center" vertical="center"/>
    </xf>
    <xf numFmtId="0" fontId="27" fillId="0" borderId="86" xfId="0" applyFont="1" applyBorder="1" applyAlignment="1">
      <alignment horizontal="left" vertical="center"/>
    </xf>
    <xf numFmtId="3" fontId="23" fillId="0" borderId="0" xfId="0" applyNumberFormat="1" applyFont="1">
      <alignment vertical="center"/>
    </xf>
    <xf numFmtId="224" fontId="23" fillId="0" borderId="0" xfId="0" applyNumberFormat="1" applyFont="1">
      <alignment vertical="center"/>
    </xf>
    <xf numFmtId="41" fontId="23" fillId="48" borderId="0" xfId="0" applyNumberFormat="1" applyFont="1" applyFill="1">
      <alignment vertical="center"/>
    </xf>
    <xf numFmtId="41" fontId="23" fillId="48" borderId="0" xfId="66" applyFont="1" applyFill="1">
      <alignment vertical="center"/>
    </xf>
    <xf numFmtId="9" fontId="27" fillId="50" borderId="325" xfId="0" applyNumberFormat="1" applyFont="1" applyFill="1" applyBorder="1" applyAlignment="1">
      <alignment horizontal="center" vertical="center"/>
    </xf>
    <xf numFmtId="41" fontId="27" fillId="0" borderId="323" xfId="66" applyFont="1" applyBorder="1" applyAlignment="1">
      <alignment horizontal="right" vertical="center"/>
    </xf>
    <xf numFmtId="41" fontId="27" fillId="0" borderId="323" xfId="66" applyFont="1" applyFill="1" applyBorder="1" applyAlignment="1">
      <alignment horizontal="right" vertical="center"/>
    </xf>
    <xf numFmtId="224" fontId="27" fillId="0" borderId="323" xfId="66" applyNumberFormat="1" applyFont="1" applyFill="1" applyBorder="1" applyAlignment="1">
      <alignment horizontal="right" vertical="center"/>
    </xf>
    <xf numFmtId="41" fontId="27" fillId="0" borderId="81" xfId="66" applyFont="1" applyBorder="1" applyAlignment="1">
      <alignment horizontal="right" vertical="center"/>
    </xf>
    <xf numFmtId="41" fontId="27" fillId="0" borderId="326" xfId="66" applyFont="1" applyBorder="1" applyAlignment="1">
      <alignment horizontal="right" vertical="center"/>
    </xf>
    <xf numFmtId="9" fontId="27" fillId="50" borderId="80" xfId="0" applyNumberFormat="1" applyFont="1" applyFill="1" applyBorder="1" applyAlignment="1">
      <alignment horizontal="center" vertical="center"/>
    </xf>
    <xf numFmtId="9" fontId="27" fillId="50" borderId="82" xfId="0" applyNumberFormat="1" applyFont="1" applyFill="1" applyBorder="1" applyAlignment="1">
      <alignment horizontal="center" vertical="center"/>
    </xf>
    <xf numFmtId="41" fontId="27" fillId="0" borderId="84" xfId="66" applyFont="1" applyBorder="1" applyAlignment="1">
      <alignment horizontal="right" vertical="center"/>
    </xf>
    <xf numFmtId="0" fontId="31" fillId="0" borderId="13" xfId="40" applyFont="1" applyBorder="1" applyAlignment="1">
      <alignment horizontal="center" vertical="center"/>
    </xf>
    <xf numFmtId="0" fontId="31" fillId="0" borderId="12" xfId="40" applyFont="1" applyBorder="1" applyAlignment="1">
      <alignment horizontal="center" vertical="center"/>
    </xf>
    <xf numFmtId="41" fontId="27" fillId="0" borderId="0" xfId="66" applyFont="1">
      <alignment vertical="center"/>
    </xf>
    <xf numFmtId="0" fontId="43" fillId="53" borderId="69" xfId="40" applyFont="1" applyFill="1" applyBorder="1">
      <alignment vertical="center"/>
    </xf>
    <xf numFmtId="3" fontId="43" fillId="53" borderId="11" xfId="40" applyNumberFormat="1" applyFont="1" applyFill="1" applyBorder="1" applyAlignment="1">
      <alignment horizontal="right" vertical="center" wrapText="1"/>
    </xf>
    <xf numFmtId="181" fontId="43" fillId="0" borderId="69" xfId="66" applyNumberFormat="1" applyFont="1" applyBorder="1" applyAlignment="1" applyProtection="1">
      <alignment horizontal="center" vertical="center" wrapText="1"/>
      <protection locked="0"/>
    </xf>
    <xf numFmtId="0" fontId="43" fillId="83" borderId="69" xfId="40" applyFont="1" applyFill="1" applyBorder="1">
      <alignment vertical="center"/>
    </xf>
    <xf numFmtId="0" fontId="43" fillId="44" borderId="69" xfId="40" applyFont="1" applyFill="1" applyBorder="1">
      <alignment vertical="center"/>
    </xf>
    <xf numFmtId="9" fontId="43" fillId="44" borderId="69" xfId="40" applyNumberFormat="1" applyFont="1" applyFill="1" applyBorder="1" applyAlignment="1" applyProtection="1">
      <alignment vertical="center" wrapText="1"/>
      <protection locked="0"/>
    </xf>
    <xf numFmtId="180" fontId="43" fillId="44" borderId="71" xfId="40" applyNumberFormat="1" applyFont="1" applyFill="1" applyBorder="1" applyAlignment="1" applyProtection="1">
      <alignment vertical="center" wrapText="1"/>
      <protection locked="0"/>
    </xf>
    <xf numFmtId="9" fontId="43" fillId="44" borderId="69" xfId="67" applyFont="1" applyFill="1" applyBorder="1" applyAlignment="1" applyProtection="1">
      <alignment vertical="center" wrapText="1"/>
      <protection locked="0"/>
    </xf>
    <xf numFmtId="180" fontId="43" fillId="44" borderId="71" xfId="67" applyNumberFormat="1" applyFont="1" applyFill="1" applyBorder="1" applyAlignment="1" applyProtection="1">
      <alignment vertical="center" wrapText="1"/>
      <protection locked="0"/>
    </xf>
    <xf numFmtId="0" fontId="31" fillId="0" borderId="109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14" fontId="31" fillId="0" borderId="325" xfId="40" applyNumberFormat="1" applyFont="1" applyBorder="1">
      <alignment vertical="center"/>
    </xf>
    <xf numFmtId="14" fontId="31" fillId="0" borderId="308" xfId="40" applyNumberFormat="1" applyFont="1" applyBorder="1">
      <alignment vertical="center"/>
    </xf>
    <xf numFmtId="0" fontId="31" fillId="0" borderId="323" xfId="40" applyFont="1" applyBorder="1">
      <alignment vertical="center"/>
    </xf>
    <xf numFmtId="176" fontId="31" fillId="0" borderId="0" xfId="40" applyNumberFormat="1" applyFont="1">
      <alignment vertical="center"/>
    </xf>
    <xf numFmtId="0" fontId="31" fillId="0" borderId="0" xfId="40" applyFont="1">
      <alignment vertical="center"/>
    </xf>
    <xf numFmtId="0" fontId="31" fillId="0" borderId="109" xfId="40" applyFont="1" applyBorder="1">
      <alignment vertical="center"/>
    </xf>
    <xf numFmtId="0" fontId="31" fillId="0" borderId="72" xfId="40" applyFont="1" applyBorder="1">
      <alignment vertical="center"/>
    </xf>
    <xf numFmtId="14" fontId="31" fillId="0" borderId="0" xfId="40" applyNumberFormat="1" applyFont="1">
      <alignment vertical="center"/>
    </xf>
    <xf numFmtId="41" fontId="43" fillId="0" borderId="69" xfId="66" applyFont="1" applyFill="1" applyBorder="1" applyAlignment="1" applyProtection="1">
      <alignment horizontal="center" vertical="center" wrapText="1"/>
      <protection locked="0"/>
    </xf>
    <xf numFmtId="41" fontId="33" fillId="0" borderId="0" xfId="66" applyFont="1" applyAlignment="1">
      <alignment vertical="center"/>
    </xf>
    <xf numFmtId="9" fontId="27" fillId="50" borderId="329" xfId="0" applyNumberFormat="1" applyFont="1" applyFill="1" applyBorder="1" applyAlignment="1">
      <alignment horizontal="center" vertical="center"/>
    </xf>
    <xf numFmtId="41" fontId="28" fillId="0" borderId="96" xfId="66" applyFont="1" applyBorder="1" applyAlignment="1">
      <alignment horizontal="center" vertical="center"/>
    </xf>
    <xf numFmtId="41" fontId="31" fillId="0" borderId="16" xfId="66" applyFont="1" applyFill="1" applyBorder="1" applyAlignment="1" applyProtection="1">
      <alignment horizontal="center" vertical="center" wrapText="1"/>
      <protection locked="0"/>
    </xf>
    <xf numFmtId="178" fontId="39" fillId="37" borderId="39" xfId="40" applyNumberFormat="1" applyFont="1" applyFill="1" applyBorder="1" applyAlignment="1">
      <alignment horizontal="center" vertical="center" wrapText="1"/>
    </xf>
    <xf numFmtId="178" fontId="32" fillId="46" borderId="85" xfId="40" applyNumberFormat="1" applyFont="1" applyFill="1" applyBorder="1" applyAlignment="1">
      <alignment horizontal="center" vertical="center"/>
    </xf>
    <xf numFmtId="41" fontId="43" fillId="44" borderId="69" xfId="66" applyFont="1" applyFill="1" applyBorder="1" applyAlignment="1" applyProtection="1">
      <alignment horizontal="center" vertical="center" wrapText="1"/>
      <protection locked="0"/>
    </xf>
    <xf numFmtId="3" fontId="43" fillId="44" borderId="11" xfId="40" applyNumberFormat="1" applyFont="1" applyFill="1" applyBorder="1" applyAlignment="1">
      <alignment horizontal="right" vertical="center" wrapText="1"/>
    </xf>
    <xf numFmtId="9" fontId="27" fillId="50" borderId="330" xfId="0" applyNumberFormat="1" applyFont="1" applyFill="1" applyBorder="1" applyAlignment="1">
      <alignment horizontal="center" vertical="center"/>
    </xf>
    <xf numFmtId="41" fontId="27" fillId="0" borderId="331" xfId="66" applyFont="1" applyFill="1" applyBorder="1" applyAlignment="1">
      <alignment horizontal="right" vertical="center"/>
    </xf>
    <xf numFmtId="0" fontId="43" fillId="53" borderId="70" xfId="40" applyFont="1" applyFill="1" applyBorder="1" applyAlignment="1" applyProtection="1">
      <alignment horizontal="left" vertical="center" wrapText="1"/>
      <protection locked="0"/>
    </xf>
    <xf numFmtId="0" fontId="43" fillId="53" borderId="71" xfId="40" applyFont="1" applyFill="1" applyBorder="1" applyAlignment="1" applyProtection="1">
      <alignment horizontal="left" vertical="center" wrapText="1"/>
      <protection locked="0"/>
    </xf>
    <xf numFmtId="0" fontId="43" fillId="53" borderId="69" xfId="40" applyFont="1" applyFill="1" applyBorder="1" applyAlignment="1" applyProtection="1">
      <alignment horizontal="left" vertical="center" wrapText="1"/>
      <protection locked="0"/>
    </xf>
    <xf numFmtId="224" fontId="23" fillId="48" borderId="0" xfId="66" applyNumberFormat="1" applyFont="1" applyFill="1">
      <alignment vertical="center"/>
    </xf>
    <xf numFmtId="0" fontId="31" fillId="0" borderId="124" xfId="40" applyFont="1" applyBorder="1">
      <alignment vertical="center"/>
    </xf>
    <xf numFmtId="0" fontId="31" fillId="0" borderId="37" xfId="40" applyFont="1" applyBorder="1">
      <alignment vertical="center"/>
    </xf>
    <xf numFmtId="0" fontId="31" fillId="0" borderId="55" xfId="40" applyFont="1" applyBorder="1">
      <alignment vertical="center"/>
    </xf>
    <xf numFmtId="0" fontId="31" fillId="0" borderId="41" xfId="40" applyFont="1" applyBorder="1">
      <alignment vertical="center"/>
    </xf>
    <xf numFmtId="0" fontId="31" fillId="0" borderId="266" xfId="40" applyFont="1" applyBorder="1">
      <alignment vertical="center"/>
    </xf>
    <xf numFmtId="0" fontId="31" fillId="0" borderId="319" xfId="40" applyFont="1" applyBorder="1">
      <alignment vertical="center"/>
    </xf>
    <xf numFmtId="0" fontId="30" fillId="0" borderId="266" xfId="40" applyFont="1" applyBorder="1" applyAlignment="1">
      <alignment horizontal="center" vertical="center"/>
    </xf>
    <xf numFmtId="0" fontId="23" fillId="48" borderId="308" xfId="0" applyFont="1" applyFill="1" applyBorder="1" applyAlignment="1">
      <alignment horizontal="center" vertical="center"/>
    </xf>
    <xf numFmtId="0" fontId="23" fillId="48" borderId="332" xfId="0" applyFont="1" applyFill="1" applyBorder="1" applyAlignment="1">
      <alignment horizontal="center" vertical="center"/>
    </xf>
    <xf numFmtId="41" fontId="27" fillId="0" borderId="40" xfId="66" applyFont="1" applyBorder="1" applyAlignment="1">
      <alignment horizontal="right" vertical="center"/>
    </xf>
    <xf numFmtId="180" fontId="23" fillId="48" borderId="0" xfId="67" applyNumberFormat="1" applyFont="1" applyFill="1">
      <alignment vertical="center"/>
    </xf>
    <xf numFmtId="41" fontId="23" fillId="48" borderId="0" xfId="66" applyFont="1" applyFill="1" applyAlignment="1">
      <alignment horizontal="center" vertical="center"/>
    </xf>
    <xf numFmtId="224" fontId="23" fillId="48" borderId="0" xfId="66" applyNumberFormat="1" applyFont="1" applyFill="1" applyAlignment="1">
      <alignment horizontal="center" vertical="center"/>
    </xf>
    <xf numFmtId="0" fontId="27" fillId="40" borderId="0" xfId="0" applyFont="1" applyFill="1">
      <alignment vertical="center"/>
    </xf>
    <xf numFmtId="41" fontId="23" fillId="0" borderId="0" xfId="0" applyNumberFormat="1" applyFont="1">
      <alignment vertical="center"/>
    </xf>
    <xf numFmtId="224" fontId="27" fillId="0" borderId="81" xfId="66" applyNumberFormat="1" applyFont="1" applyBorder="1" applyAlignment="1">
      <alignment horizontal="right" vertical="center"/>
    </xf>
    <xf numFmtId="41" fontId="23" fillId="0" borderId="0" xfId="66" applyFont="1" applyBorder="1">
      <alignment vertical="center"/>
    </xf>
    <xf numFmtId="41" fontId="28" fillId="0" borderId="0" xfId="66" applyFont="1" applyBorder="1" applyAlignment="1">
      <alignment horizontal="center" vertical="center"/>
    </xf>
    <xf numFmtId="10" fontId="23" fillId="0" borderId="0" xfId="0" applyNumberFormat="1" applyFont="1">
      <alignment vertical="center"/>
    </xf>
    <xf numFmtId="180" fontId="23" fillId="0" borderId="0" xfId="0" applyNumberFormat="1" applyFont="1">
      <alignment vertical="center"/>
    </xf>
    <xf numFmtId="0" fontId="43" fillId="83" borderId="70" xfId="40" applyFont="1" applyFill="1" applyBorder="1" applyAlignment="1" applyProtection="1">
      <alignment horizontal="left" vertical="center" wrapText="1"/>
      <protection locked="0"/>
    </xf>
    <xf numFmtId="0" fontId="43" fillId="83" borderId="71" xfId="40" applyFont="1" applyFill="1" applyBorder="1" applyAlignment="1" applyProtection="1">
      <alignment horizontal="left" vertical="center" wrapText="1"/>
      <protection locked="0"/>
    </xf>
    <xf numFmtId="180" fontId="23" fillId="0" borderId="0" xfId="67" applyNumberFormat="1" applyFont="1" applyBorder="1">
      <alignment vertical="center"/>
    </xf>
    <xf numFmtId="3" fontId="31" fillId="43" borderId="70" xfId="40" applyNumberFormat="1" applyFont="1" applyFill="1" applyBorder="1" applyAlignment="1" applyProtection="1">
      <alignment horizontal="right" vertical="center" wrapText="1"/>
      <protection locked="0"/>
    </xf>
    <xf numFmtId="2" fontId="31" fillId="0" borderId="16" xfId="40" applyNumberFormat="1" applyFont="1" applyBorder="1" applyAlignment="1" applyProtection="1">
      <alignment horizontal="center" vertical="center"/>
      <protection locked="0"/>
    </xf>
    <xf numFmtId="0" fontId="43" fillId="0" borderId="316" xfId="40" applyFont="1" applyBorder="1">
      <alignment vertical="center"/>
    </xf>
    <xf numFmtId="41" fontId="43" fillId="0" borderId="316" xfId="66" applyFont="1" applyFill="1" applyBorder="1" applyAlignment="1" applyProtection="1">
      <alignment horizontal="center" vertical="center" wrapText="1"/>
      <protection locked="0"/>
    </xf>
    <xf numFmtId="0" fontId="27" fillId="0" borderId="85" xfId="0" applyFont="1" applyBorder="1" applyAlignment="1">
      <alignment horizontal="left" vertical="center"/>
    </xf>
    <xf numFmtId="225" fontId="23" fillId="0" borderId="0" xfId="0" applyNumberFormat="1" applyFont="1">
      <alignment vertical="center"/>
    </xf>
    <xf numFmtId="0" fontId="30" fillId="36" borderId="26" xfId="40" applyFont="1" applyFill="1" applyBorder="1" applyAlignment="1">
      <alignment horizontal="center" vertical="center" wrapText="1"/>
    </xf>
    <xf numFmtId="0" fontId="32" fillId="46" borderId="115" xfId="0" applyFont="1" applyFill="1" applyBorder="1" applyAlignment="1">
      <alignment horizontal="center" vertical="center"/>
    </xf>
    <xf numFmtId="0" fontId="30" fillId="36" borderId="339" xfId="40" applyFont="1" applyFill="1" applyBorder="1" applyAlignment="1">
      <alignment horizontal="center" vertical="center" wrapText="1"/>
    </xf>
    <xf numFmtId="41" fontId="37" fillId="37" borderId="28" xfId="66" applyFont="1" applyFill="1" applyBorder="1" applyAlignment="1" applyProtection="1">
      <alignment horizontal="center" vertical="center" wrapText="1"/>
    </xf>
    <xf numFmtId="41" fontId="27" fillId="0" borderId="0" xfId="66" applyFont="1" applyFill="1">
      <alignment vertical="center"/>
    </xf>
    <xf numFmtId="41" fontId="23" fillId="40" borderId="0" xfId="66" applyFont="1" applyFill="1">
      <alignment vertical="center"/>
    </xf>
    <xf numFmtId="41" fontId="23" fillId="0" borderId="0" xfId="66" applyFont="1" applyFill="1">
      <alignment vertical="center"/>
    </xf>
    <xf numFmtId="0" fontId="25" fillId="0" borderId="327" xfId="40" applyFont="1" applyBorder="1" applyAlignment="1">
      <alignment horizontal="center" vertical="center" wrapText="1"/>
    </xf>
    <xf numFmtId="0" fontId="25" fillId="0" borderId="327" xfId="40" applyFont="1" applyBorder="1" applyAlignment="1">
      <alignment vertical="center" wrapText="1"/>
    </xf>
    <xf numFmtId="0" fontId="43" fillId="53" borderId="340" xfId="40" applyFont="1" applyFill="1" applyBorder="1">
      <alignment vertical="center"/>
    </xf>
    <xf numFmtId="0" fontId="43" fillId="53" borderId="341" xfId="40" applyFont="1" applyFill="1" applyBorder="1" applyAlignment="1" applyProtection="1">
      <alignment horizontal="left" vertical="center" wrapText="1"/>
      <protection locked="0"/>
    </xf>
    <xf numFmtId="0" fontId="43" fillId="53" borderId="342" xfId="40" applyFont="1" applyFill="1" applyBorder="1" applyAlignment="1" applyProtection="1">
      <alignment horizontal="left" vertical="center" wrapText="1"/>
      <protection locked="0"/>
    </xf>
    <xf numFmtId="181" fontId="43" fillId="53" borderId="340" xfId="66" applyNumberFormat="1" applyFont="1" applyFill="1" applyBorder="1" applyAlignment="1" applyProtection="1">
      <alignment horizontal="center" vertical="center" wrapText="1"/>
      <protection locked="0"/>
    </xf>
    <xf numFmtId="3" fontId="43" fillId="53" borderId="343" xfId="40" applyNumberFormat="1" applyFont="1" applyFill="1" applyBorder="1" applyAlignment="1">
      <alignment horizontal="right" vertical="center" wrapText="1"/>
    </xf>
    <xf numFmtId="3" fontId="43" fillId="0" borderId="344" xfId="40" applyNumberFormat="1" applyFont="1" applyBorder="1" applyAlignment="1">
      <alignment horizontal="right" vertical="center" wrapText="1"/>
    </xf>
    <xf numFmtId="41" fontId="31" fillId="0" borderId="70" xfId="66" applyFont="1" applyFill="1" applyBorder="1" applyAlignment="1" applyProtection="1">
      <alignment horizontal="center" vertical="center" wrapText="1"/>
    </xf>
    <xf numFmtId="0" fontId="43" fillId="83" borderId="69" xfId="40" applyFont="1" applyFill="1" applyBorder="1" applyAlignment="1" applyProtection="1">
      <alignment horizontal="left" vertical="center" wrapText="1"/>
      <protection locked="0"/>
    </xf>
    <xf numFmtId="41" fontId="43" fillId="0" borderId="69" xfId="66" applyFont="1" applyBorder="1" applyAlignment="1" applyProtection="1">
      <alignment horizontal="center" vertical="center" wrapText="1"/>
      <protection locked="0"/>
    </xf>
    <xf numFmtId="3" fontId="43" fillId="0" borderId="347" xfId="40" applyNumberFormat="1" applyFont="1" applyBorder="1" applyAlignment="1">
      <alignment horizontal="right" vertical="center" wrapText="1"/>
    </xf>
    <xf numFmtId="3" fontId="43" fillId="0" borderId="346" xfId="40" applyNumberFormat="1" applyFont="1" applyBorder="1" applyAlignment="1">
      <alignment horizontal="right" vertical="center" wrapText="1"/>
    </xf>
    <xf numFmtId="41" fontId="23" fillId="0" borderId="0" xfId="66" applyFont="1" applyBorder="1" applyAlignment="1">
      <alignment horizontal="right" vertical="center"/>
    </xf>
    <xf numFmtId="0" fontId="32" fillId="46" borderId="349" xfId="0" applyFont="1" applyFill="1" applyBorder="1" applyAlignment="1">
      <alignment horizontal="center" vertical="center"/>
    </xf>
    <xf numFmtId="0" fontId="23" fillId="0" borderId="350" xfId="0" applyFont="1" applyBorder="1">
      <alignment vertical="center"/>
    </xf>
    <xf numFmtId="0" fontId="27" fillId="0" borderId="350" xfId="0" applyFont="1" applyBorder="1">
      <alignment vertical="center"/>
    </xf>
    <xf numFmtId="0" fontId="23" fillId="0" borderId="351" xfId="0" applyFont="1" applyBorder="1">
      <alignment vertical="center"/>
    </xf>
    <xf numFmtId="41" fontId="27" fillId="0" borderId="97" xfId="66" applyFont="1" applyBorder="1" applyAlignment="1">
      <alignment horizontal="center" vertical="center"/>
    </xf>
    <xf numFmtId="225" fontId="23" fillId="0" borderId="0" xfId="0" applyNumberFormat="1" applyFont="1" applyAlignment="1">
      <alignment horizontal="center" vertical="center"/>
    </xf>
    <xf numFmtId="226" fontId="23" fillId="0" borderId="0" xfId="0" applyNumberFormat="1" applyFont="1">
      <alignment vertical="center"/>
    </xf>
    <xf numFmtId="0" fontId="27" fillId="0" borderId="83" xfId="0" applyFont="1" applyBorder="1">
      <alignment vertical="center"/>
    </xf>
    <xf numFmtId="0" fontId="27" fillId="0" borderId="84" xfId="0" applyFont="1" applyBorder="1">
      <alignment vertical="center"/>
    </xf>
    <xf numFmtId="0" fontId="36" fillId="0" borderId="0" xfId="40" applyFont="1" applyAlignment="1" applyProtection="1">
      <alignment horizontal="left" vertical="center"/>
      <protection locked="0"/>
    </xf>
    <xf numFmtId="9" fontId="28" fillId="0" borderId="93" xfId="0" applyNumberFormat="1" applyFont="1" applyBorder="1" applyAlignment="1">
      <alignment horizontal="center" vertical="center"/>
    </xf>
    <xf numFmtId="43" fontId="23" fillId="0" borderId="0" xfId="0" applyNumberFormat="1" applyFont="1">
      <alignment vertical="center"/>
    </xf>
    <xf numFmtId="0" fontId="27" fillId="0" borderId="84" xfId="0" applyFont="1" applyBorder="1" applyAlignment="1">
      <alignment horizontal="center" vertical="center"/>
    </xf>
    <xf numFmtId="0" fontId="27" fillId="0" borderId="83" xfId="0" applyFont="1" applyBorder="1" applyAlignment="1">
      <alignment horizontal="center" vertical="center"/>
    </xf>
    <xf numFmtId="0" fontId="31" fillId="48" borderId="87" xfId="40" applyFont="1" applyFill="1" applyBorder="1" applyAlignment="1" applyProtection="1">
      <alignment horizontal="center" vertical="center" wrapText="1"/>
      <protection locked="0"/>
    </xf>
    <xf numFmtId="0" fontId="40" fillId="48" borderId="345" xfId="1470" applyFont="1" applyFill="1" applyBorder="1" applyAlignment="1">
      <alignment horizontal="center" vertical="center"/>
    </xf>
    <xf numFmtId="0" fontId="40" fillId="48" borderId="64" xfId="1470" applyFont="1" applyFill="1" applyBorder="1" applyAlignment="1">
      <alignment horizontal="center" vertical="center"/>
    </xf>
    <xf numFmtId="41" fontId="43" fillId="0" borderId="345" xfId="41" applyFont="1" applyFill="1" applyBorder="1" applyAlignment="1">
      <alignment horizontal="center" vertical="center"/>
    </xf>
    <xf numFmtId="0" fontId="43" fillId="0" borderId="345" xfId="1470" applyFont="1" applyBorder="1" applyAlignment="1">
      <alignment horizontal="center" vertical="center"/>
    </xf>
    <xf numFmtId="0" fontId="40" fillId="48" borderId="357" xfId="1470" applyFont="1" applyFill="1" applyBorder="1" applyAlignment="1">
      <alignment horizontal="center" vertical="center"/>
    </xf>
    <xf numFmtId="0" fontId="31" fillId="0" borderId="357" xfId="40" applyFont="1" applyBorder="1" applyAlignment="1" applyProtection="1">
      <alignment horizontal="center" vertical="center" wrapText="1"/>
      <protection locked="0"/>
    </xf>
    <xf numFmtId="183" fontId="43" fillId="48" borderId="357" xfId="41" applyNumberFormat="1" applyFont="1" applyFill="1" applyBorder="1" applyAlignment="1">
      <alignment horizontal="right" vertical="center"/>
    </xf>
    <xf numFmtId="0" fontId="40" fillId="0" borderId="357" xfId="1470" applyFont="1" applyBorder="1" applyAlignment="1">
      <alignment horizontal="center" vertical="center"/>
    </xf>
    <xf numFmtId="0" fontId="31" fillId="0" borderId="357" xfId="0" applyFont="1" applyBorder="1" applyAlignment="1">
      <alignment horizontal="center" vertical="center" wrapText="1"/>
    </xf>
    <xf numFmtId="0" fontId="31" fillId="0" borderId="358" xfId="40" applyFont="1" applyBorder="1" applyAlignment="1" applyProtection="1">
      <alignment horizontal="center" vertical="center" wrapText="1"/>
      <protection locked="0"/>
    </xf>
    <xf numFmtId="0" fontId="40" fillId="48" borderId="345" xfId="85" applyFont="1" applyFill="1" applyBorder="1" applyAlignment="1">
      <alignment horizontal="center" vertical="center"/>
    </xf>
    <xf numFmtId="41" fontId="40" fillId="48" borderId="345" xfId="41" applyFont="1" applyFill="1" applyBorder="1" applyAlignment="1">
      <alignment horizontal="center" vertical="center"/>
    </xf>
    <xf numFmtId="0" fontId="40" fillId="48" borderId="64" xfId="1470" quotePrefix="1" applyFont="1" applyFill="1" applyBorder="1" applyAlignment="1">
      <alignment horizontal="center" vertical="center"/>
    </xf>
    <xf numFmtId="183" fontId="43" fillId="48" borderId="64" xfId="41" applyNumberFormat="1" applyFont="1" applyFill="1" applyBorder="1" applyAlignment="1">
      <alignment horizontal="right" vertical="center"/>
    </xf>
    <xf numFmtId="0" fontId="43" fillId="48" borderId="357" xfId="1470" applyFont="1" applyFill="1" applyBorder="1" applyAlignment="1">
      <alignment horizontal="center" vertical="center"/>
    </xf>
    <xf numFmtId="41" fontId="40" fillId="48" borderId="357" xfId="41" applyFont="1" applyFill="1" applyBorder="1" applyAlignment="1">
      <alignment horizontal="center" vertical="center"/>
    </xf>
    <xf numFmtId="0" fontId="40" fillId="48" borderId="357" xfId="1470" applyFont="1" applyFill="1" applyBorder="1" applyAlignment="1">
      <alignment horizontal="center" vertical="center" wrapText="1"/>
    </xf>
    <xf numFmtId="0" fontId="40" fillId="48" borderId="357" xfId="40" applyFont="1" applyFill="1" applyBorder="1" applyAlignment="1">
      <alignment horizontal="center" vertical="center" wrapText="1"/>
    </xf>
    <xf numFmtId="3" fontId="31" fillId="48" borderId="357" xfId="0" applyNumberFormat="1" applyFont="1" applyFill="1" applyBorder="1" applyAlignment="1">
      <alignment horizontal="center" vertical="center" wrapText="1"/>
    </xf>
    <xf numFmtId="0" fontId="31" fillId="0" borderId="359" xfId="40" applyFont="1" applyBorder="1" applyAlignment="1" applyProtection="1">
      <alignment horizontal="center" vertical="center" wrapText="1"/>
      <protection locked="0"/>
    </xf>
    <xf numFmtId="3" fontId="25" fillId="37" borderId="362" xfId="40" applyNumberFormat="1" applyFont="1" applyFill="1" applyBorder="1" applyAlignment="1">
      <alignment horizontal="right" vertical="center" wrapText="1"/>
    </xf>
    <xf numFmtId="3" fontId="25" fillId="37" borderId="363" xfId="40" applyNumberFormat="1" applyFont="1" applyFill="1" applyBorder="1" applyAlignment="1">
      <alignment horizontal="right" vertical="center" wrapText="1"/>
    </xf>
    <xf numFmtId="0" fontId="31" fillId="37" borderId="65" xfId="40" applyFont="1" applyFill="1" applyBorder="1" applyAlignment="1">
      <alignment horizontal="center" vertical="center" wrapText="1"/>
    </xf>
    <xf numFmtId="3" fontId="34" fillId="37" borderId="364" xfId="40" applyNumberFormat="1" applyFont="1" applyFill="1" applyBorder="1" applyAlignment="1">
      <alignment horizontal="center" vertical="center" wrapText="1"/>
    </xf>
    <xf numFmtId="0" fontId="31" fillId="0" borderId="365" xfId="40" applyFont="1" applyBorder="1" applyAlignment="1" applyProtection="1">
      <alignment horizontal="center" vertical="center" wrapText="1"/>
      <protection locked="0"/>
    </xf>
    <xf numFmtId="0" fontId="31" fillId="0" borderId="359" xfId="40" applyFont="1" applyBorder="1" applyAlignment="1" applyProtection="1">
      <alignment horizontal="left" vertical="center" wrapText="1"/>
      <protection locked="0"/>
    </xf>
    <xf numFmtId="3" fontId="31" fillId="48" borderId="359" xfId="40" applyNumberFormat="1" applyFont="1" applyFill="1" applyBorder="1" applyAlignment="1">
      <alignment horizontal="right" vertical="center" wrapText="1"/>
    </xf>
    <xf numFmtId="0" fontId="27" fillId="0" borderId="366" xfId="0" applyFont="1" applyBorder="1">
      <alignment vertical="center"/>
    </xf>
    <xf numFmtId="3" fontId="31" fillId="37" borderId="266" xfId="40" applyNumberFormat="1" applyFont="1" applyFill="1" applyBorder="1" applyAlignment="1">
      <alignment horizontal="center" vertical="center" wrapText="1"/>
    </xf>
    <xf numFmtId="3" fontId="25" fillId="48" borderId="65" xfId="40" applyNumberFormat="1" applyFont="1" applyFill="1" applyBorder="1" applyAlignment="1">
      <alignment horizontal="right" vertical="center" wrapText="1"/>
    </xf>
    <xf numFmtId="0" fontId="40" fillId="0" borderId="83" xfId="85" applyFont="1" applyBorder="1" applyAlignment="1">
      <alignment horizontal="center" vertical="center"/>
    </xf>
    <xf numFmtId="0" fontId="27" fillId="0" borderId="85" xfId="0" applyFont="1" applyBorder="1">
      <alignment vertical="center"/>
    </xf>
    <xf numFmtId="0" fontId="27" fillId="0" borderId="86" xfId="0" applyFont="1" applyBorder="1">
      <alignment vertical="center"/>
    </xf>
    <xf numFmtId="0" fontId="27" fillId="0" borderId="378" xfId="0" applyFont="1" applyBorder="1" applyAlignment="1">
      <alignment horizontal="left" vertical="center"/>
    </xf>
    <xf numFmtId="49" fontId="31" fillId="0" borderId="379" xfId="40" applyNumberFormat="1" applyFont="1" applyBorder="1" applyAlignment="1">
      <alignment horizontal="center" vertical="center"/>
    </xf>
    <xf numFmtId="41" fontId="40" fillId="0" borderId="372" xfId="66" applyFont="1" applyFill="1" applyBorder="1" applyAlignment="1">
      <alignment horizontal="center" vertical="center" wrapText="1"/>
    </xf>
    <xf numFmtId="41" fontId="40" fillId="48" borderId="374" xfId="66" applyFont="1" applyFill="1" applyBorder="1" applyAlignment="1">
      <alignment horizontal="center" vertical="center"/>
    </xf>
    <xf numFmtId="3" fontId="31" fillId="48" borderId="366" xfId="40" applyNumberFormat="1" applyFont="1" applyFill="1" applyBorder="1" applyAlignment="1" applyProtection="1">
      <alignment horizontal="center" vertical="center" wrapText="1"/>
      <protection locked="0"/>
    </xf>
    <xf numFmtId="3" fontId="25" fillId="48" borderId="370" xfId="40" applyNumberFormat="1" applyFont="1" applyFill="1" applyBorder="1" applyAlignment="1">
      <alignment horizontal="right" vertical="center" wrapText="1"/>
    </xf>
    <xf numFmtId="3" fontId="31" fillId="37" borderId="360" xfId="40" applyNumberFormat="1" applyFont="1" applyFill="1" applyBorder="1" applyAlignment="1">
      <alignment horizontal="right" vertical="center" wrapText="1"/>
    </xf>
    <xf numFmtId="3" fontId="34" fillId="37" borderId="361" xfId="40" applyNumberFormat="1" applyFont="1" applyFill="1" applyBorder="1" applyAlignment="1">
      <alignment horizontal="right" vertical="center" wrapText="1"/>
    </xf>
    <xf numFmtId="41" fontId="31" fillId="48" borderId="377" xfId="66" applyFont="1" applyFill="1" applyBorder="1" applyAlignment="1" applyProtection="1">
      <alignment horizontal="center" vertical="center" wrapText="1"/>
      <protection locked="0"/>
    </xf>
    <xf numFmtId="41" fontId="31" fillId="48" borderId="374" xfId="66" applyFont="1" applyFill="1" applyBorder="1" applyAlignment="1" applyProtection="1">
      <alignment horizontal="center" vertical="center" wrapText="1"/>
      <protection locked="0"/>
    </xf>
    <xf numFmtId="41" fontId="31" fillId="0" borderId="366" xfId="66" applyFont="1" applyBorder="1" applyAlignment="1" applyProtection="1">
      <alignment horizontal="center" vertical="center" wrapText="1"/>
      <protection locked="0"/>
    </xf>
    <xf numFmtId="0" fontId="31" fillId="48" borderId="16" xfId="40" applyFont="1" applyFill="1" applyBorder="1" applyAlignment="1" applyProtection="1">
      <alignment horizontal="center" vertical="center" wrapText="1"/>
      <protection locked="0"/>
    </xf>
    <xf numFmtId="179" fontId="31" fillId="48" borderId="16" xfId="40" applyNumberFormat="1" applyFont="1" applyFill="1" applyBorder="1" applyAlignment="1">
      <alignment horizontal="center" vertical="center" wrapText="1"/>
    </xf>
    <xf numFmtId="41" fontId="31" fillId="48" borderId="70" xfId="66" applyFont="1" applyFill="1" applyBorder="1" applyAlignment="1" applyProtection="1">
      <alignment horizontal="center" vertical="center" wrapText="1"/>
    </xf>
    <xf numFmtId="3" fontId="31" fillId="48" borderId="70" xfId="40" applyNumberFormat="1" applyFont="1" applyFill="1" applyBorder="1" applyAlignment="1">
      <alignment horizontal="right" vertical="center" wrapText="1"/>
    </xf>
    <xf numFmtId="2" fontId="31" fillId="48" borderId="16" xfId="40" applyNumberFormat="1" applyFont="1" applyFill="1" applyBorder="1" applyAlignment="1" applyProtection="1">
      <alignment horizontal="center" vertical="center"/>
      <protection locked="0"/>
    </xf>
    <xf numFmtId="41" fontId="31" fillId="48" borderId="70" xfId="66" applyFont="1" applyFill="1" applyBorder="1" applyAlignment="1">
      <alignment horizontal="right" vertical="center" wrapText="1"/>
    </xf>
    <xf numFmtId="0" fontId="31" fillId="48" borderId="355" xfId="40" applyFont="1" applyFill="1" applyBorder="1" applyAlignment="1" applyProtection="1">
      <alignment horizontal="center" vertical="center" wrapText="1"/>
      <protection locked="0"/>
    </xf>
    <xf numFmtId="2" fontId="31" fillId="48" borderId="356" xfId="40" applyNumberFormat="1" applyFont="1" applyFill="1" applyBorder="1" applyAlignment="1" applyProtection="1">
      <alignment horizontal="center" vertical="center"/>
      <protection locked="0"/>
    </xf>
    <xf numFmtId="2" fontId="31" fillId="48" borderId="0" xfId="40" applyNumberFormat="1" applyFont="1" applyFill="1" applyAlignment="1" applyProtection="1">
      <alignment horizontal="center" vertical="center"/>
      <protection locked="0"/>
    </xf>
    <xf numFmtId="2" fontId="31" fillId="48" borderId="69" xfId="40" applyNumberFormat="1" applyFont="1" applyFill="1" applyBorder="1" applyAlignment="1" applyProtection="1">
      <alignment horizontal="center" vertical="center"/>
      <protection locked="0"/>
    </xf>
    <xf numFmtId="183" fontId="28" fillId="54" borderId="56" xfId="66" applyNumberFormat="1" applyFont="1" applyFill="1" applyBorder="1" applyAlignment="1">
      <alignment horizontal="right" vertical="center"/>
    </xf>
    <xf numFmtId="183" fontId="28" fillId="54" borderId="57" xfId="66" applyNumberFormat="1" applyFont="1" applyFill="1" applyBorder="1" applyAlignment="1">
      <alignment horizontal="right" vertical="center"/>
    </xf>
    <xf numFmtId="183" fontId="28" fillId="54" borderId="103" xfId="66" applyNumberFormat="1" applyFont="1" applyFill="1" applyBorder="1" applyAlignment="1">
      <alignment horizontal="right" vertical="center"/>
    </xf>
    <xf numFmtId="10" fontId="27" fillId="0" borderId="75" xfId="67" applyNumberFormat="1" applyFont="1" applyFill="1" applyBorder="1" applyAlignment="1">
      <alignment horizontal="center" vertical="center"/>
    </xf>
    <xf numFmtId="10" fontId="27" fillId="0" borderId="131" xfId="67" applyNumberFormat="1" applyFont="1" applyFill="1" applyBorder="1" applyAlignment="1">
      <alignment horizontal="center" vertical="center"/>
    </xf>
    <xf numFmtId="10" fontId="27" fillId="0" borderId="116" xfId="67" applyNumberFormat="1" applyFont="1" applyFill="1" applyBorder="1" applyAlignment="1">
      <alignment horizontal="center" vertical="center"/>
    </xf>
    <xf numFmtId="10" fontId="38" fillId="0" borderId="75" xfId="67" applyNumberFormat="1" applyFont="1" applyFill="1" applyBorder="1" applyAlignment="1">
      <alignment horizontal="right" vertical="center"/>
    </xf>
    <xf numFmtId="10" fontId="38" fillId="0" borderId="131" xfId="67" applyNumberFormat="1" applyFont="1" applyFill="1" applyBorder="1" applyAlignment="1">
      <alignment horizontal="right" vertical="center"/>
    </xf>
    <xf numFmtId="10" fontId="38" fillId="0" borderId="40" xfId="67" applyNumberFormat="1" applyFont="1" applyFill="1" applyBorder="1" applyAlignment="1">
      <alignment horizontal="right" vertical="center"/>
    </xf>
    <xf numFmtId="41" fontId="28" fillId="0" borderId="0" xfId="66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179" fontId="28" fillId="0" borderId="0" xfId="0" applyNumberFormat="1" applyFont="1" applyAlignment="1">
      <alignment horizontal="center" vertical="center"/>
    </xf>
    <xf numFmtId="3" fontId="26" fillId="54" borderId="54" xfId="0" applyNumberFormat="1" applyFont="1" applyFill="1" applyBorder="1" applyAlignment="1" applyProtection="1">
      <alignment horizontal="center" vertical="center"/>
      <protection locked="0"/>
    </xf>
    <xf numFmtId="3" fontId="26" fillId="54" borderId="143" xfId="0" applyNumberFormat="1" applyFont="1" applyFill="1" applyBorder="1" applyAlignment="1" applyProtection="1">
      <alignment horizontal="center" vertical="center"/>
      <protection locked="0"/>
    </xf>
    <xf numFmtId="182" fontId="27" fillId="0" borderId="38" xfId="66" applyNumberFormat="1" applyFont="1" applyBorder="1" applyAlignment="1">
      <alignment horizontal="center" vertical="center"/>
    </xf>
    <xf numFmtId="182" fontId="27" fillId="0" borderId="55" xfId="66" applyNumberFormat="1" applyFont="1" applyBorder="1" applyAlignment="1">
      <alignment horizontal="center" vertical="center"/>
    </xf>
    <xf numFmtId="182" fontId="27" fillId="0" borderId="59" xfId="66" applyNumberFormat="1" applyFont="1" applyBorder="1" applyAlignment="1">
      <alignment horizontal="center" vertical="center"/>
    </xf>
    <xf numFmtId="182" fontId="27" fillId="0" borderId="60" xfId="66" applyNumberFormat="1" applyFont="1" applyBorder="1" applyAlignment="1">
      <alignment horizontal="center" vertical="center"/>
    </xf>
    <xf numFmtId="179" fontId="27" fillId="0" borderId="59" xfId="0" applyNumberFormat="1" applyFont="1" applyBorder="1" applyAlignment="1">
      <alignment horizontal="center" vertical="center"/>
    </xf>
    <xf numFmtId="179" fontId="27" fillId="0" borderId="60" xfId="0" applyNumberFormat="1" applyFont="1" applyBorder="1" applyAlignment="1">
      <alignment horizontal="center" vertical="center"/>
    </xf>
    <xf numFmtId="179" fontId="27" fillId="0" borderId="61" xfId="0" applyNumberFormat="1" applyFont="1" applyBorder="1" applyAlignment="1">
      <alignment horizontal="center" vertical="center"/>
    </xf>
    <xf numFmtId="41" fontId="28" fillId="0" borderId="59" xfId="66" applyFont="1" applyBorder="1" applyAlignment="1">
      <alignment vertical="center"/>
    </xf>
    <xf numFmtId="41" fontId="28" fillId="0" borderId="60" xfId="66" applyFont="1" applyBorder="1" applyAlignment="1">
      <alignment vertical="center"/>
    </xf>
    <xf numFmtId="41" fontId="28" fillId="0" borderId="104" xfId="66" applyFont="1" applyBorder="1" applyAlignment="1">
      <alignment vertical="center"/>
    </xf>
    <xf numFmtId="0" fontId="27" fillId="0" borderId="0" xfId="0" applyFont="1">
      <alignment vertical="center"/>
    </xf>
    <xf numFmtId="179" fontId="28" fillId="0" borderId="0" xfId="0" applyNumberFormat="1" applyFont="1">
      <alignment vertical="center"/>
    </xf>
    <xf numFmtId="179" fontId="27" fillId="54" borderId="56" xfId="0" applyNumberFormat="1" applyFont="1" applyFill="1" applyBorder="1" applyAlignment="1">
      <alignment horizontal="right" vertical="center"/>
    </xf>
    <xf numFmtId="179" fontId="27" fillId="54" borderId="57" xfId="0" applyNumberFormat="1" applyFont="1" applyFill="1" applyBorder="1" applyAlignment="1">
      <alignment horizontal="right" vertical="center"/>
    </xf>
    <xf numFmtId="0" fontId="26" fillId="34" borderId="135" xfId="40" applyFont="1" applyFill="1" applyBorder="1" applyAlignment="1" applyProtection="1">
      <alignment horizontal="center" vertical="center"/>
      <protection locked="0"/>
    </xf>
    <xf numFmtId="0" fontId="26" fillId="34" borderId="136" xfId="40" applyFont="1" applyFill="1" applyBorder="1" applyAlignment="1" applyProtection="1">
      <alignment horizontal="center" vertical="center"/>
      <protection locked="0"/>
    </xf>
    <xf numFmtId="41" fontId="26" fillId="82" borderId="135" xfId="0" applyNumberFormat="1" applyFont="1" applyFill="1" applyBorder="1" applyAlignment="1" applyProtection="1">
      <alignment horizontal="center" vertical="center" wrapText="1"/>
      <protection locked="0"/>
    </xf>
    <xf numFmtId="0" fontId="26" fillId="82" borderId="139" xfId="0" applyFont="1" applyFill="1" applyBorder="1" applyAlignment="1" applyProtection="1">
      <alignment horizontal="center" vertical="center" wrapText="1"/>
      <protection locked="0"/>
    </xf>
    <xf numFmtId="0" fontId="26" fillId="82" borderId="140" xfId="0" applyFont="1" applyFill="1" applyBorder="1" applyAlignment="1" applyProtection="1">
      <alignment horizontal="center" vertical="center" wrapText="1"/>
      <protection locked="0"/>
    </xf>
    <xf numFmtId="0" fontId="26" fillId="33" borderId="158" xfId="40" applyFont="1" applyFill="1" applyBorder="1" applyAlignment="1" applyProtection="1">
      <alignment horizontal="center" vertical="center" wrapText="1"/>
      <protection locked="0"/>
    </xf>
    <xf numFmtId="0" fontId="26" fillId="33" borderId="137" xfId="40" applyFont="1" applyFill="1" applyBorder="1" applyAlignment="1" applyProtection="1">
      <alignment horizontal="center" vertical="center" wrapText="1"/>
      <protection locked="0"/>
    </xf>
    <xf numFmtId="0" fontId="28" fillId="40" borderId="76" xfId="0" applyFont="1" applyFill="1" applyBorder="1" applyAlignment="1">
      <alignment horizontal="center" vertical="center"/>
    </xf>
    <xf numFmtId="0" fontId="28" fillId="40" borderId="73" xfId="0" applyFont="1" applyFill="1" applyBorder="1" applyAlignment="1">
      <alignment horizontal="center" vertical="center"/>
    </xf>
    <xf numFmtId="0" fontId="27" fillId="0" borderId="79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40" fillId="54" borderId="56" xfId="0" applyFont="1" applyFill="1" applyBorder="1" applyAlignment="1">
      <alignment horizontal="center" vertical="center"/>
    </xf>
    <xf numFmtId="0" fontId="40" fillId="54" borderId="57" xfId="0" applyFont="1" applyFill="1" applyBorder="1" applyAlignment="1">
      <alignment horizontal="center" vertical="center"/>
    </xf>
    <xf numFmtId="0" fontId="40" fillId="54" borderId="58" xfId="0" applyFont="1" applyFill="1" applyBorder="1" applyAlignment="1">
      <alignment horizontal="center" vertical="center"/>
    </xf>
    <xf numFmtId="41" fontId="28" fillId="54" borderId="56" xfId="66" applyFont="1" applyFill="1" applyBorder="1" applyAlignment="1">
      <alignment horizontal="right" vertical="center"/>
    </xf>
    <xf numFmtId="41" fontId="28" fillId="54" borderId="57" xfId="66" applyFont="1" applyFill="1" applyBorder="1" applyAlignment="1">
      <alignment horizontal="right" vertical="center"/>
    </xf>
    <xf numFmtId="41" fontId="28" fillId="54" borderId="103" xfId="66" applyFont="1" applyFill="1" applyBorder="1" applyAlignment="1">
      <alignment horizontal="right" vertical="center"/>
    </xf>
    <xf numFmtId="0" fontId="24" fillId="39" borderId="150" xfId="40" applyFont="1" applyFill="1" applyBorder="1" applyAlignment="1" applyProtection="1">
      <alignment horizontal="center" vertical="center"/>
      <protection locked="0"/>
    </xf>
    <xf numFmtId="0" fontId="24" fillId="39" borderId="151" xfId="40" applyFont="1" applyFill="1" applyBorder="1" applyAlignment="1" applyProtection="1">
      <alignment horizontal="center" vertical="center"/>
      <protection locked="0"/>
    </xf>
    <xf numFmtId="0" fontId="24" fillId="39" borderId="152" xfId="40" applyFont="1" applyFill="1" applyBorder="1" applyAlignment="1" applyProtection="1">
      <alignment horizontal="center" vertical="center"/>
      <protection locked="0"/>
    </xf>
    <xf numFmtId="0" fontId="21" fillId="51" borderId="93" xfId="0" applyFont="1" applyFill="1" applyBorder="1" applyAlignment="1">
      <alignment horizontal="center" vertical="center"/>
    </xf>
    <xf numFmtId="0" fontId="21" fillId="51" borderId="96" xfId="0" applyFont="1" applyFill="1" applyBorder="1" applyAlignment="1">
      <alignment horizontal="center" vertical="center"/>
    </xf>
    <xf numFmtId="0" fontId="26" fillId="34" borderId="66" xfId="40" applyFont="1" applyFill="1" applyBorder="1" applyAlignment="1" applyProtection="1">
      <alignment horizontal="center" vertical="center"/>
      <protection locked="0"/>
    </xf>
    <xf numFmtId="0" fontId="26" fillId="34" borderId="67" xfId="40" applyFont="1" applyFill="1" applyBorder="1" applyAlignment="1" applyProtection="1">
      <alignment horizontal="center" vertical="center"/>
      <protection locked="0"/>
    </xf>
    <xf numFmtId="0" fontId="26" fillId="33" borderId="66" xfId="40" applyFont="1" applyFill="1" applyBorder="1" applyAlignment="1" applyProtection="1">
      <alignment horizontal="center" vertical="center"/>
      <protection locked="0"/>
    </xf>
    <xf numFmtId="0" fontId="26" fillId="33" borderId="67" xfId="40" applyFont="1" applyFill="1" applyBorder="1" applyAlignment="1" applyProtection="1">
      <alignment horizontal="center" vertical="center"/>
      <protection locked="0"/>
    </xf>
    <xf numFmtId="0" fontId="26" fillId="34" borderId="66" xfId="0" applyFont="1" applyFill="1" applyBorder="1" applyAlignment="1" applyProtection="1">
      <alignment horizontal="center" vertical="center" wrapText="1"/>
      <protection locked="0"/>
    </xf>
    <xf numFmtId="0" fontId="26" fillId="34" borderId="148" xfId="0" applyFont="1" applyFill="1" applyBorder="1" applyAlignment="1" applyProtection="1">
      <alignment horizontal="center" vertical="center" wrapText="1"/>
      <protection locked="0"/>
    </xf>
    <xf numFmtId="0" fontId="26" fillId="34" borderId="149" xfId="0" applyFont="1" applyFill="1" applyBorder="1" applyAlignment="1" applyProtection="1">
      <alignment horizontal="center" vertical="center" wrapText="1"/>
      <protection locked="0"/>
    </xf>
    <xf numFmtId="0" fontId="26" fillId="34" borderId="135" xfId="0" applyFont="1" applyFill="1" applyBorder="1" applyAlignment="1" applyProtection="1">
      <alignment horizontal="center" vertical="center"/>
      <protection locked="0"/>
    </xf>
    <xf numFmtId="0" fontId="26" fillId="34" borderId="136" xfId="0" applyFont="1" applyFill="1" applyBorder="1" applyAlignment="1" applyProtection="1">
      <alignment horizontal="center" vertical="center"/>
      <protection locked="0"/>
    </xf>
    <xf numFmtId="41" fontId="26" fillId="34" borderId="135" xfId="66" applyFont="1" applyFill="1" applyBorder="1" applyAlignment="1" applyProtection="1">
      <alignment horizontal="center" vertical="center"/>
      <protection locked="0"/>
    </xf>
    <xf numFmtId="41" fontId="26" fillId="34" borderId="139" xfId="66" applyFont="1" applyFill="1" applyBorder="1" applyAlignment="1" applyProtection="1">
      <alignment horizontal="center" vertical="center"/>
      <protection locked="0"/>
    </xf>
    <xf numFmtId="41" fontId="26" fillId="34" borderId="140" xfId="66" applyFont="1" applyFill="1" applyBorder="1" applyAlignment="1" applyProtection="1">
      <alignment horizontal="center" vertical="center"/>
      <protection locked="0"/>
    </xf>
    <xf numFmtId="14" fontId="26" fillId="0" borderId="54" xfId="40" applyNumberFormat="1" applyFont="1" applyBorder="1" applyAlignment="1" applyProtection="1">
      <alignment horizontal="center" vertical="center" wrapText="1"/>
      <protection locked="0"/>
    </xf>
    <xf numFmtId="0" fontId="29" fillId="0" borderId="143" xfId="40" applyFont="1" applyBorder="1" applyAlignment="1" applyProtection="1">
      <alignment horizontal="center" vertical="center" wrapText="1"/>
      <protection locked="0"/>
    </xf>
    <xf numFmtId="0" fontId="30" fillId="34" borderId="146" xfId="40" applyFont="1" applyFill="1" applyBorder="1" applyAlignment="1" applyProtection="1">
      <alignment horizontal="center" vertical="center"/>
      <protection locked="0"/>
    </xf>
    <xf numFmtId="0" fontId="32" fillId="46" borderId="93" xfId="0" applyFont="1" applyFill="1" applyBorder="1" applyAlignment="1">
      <alignment horizontal="center" vertical="center"/>
    </xf>
    <xf numFmtId="0" fontId="32" fillId="46" borderId="145" xfId="0" applyFont="1" applyFill="1" applyBorder="1" applyAlignment="1">
      <alignment horizontal="center" vertical="center"/>
    </xf>
    <xf numFmtId="0" fontId="32" fillId="46" borderId="94" xfId="0" applyFont="1" applyFill="1" applyBorder="1" applyAlignment="1">
      <alignment horizontal="center" vertical="center"/>
    </xf>
    <xf numFmtId="0" fontId="32" fillId="46" borderId="95" xfId="0" applyFont="1" applyFill="1" applyBorder="1" applyAlignment="1">
      <alignment horizontal="center" vertical="center"/>
    </xf>
    <xf numFmtId="0" fontId="32" fillId="46" borderId="96" xfId="0" applyFont="1" applyFill="1" applyBorder="1" applyAlignment="1">
      <alignment horizontal="center" vertical="center"/>
    </xf>
    <xf numFmtId="0" fontId="28" fillId="54" borderId="144" xfId="0" applyFont="1" applyFill="1" applyBorder="1" applyAlignment="1">
      <alignment horizontal="left" vertical="center"/>
    </xf>
    <xf numFmtId="0" fontId="28" fillId="54" borderId="101" xfId="0" applyFont="1" applyFill="1" applyBorder="1" applyAlignment="1">
      <alignment horizontal="left" vertical="center"/>
    </xf>
    <xf numFmtId="3" fontId="27" fillId="54" borderId="99" xfId="0" applyNumberFormat="1" applyFont="1" applyFill="1" applyBorder="1" applyAlignment="1">
      <alignment horizontal="center" vertical="center"/>
    </xf>
    <xf numFmtId="3" fontId="27" fillId="54" borderId="100" xfId="0" applyNumberFormat="1" applyFont="1" applyFill="1" applyBorder="1" applyAlignment="1">
      <alignment horizontal="center" vertical="center"/>
    </xf>
    <xf numFmtId="3" fontId="27" fillId="54" borderId="101" xfId="0" applyNumberFormat="1" applyFont="1" applyFill="1" applyBorder="1" applyAlignment="1">
      <alignment horizontal="center" vertical="center"/>
    </xf>
    <xf numFmtId="41" fontId="28" fillId="54" borderId="99" xfId="66" applyFont="1" applyFill="1" applyBorder="1" applyAlignment="1">
      <alignment vertical="center"/>
    </xf>
    <xf numFmtId="41" fontId="28" fillId="54" borderId="100" xfId="66" applyFont="1" applyFill="1" applyBorder="1" applyAlignment="1">
      <alignment vertical="center"/>
    </xf>
    <xf numFmtId="41" fontId="28" fillId="54" borderId="102" xfId="66" applyFont="1" applyFill="1" applyBorder="1" applyAlignment="1">
      <alignment vertical="center"/>
    </xf>
    <xf numFmtId="0" fontId="28" fillId="54" borderId="141" xfId="0" applyFont="1" applyFill="1" applyBorder="1" applyAlignment="1">
      <alignment horizontal="left" vertical="center"/>
    </xf>
    <xf numFmtId="0" fontId="28" fillId="54" borderId="142" xfId="0" applyFont="1" applyFill="1" applyBorder="1" applyAlignment="1">
      <alignment horizontal="left" vertical="center"/>
    </xf>
    <xf numFmtId="41" fontId="28" fillId="54" borderId="56" xfId="66" applyFont="1" applyFill="1" applyBorder="1" applyAlignment="1">
      <alignment vertical="center"/>
    </xf>
    <xf numFmtId="41" fontId="28" fillId="54" borderId="57" xfId="66" applyFont="1" applyFill="1" applyBorder="1" applyAlignment="1">
      <alignment vertical="center"/>
    </xf>
    <xf numFmtId="41" fontId="28" fillId="54" borderId="103" xfId="66" applyFont="1" applyFill="1" applyBorder="1" applyAlignment="1">
      <alignment vertical="center"/>
    </xf>
    <xf numFmtId="41" fontId="28" fillId="0" borderId="38" xfId="66" applyFont="1" applyBorder="1" applyAlignment="1">
      <alignment vertical="center"/>
    </xf>
    <xf numFmtId="41" fontId="28" fillId="0" borderId="55" xfId="66" applyFont="1" applyBorder="1" applyAlignment="1">
      <alignment vertical="center"/>
    </xf>
    <xf numFmtId="41" fontId="28" fillId="0" borderId="41" xfId="66" applyFont="1" applyBorder="1" applyAlignment="1">
      <alignment vertical="center"/>
    </xf>
    <xf numFmtId="0" fontId="30" fillId="38" borderId="0" xfId="40" applyFont="1" applyFill="1" applyAlignment="1" applyProtection="1">
      <alignment horizontal="center" vertical="center" wrapText="1"/>
      <protection locked="0"/>
    </xf>
    <xf numFmtId="0" fontId="28" fillId="54" borderId="106" xfId="0" applyFont="1" applyFill="1" applyBorder="1" applyAlignment="1">
      <alignment horizontal="left" vertical="center"/>
    </xf>
    <xf numFmtId="0" fontId="28" fillId="54" borderId="128" xfId="0" applyFont="1" applyFill="1" applyBorder="1" applyAlignment="1">
      <alignment horizontal="left" vertical="center"/>
    </xf>
    <xf numFmtId="0" fontId="28" fillId="54" borderId="58" xfId="0" applyFont="1" applyFill="1" applyBorder="1" applyAlignment="1">
      <alignment horizontal="left" vertical="center"/>
    </xf>
    <xf numFmtId="179" fontId="27" fillId="0" borderId="38" xfId="0" applyNumberFormat="1" applyFont="1" applyBorder="1" applyAlignment="1">
      <alignment horizontal="center" vertical="center"/>
    </xf>
    <xf numFmtId="179" fontId="27" fillId="0" borderId="55" xfId="0" applyNumberFormat="1" applyFont="1" applyBorder="1" applyAlignment="1">
      <alignment horizontal="center" vertical="center"/>
    </xf>
    <xf numFmtId="179" fontId="27" fillId="0" borderId="53" xfId="0" applyNumberFormat="1" applyFont="1" applyBorder="1" applyAlignment="1">
      <alignment horizontal="center" vertical="center"/>
    </xf>
    <xf numFmtId="41" fontId="27" fillId="54" borderId="56" xfId="66" applyFont="1" applyFill="1" applyBorder="1" applyAlignment="1">
      <alignment horizontal="center" vertical="center"/>
    </xf>
    <xf numFmtId="41" fontId="27" fillId="54" borderId="57" xfId="66" applyFont="1" applyFill="1" applyBorder="1" applyAlignment="1">
      <alignment horizontal="center" vertical="center"/>
    </xf>
    <xf numFmtId="41" fontId="27" fillId="54" borderId="58" xfId="66" applyFont="1" applyFill="1" applyBorder="1" applyAlignment="1">
      <alignment horizontal="center" vertical="center"/>
    </xf>
    <xf numFmtId="41" fontId="27" fillId="54" borderId="132" xfId="66" applyFont="1" applyFill="1" applyBorder="1" applyAlignment="1">
      <alignment horizontal="center" vertical="center"/>
    </xf>
    <xf numFmtId="41" fontId="27" fillId="54" borderId="62" xfId="66" applyFont="1" applyFill="1" applyBorder="1" applyAlignment="1">
      <alignment horizontal="center" vertical="center"/>
    </xf>
    <xf numFmtId="41" fontId="27" fillId="54" borderId="128" xfId="66" applyFont="1" applyFill="1" applyBorder="1" applyAlignment="1">
      <alignment horizontal="center" vertical="center"/>
    </xf>
    <xf numFmtId="43" fontId="27" fillId="54" borderId="56" xfId="66" applyNumberFormat="1" applyFont="1" applyFill="1" applyBorder="1" applyAlignment="1">
      <alignment horizontal="center" vertical="center"/>
    </xf>
    <xf numFmtId="43" fontId="27" fillId="54" borderId="57" xfId="66" applyNumberFormat="1" applyFont="1" applyFill="1" applyBorder="1" applyAlignment="1">
      <alignment horizontal="center" vertical="center"/>
    </xf>
    <xf numFmtId="43" fontId="27" fillId="54" borderId="58" xfId="66" applyNumberFormat="1" applyFont="1" applyFill="1" applyBorder="1" applyAlignment="1">
      <alignment horizontal="center" vertical="center"/>
    </xf>
    <xf numFmtId="10" fontId="27" fillId="0" borderId="59" xfId="67" applyNumberFormat="1" applyFont="1" applyFill="1" applyBorder="1" applyAlignment="1">
      <alignment horizontal="center" vertical="center"/>
    </xf>
    <xf numFmtId="10" fontId="27" fillId="0" borderId="60" xfId="67" applyNumberFormat="1" applyFont="1" applyFill="1" applyBorder="1" applyAlignment="1">
      <alignment horizontal="center" vertical="center"/>
    </xf>
    <xf numFmtId="10" fontId="27" fillId="0" borderId="61" xfId="67" applyNumberFormat="1" applyFont="1" applyFill="1" applyBorder="1" applyAlignment="1">
      <alignment horizontal="center" vertical="center"/>
    </xf>
    <xf numFmtId="10" fontId="38" fillId="0" borderId="59" xfId="67" applyNumberFormat="1" applyFont="1" applyFill="1" applyBorder="1" applyAlignment="1">
      <alignment horizontal="right" vertical="center"/>
    </xf>
    <xf numFmtId="10" fontId="38" fillId="0" borderId="60" xfId="67" applyNumberFormat="1" applyFont="1" applyFill="1" applyBorder="1" applyAlignment="1">
      <alignment horizontal="right" vertical="center"/>
    </xf>
    <xf numFmtId="10" fontId="38" fillId="0" borderId="104" xfId="67" applyNumberFormat="1" applyFont="1" applyFill="1" applyBorder="1" applyAlignment="1">
      <alignment horizontal="right" vertical="center"/>
    </xf>
    <xf numFmtId="10" fontId="28" fillId="0" borderId="59" xfId="67" applyNumberFormat="1" applyFont="1" applyFill="1" applyBorder="1" applyAlignment="1">
      <alignment horizontal="right" vertical="center"/>
    </xf>
    <xf numFmtId="10" fontId="28" fillId="0" borderId="60" xfId="67" applyNumberFormat="1" applyFont="1" applyFill="1" applyBorder="1" applyAlignment="1">
      <alignment horizontal="right" vertical="center"/>
    </xf>
    <xf numFmtId="10" fontId="28" fillId="0" borderId="104" xfId="67" applyNumberFormat="1" applyFont="1" applyFill="1" applyBorder="1" applyAlignment="1">
      <alignment horizontal="right" vertical="center"/>
    </xf>
    <xf numFmtId="41" fontId="28" fillId="48" borderId="38" xfId="66" applyFont="1" applyFill="1" applyBorder="1" applyAlignment="1">
      <alignment horizontal="center" vertical="center"/>
    </xf>
    <xf numFmtId="41" fontId="28" fillId="48" borderId="55" xfId="66" applyFont="1" applyFill="1" applyBorder="1" applyAlignment="1">
      <alignment horizontal="center" vertical="center"/>
    </xf>
    <xf numFmtId="41" fontId="28" fillId="48" borderId="41" xfId="66" applyFont="1" applyFill="1" applyBorder="1" applyAlignment="1">
      <alignment horizontal="center" vertical="center"/>
    </xf>
    <xf numFmtId="41" fontId="27" fillId="0" borderId="38" xfId="66" applyFont="1" applyBorder="1" applyAlignment="1">
      <alignment horizontal="center" vertical="center"/>
    </xf>
    <xf numFmtId="41" fontId="27" fillId="0" borderId="53" xfId="66" applyFont="1" applyBorder="1" applyAlignment="1">
      <alignment horizontal="center" vertical="center"/>
    </xf>
    <xf numFmtId="41" fontId="28" fillId="54" borderId="56" xfId="66" applyFont="1" applyFill="1" applyBorder="1" applyAlignment="1">
      <alignment horizontal="center" vertical="center"/>
    </xf>
    <xf numFmtId="41" fontId="28" fillId="54" borderId="57" xfId="66" applyFont="1" applyFill="1" applyBorder="1" applyAlignment="1">
      <alignment horizontal="center" vertical="center"/>
    </xf>
    <xf numFmtId="41" fontId="28" fillId="54" borderId="103" xfId="66" applyFont="1" applyFill="1" applyBorder="1" applyAlignment="1">
      <alignment horizontal="center" vertical="center"/>
    </xf>
    <xf numFmtId="41" fontId="28" fillId="48" borderId="154" xfId="66" applyFont="1" applyFill="1" applyBorder="1" applyAlignment="1">
      <alignment horizontal="center" vertical="center"/>
    </xf>
    <xf numFmtId="41" fontId="28" fillId="48" borderId="155" xfId="66" applyFont="1" applyFill="1" applyBorder="1" applyAlignment="1">
      <alignment horizontal="center" vertical="center"/>
    </xf>
    <xf numFmtId="41" fontId="28" fillId="48" borderId="156" xfId="66" applyFont="1" applyFill="1" applyBorder="1" applyAlignment="1">
      <alignment horizontal="center" vertical="center"/>
    </xf>
    <xf numFmtId="224" fontId="28" fillId="0" borderId="59" xfId="66" applyNumberFormat="1" applyFont="1" applyBorder="1" applyAlignment="1">
      <alignment horizontal="center" vertical="center"/>
    </xf>
    <xf numFmtId="224" fontId="28" fillId="0" borderId="60" xfId="66" applyNumberFormat="1" applyFont="1" applyBorder="1" applyAlignment="1">
      <alignment horizontal="center" vertical="center"/>
    </xf>
    <xf numFmtId="224" fontId="28" fillId="0" borderId="104" xfId="66" applyNumberFormat="1" applyFont="1" applyBorder="1" applyAlignment="1">
      <alignment horizontal="center" vertical="center"/>
    </xf>
    <xf numFmtId="41" fontId="27" fillId="0" borderId="38" xfId="67" applyNumberFormat="1" applyFont="1" applyBorder="1" applyAlignment="1">
      <alignment horizontal="center" vertical="center"/>
    </xf>
    <xf numFmtId="9" fontId="27" fillId="0" borderId="53" xfId="67" applyFont="1" applyBorder="1" applyAlignment="1">
      <alignment horizontal="center" vertical="center"/>
    </xf>
    <xf numFmtId="41" fontId="27" fillId="0" borderId="154" xfId="67" applyNumberFormat="1" applyFont="1" applyBorder="1" applyAlignment="1">
      <alignment horizontal="center" vertical="center"/>
    </xf>
    <xf numFmtId="9" fontId="27" fillId="0" borderId="153" xfId="67" applyFont="1" applyBorder="1" applyAlignment="1">
      <alignment horizontal="center" vertical="center"/>
    </xf>
    <xf numFmtId="41" fontId="28" fillId="54" borderId="132" xfId="66" applyFont="1" applyFill="1" applyBorder="1" applyAlignment="1">
      <alignment horizontal="center" vertical="center"/>
    </xf>
    <xf numFmtId="41" fontId="28" fillId="54" borderId="62" xfId="66" applyFont="1" applyFill="1" applyBorder="1" applyAlignment="1">
      <alignment horizontal="center" vertical="center"/>
    </xf>
    <xf numFmtId="41" fontId="28" fillId="54" borderId="107" xfId="66" applyFont="1" applyFill="1" applyBorder="1" applyAlignment="1">
      <alignment horizontal="center" vertical="center"/>
    </xf>
    <xf numFmtId="0" fontId="30" fillId="0" borderId="0" xfId="40" applyFont="1" applyAlignment="1" applyProtection="1">
      <alignment horizontal="center" vertical="center" wrapText="1"/>
      <protection locked="0"/>
    </xf>
    <xf numFmtId="0" fontId="31" fillId="0" borderId="0" xfId="40" applyFont="1" applyAlignment="1" applyProtection="1">
      <alignment horizontal="center" vertical="center" wrapText="1"/>
      <protection locked="0"/>
    </xf>
    <xf numFmtId="0" fontId="30" fillId="36" borderId="26" xfId="40" applyFont="1" applyFill="1" applyBorder="1" applyAlignment="1">
      <alignment horizontal="center" vertical="center" wrapText="1"/>
    </xf>
    <xf numFmtId="0" fontId="25" fillId="0" borderId="13" xfId="40" applyFont="1" applyBorder="1" applyAlignment="1">
      <alignment horizontal="center" vertical="center"/>
    </xf>
    <xf numFmtId="0" fontId="25" fillId="0" borderId="37" xfId="40" applyFont="1" applyBorder="1" applyAlignment="1">
      <alignment horizontal="center" vertical="center"/>
    </xf>
    <xf numFmtId="0" fontId="25" fillId="0" borderId="367" xfId="40" applyFont="1" applyBorder="1" applyAlignment="1">
      <alignment horizontal="center" vertical="center"/>
    </xf>
    <xf numFmtId="0" fontId="31" fillId="0" borderId="371" xfId="40" applyFont="1" applyBorder="1" applyAlignment="1" applyProtection="1">
      <alignment horizontal="center" vertical="center" wrapText="1"/>
      <protection locked="0"/>
    </xf>
    <xf numFmtId="0" fontId="31" fillId="0" borderId="372" xfId="40" applyFont="1" applyBorder="1" applyAlignment="1" applyProtection="1">
      <alignment horizontal="center" vertical="center" wrapText="1"/>
      <protection locked="0"/>
    </xf>
    <xf numFmtId="0" fontId="25" fillId="37" borderId="368" xfId="40" applyFont="1" applyFill="1" applyBorder="1" applyAlignment="1">
      <alignment horizontal="center" vertical="center" wrapText="1"/>
    </xf>
    <xf numFmtId="0" fontId="25" fillId="37" borderId="369" xfId="40" applyFont="1" applyFill="1" applyBorder="1" applyAlignment="1">
      <alignment horizontal="center" vertical="center" wrapText="1"/>
    </xf>
    <xf numFmtId="0" fontId="25" fillId="37" borderId="370" xfId="40" applyFont="1" applyFill="1" applyBorder="1" applyAlignment="1">
      <alignment horizontal="center" vertical="center" wrapText="1"/>
    </xf>
    <xf numFmtId="0" fontId="31" fillId="0" borderId="375" xfId="40" applyFont="1" applyBorder="1" applyAlignment="1" applyProtection="1">
      <alignment horizontal="center" vertical="center" wrapText="1"/>
      <protection locked="0"/>
    </xf>
    <xf numFmtId="0" fontId="31" fillId="0" borderId="366" xfId="40" applyFont="1" applyBorder="1" applyAlignment="1" applyProtection="1">
      <alignment horizontal="center" vertical="center" wrapText="1"/>
      <protection locked="0"/>
    </xf>
    <xf numFmtId="0" fontId="31" fillId="0" borderId="373" xfId="40" applyFont="1" applyBorder="1" applyAlignment="1" applyProtection="1">
      <alignment horizontal="center" vertical="center" wrapText="1"/>
      <protection locked="0"/>
    </xf>
    <xf numFmtId="0" fontId="31" fillId="0" borderId="374" xfId="40" applyFont="1" applyBorder="1" applyAlignment="1" applyProtection="1">
      <alignment horizontal="center" vertical="center" wrapText="1"/>
      <protection locked="0"/>
    </xf>
    <xf numFmtId="0" fontId="25" fillId="37" borderId="47" xfId="40" applyFont="1" applyFill="1" applyBorder="1" applyAlignment="1">
      <alignment horizontal="center" vertical="center" wrapText="1"/>
    </xf>
    <xf numFmtId="0" fontId="25" fillId="37" borderId="48" xfId="40" applyFont="1" applyFill="1" applyBorder="1" applyAlignment="1">
      <alignment horizontal="center" vertical="center" wrapText="1"/>
    </xf>
    <xf numFmtId="0" fontId="25" fillId="0" borderId="12" xfId="40" applyFont="1" applyBorder="1" applyAlignment="1">
      <alignment horizontal="center" vertical="center"/>
    </xf>
    <xf numFmtId="0" fontId="25" fillId="37" borderId="15" xfId="40" applyFont="1" applyFill="1" applyBorder="1" applyAlignment="1">
      <alignment horizontal="center" vertical="center" wrapText="1"/>
    </xf>
    <xf numFmtId="0" fontId="25" fillId="37" borderId="39" xfId="40" applyFont="1" applyFill="1" applyBorder="1" applyAlignment="1">
      <alignment horizontal="center" vertical="center" wrapText="1"/>
    </xf>
    <xf numFmtId="0" fontId="25" fillId="37" borderId="360" xfId="40" applyFont="1" applyFill="1" applyBorder="1" applyAlignment="1">
      <alignment horizontal="center" vertical="center" wrapText="1"/>
    </xf>
    <xf numFmtId="3" fontId="31" fillId="0" borderId="373" xfId="40" applyNumberFormat="1" applyFont="1" applyBorder="1" applyAlignment="1" applyProtection="1">
      <alignment horizontal="center" vertical="center" wrapText="1"/>
      <protection locked="0"/>
    </xf>
    <xf numFmtId="3" fontId="31" fillId="0" borderId="374" xfId="40" applyNumberFormat="1" applyFont="1" applyBorder="1" applyAlignment="1" applyProtection="1">
      <alignment horizontal="center" vertical="center" wrapText="1"/>
      <protection locked="0"/>
    </xf>
    <xf numFmtId="3" fontId="31" fillId="0" borderId="376" xfId="40" applyNumberFormat="1" applyFont="1" applyBorder="1" applyAlignment="1" applyProtection="1">
      <alignment horizontal="center" vertical="center" wrapText="1"/>
      <protection locked="0"/>
    </xf>
    <xf numFmtId="3" fontId="31" fillId="0" borderId="377" xfId="40" applyNumberFormat="1" applyFont="1" applyBorder="1" applyAlignment="1" applyProtection="1">
      <alignment horizontal="center" vertical="center" wrapText="1"/>
      <protection locked="0"/>
    </xf>
    <xf numFmtId="0" fontId="27" fillId="0" borderId="345" xfId="0" applyFont="1" applyBorder="1" applyAlignment="1">
      <alignment horizontal="center" vertical="center"/>
    </xf>
    <xf numFmtId="0" fontId="27" fillId="0" borderId="83" xfId="0" applyFont="1" applyBorder="1" applyAlignment="1">
      <alignment horizontal="center" vertical="center"/>
    </xf>
    <xf numFmtId="0" fontId="27" fillId="0" borderId="331" xfId="0" applyFont="1" applyBorder="1" applyAlignment="1">
      <alignment horizontal="center" vertical="center"/>
    </xf>
    <xf numFmtId="3" fontId="31" fillId="0" borderId="375" xfId="40" applyNumberFormat="1" applyFont="1" applyBorder="1" applyAlignment="1" applyProtection="1">
      <alignment horizontal="center" vertical="center" wrapText="1"/>
      <protection locked="0"/>
    </xf>
    <xf numFmtId="3" fontId="31" fillId="0" borderId="366" xfId="40" applyNumberFormat="1" applyFont="1" applyBorder="1" applyAlignment="1" applyProtection="1">
      <alignment horizontal="center" vertical="center" wrapText="1"/>
      <protection locked="0"/>
    </xf>
    <xf numFmtId="0" fontId="35" fillId="0" borderId="266" xfId="40" applyFont="1" applyBorder="1" applyAlignment="1" applyProtection="1">
      <alignment horizontal="left" vertical="center"/>
      <protection locked="0"/>
    </xf>
    <xf numFmtId="0" fontId="30" fillId="42" borderId="124" xfId="40" applyFont="1" applyFill="1" applyBorder="1" applyAlignment="1">
      <alignment horizontal="left" vertical="center" wrapText="1"/>
    </xf>
    <xf numFmtId="0" fontId="30" fillId="42" borderId="266" xfId="40" applyFont="1" applyFill="1" applyBorder="1" applyAlignment="1">
      <alignment horizontal="left" vertical="center" wrapText="1"/>
    </xf>
    <xf numFmtId="0" fontId="25" fillId="37" borderId="93" xfId="40" applyFont="1" applyFill="1" applyBorder="1" applyAlignment="1">
      <alignment horizontal="center" vertical="center" wrapText="1"/>
    </xf>
    <xf numFmtId="0" fontId="25" fillId="37" borderId="353" xfId="40" applyFont="1" applyFill="1" applyBorder="1" applyAlignment="1">
      <alignment horizontal="center" vertical="center" wrapText="1"/>
    </xf>
    <xf numFmtId="0" fontId="25" fillId="37" borderId="145" xfId="40" applyFont="1" applyFill="1" applyBorder="1" applyAlignment="1">
      <alignment horizontal="center" vertical="center" wrapText="1"/>
    </xf>
    <xf numFmtId="0" fontId="25" fillId="37" borderId="124" xfId="40" applyFont="1" applyFill="1" applyBorder="1" applyAlignment="1">
      <alignment horizontal="center" vertical="center" wrapText="1"/>
    </xf>
    <xf numFmtId="0" fontId="25" fillId="37" borderId="266" xfId="40" applyFont="1" applyFill="1" applyBorder="1" applyAlignment="1">
      <alignment horizontal="center" vertical="center" wrapText="1"/>
    </xf>
    <xf numFmtId="0" fontId="25" fillId="37" borderId="352" xfId="40" applyFont="1" applyFill="1" applyBorder="1" applyAlignment="1">
      <alignment horizontal="center" vertical="center" wrapText="1"/>
    </xf>
    <xf numFmtId="0" fontId="31" fillId="0" borderId="338" xfId="40" applyFont="1" applyBorder="1" applyAlignment="1" applyProtection="1">
      <alignment horizontal="center" vertical="center" wrapText="1"/>
      <protection locked="0"/>
    </xf>
    <xf numFmtId="0" fontId="31" fillId="0" borderId="33" xfId="40" applyFont="1" applyBorder="1" applyAlignment="1" applyProtection="1">
      <alignment horizontal="center" vertical="center" wrapText="1"/>
      <protection locked="0"/>
    </xf>
    <xf numFmtId="0" fontId="31" fillId="0" borderId="113" xfId="40" applyFont="1" applyBorder="1" applyAlignment="1" applyProtection="1">
      <alignment horizontal="center" vertical="center" wrapText="1"/>
      <protection locked="0"/>
    </xf>
    <xf numFmtId="0" fontId="31" fillId="48" borderId="338" xfId="40" applyFont="1" applyFill="1" applyBorder="1" applyAlignment="1" applyProtection="1">
      <alignment horizontal="center" vertical="center" wrapText="1"/>
      <protection locked="0"/>
    </xf>
    <xf numFmtId="0" fontId="31" fillId="48" borderId="33" xfId="40" applyFont="1" applyFill="1" applyBorder="1" applyAlignment="1" applyProtection="1">
      <alignment horizontal="center" vertical="center" wrapText="1"/>
      <protection locked="0"/>
    </xf>
    <xf numFmtId="0" fontId="31" fillId="48" borderId="88" xfId="40" applyFont="1" applyFill="1" applyBorder="1" applyAlignment="1" applyProtection="1">
      <alignment horizontal="center" vertical="center" wrapText="1"/>
      <protection locked="0"/>
    </xf>
    <xf numFmtId="3" fontId="31" fillId="0" borderId="70" xfId="40" applyNumberFormat="1" applyFont="1" applyBorder="1" applyAlignment="1" applyProtection="1">
      <alignment horizontal="center" vertical="center" wrapText="1"/>
      <protection locked="0"/>
    </xf>
    <xf numFmtId="3" fontId="31" fillId="0" borderId="71" xfId="40" applyNumberFormat="1" applyFont="1" applyBorder="1" applyAlignment="1" applyProtection="1">
      <alignment horizontal="center" vertical="center" wrapText="1"/>
      <protection locked="0"/>
    </xf>
    <xf numFmtId="0" fontId="23" fillId="0" borderId="379" xfId="0" applyFont="1" applyBorder="1" applyAlignment="1">
      <alignment horizontal="center" vertical="center"/>
    </xf>
    <xf numFmtId="49" fontId="31" fillId="0" borderId="379" xfId="40" applyNumberFormat="1" applyFont="1" applyBorder="1" applyAlignment="1">
      <alignment horizontal="center" vertical="center"/>
    </xf>
    <xf numFmtId="0" fontId="30" fillId="41" borderId="354" xfId="40" applyFont="1" applyFill="1" applyBorder="1" applyAlignment="1">
      <alignment horizontal="left" vertical="center" wrapText="1"/>
    </xf>
    <xf numFmtId="0" fontId="30" fillId="41" borderId="266" xfId="40" applyFont="1" applyFill="1" applyBorder="1" applyAlignment="1">
      <alignment horizontal="left" vertical="center" wrapText="1"/>
    </xf>
    <xf numFmtId="0" fontId="25" fillId="0" borderId="328" xfId="40" applyFont="1" applyBorder="1" applyAlignment="1">
      <alignment horizontal="center" vertical="center" wrapText="1"/>
    </xf>
    <xf numFmtId="0" fontId="25" fillId="0" borderId="327" xfId="40" applyFont="1" applyBorder="1" applyAlignment="1">
      <alignment horizontal="center" vertical="center" wrapText="1"/>
    </xf>
    <xf numFmtId="0" fontId="25" fillId="0" borderId="0" xfId="40" applyFont="1" applyAlignment="1">
      <alignment horizontal="center" vertical="center" wrapText="1"/>
    </xf>
    <xf numFmtId="41" fontId="43" fillId="0" borderId="69" xfId="66" applyFont="1" applyFill="1" applyBorder="1" applyAlignment="1" applyProtection="1">
      <alignment horizontal="right" vertical="center" wrapText="1"/>
      <protection locked="0"/>
    </xf>
    <xf numFmtId="41" fontId="43" fillId="53" borderId="70" xfId="66" applyFont="1" applyFill="1" applyBorder="1" applyAlignment="1" applyProtection="1">
      <alignment horizontal="center" vertical="center" wrapText="1"/>
      <protection locked="0"/>
    </xf>
    <xf numFmtId="41" fontId="43" fillId="53" borderId="71" xfId="66" applyFont="1" applyFill="1" applyBorder="1" applyAlignment="1" applyProtection="1">
      <alignment horizontal="center" vertical="center" wrapText="1"/>
      <protection locked="0"/>
    </xf>
    <xf numFmtId="0" fontId="43" fillId="53" borderId="70" xfId="40" applyFont="1" applyFill="1" applyBorder="1" applyAlignment="1" applyProtection="1">
      <alignment horizontal="left" vertical="center" wrapText="1"/>
      <protection locked="0"/>
    </xf>
    <xf numFmtId="0" fontId="43" fillId="53" borderId="71" xfId="40" applyFont="1" applyFill="1" applyBorder="1" applyAlignment="1" applyProtection="1">
      <alignment horizontal="left" vertical="center" wrapText="1"/>
      <protection locked="0"/>
    </xf>
    <xf numFmtId="0" fontId="43" fillId="83" borderId="70" xfId="40" applyFont="1" applyFill="1" applyBorder="1" applyAlignment="1" applyProtection="1">
      <alignment horizontal="left" vertical="center" wrapText="1"/>
      <protection locked="0"/>
    </xf>
    <xf numFmtId="0" fontId="43" fillId="83" borderId="71" xfId="40" applyFont="1" applyFill="1" applyBorder="1" applyAlignment="1" applyProtection="1">
      <alignment horizontal="left" vertical="center" wrapText="1"/>
      <protection locked="0"/>
    </xf>
    <xf numFmtId="41" fontId="43" fillId="0" borderId="70" xfId="66" applyFont="1" applyBorder="1" applyAlignment="1" applyProtection="1">
      <alignment horizontal="right" vertical="center" wrapText="1"/>
      <protection locked="0"/>
    </xf>
    <xf numFmtId="41" fontId="43" fillId="0" borderId="71" xfId="66" applyFont="1" applyBorder="1" applyAlignment="1" applyProtection="1">
      <alignment horizontal="right" vertical="center" wrapText="1"/>
      <protection locked="0"/>
    </xf>
    <xf numFmtId="0" fontId="43" fillId="0" borderId="112" xfId="40" applyFont="1" applyBorder="1" applyAlignment="1" applyProtection="1">
      <alignment horizontal="left" vertical="center" wrapText="1"/>
      <protection locked="0"/>
    </xf>
    <xf numFmtId="0" fontId="43" fillId="0" borderId="348" xfId="40" applyFont="1" applyBorder="1" applyAlignment="1" applyProtection="1">
      <alignment horizontal="left" vertical="center" wrapText="1"/>
      <protection locked="0"/>
    </xf>
    <xf numFmtId="0" fontId="42" fillId="39" borderId="0" xfId="40" applyFont="1" applyFill="1" applyAlignment="1">
      <alignment horizontal="center" vertical="center" wrapText="1"/>
    </xf>
    <xf numFmtId="0" fontId="30" fillId="36" borderId="28" xfId="40" applyFont="1" applyFill="1" applyBorder="1" applyAlignment="1">
      <alignment horizontal="center" vertical="center" wrapText="1"/>
    </xf>
    <xf numFmtId="0" fontId="30" fillId="36" borderId="28" xfId="40" applyFont="1" applyFill="1" applyBorder="1" applyAlignment="1">
      <alignment vertical="center" wrapText="1"/>
    </xf>
    <xf numFmtId="0" fontId="25" fillId="33" borderId="20" xfId="40" applyFont="1" applyFill="1" applyBorder="1" applyAlignment="1">
      <alignment horizontal="center" vertical="center"/>
    </xf>
    <xf numFmtId="0" fontId="25" fillId="33" borderId="22" xfId="40" applyFont="1" applyFill="1" applyBorder="1" applyAlignment="1">
      <alignment horizontal="center" vertical="center" wrapText="1"/>
    </xf>
    <xf numFmtId="0" fontId="25" fillId="0" borderId="20" xfId="40" applyFont="1" applyBorder="1" applyAlignment="1">
      <alignment horizontal="center" vertical="center" wrapText="1"/>
    </xf>
    <xf numFmtId="0" fontId="25" fillId="0" borderId="44" xfId="40" applyFont="1" applyBorder="1" applyAlignment="1">
      <alignment horizontal="center" vertical="center" wrapText="1"/>
    </xf>
    <xf numFmtId="3" fontId="25" fillId="0" borderId="21" xfId="40" applyNumberFormat="1" applyFont="1" applyBorder="1" applyAlignment="1">
      <alignment horizontal="right" vertical="center"/>
    </xf>
    <xf numFmtId="3" fontId="25" fillId="0" borderId="45" xfId="40" applyNumberFormat="1" applyFont="1" applyBorder="1" applyAlignment="1">
      <alignment horizontal="right" vertical="center"/>
    </xf>
    <xf numFmtId="3" fontId="25" fillId="0" borderId="22" xfId="40" quotePrefix="1" applyNumberFormat="1" applyFont="1" applyBorder="1" applyAlignment="1">
      <alignment horizontal="center" vertical="center"/>
    </xf>
    <xf numFmtId="3" fontId="25" fillId="0" borderId="22" xfId="40" applyNumberFormat="1" applyFont="1" applyBorder="1" applyAlignment="1">
      <alignment horizontal="center" vertical="center"/>
    </xf>
    <xf numFmtId="3" fontId="25" fillId="0" borderId="46" xfId="40" applyNumberFormat="1" applyFont="1" applyBorder="1" applyAlignment="1">
      <alignment horizontal="center" vertical="center"/>
    </xf>
    <xf numFmtId="0" fontId="30" fillId="0" borderId="0" xfId="40" applyFont="1" applyAlignment="1" applyProtection="1">
      <alignment horizontal="left" vertical="center" wrapText="1"/>
      <protection locked="0"/>
    </xf>
    <xf numFmtId="0" fontId="31" fillId="0" borderId="0" xfId="40" applyFont="1" applyAlignment="1" applyProtection="1">
      <alignment horizontal="left" vertical="center" wrapText="1"/>
      <protection locked="0"/>
    </xf>
    <xf numFmtId="0" fontId="25" fillId="33" borderId="134" xfId="40" applyFont="1" applyFill="1" applyBorder="1" applyAlignment="1">
      <alignment horizontal="center" vertical="center"/>
    </xf>
    <xf numFmtId="0" fontId="25" fillId="33" borderId="138" xfId="40" applyFont="1" applyFill="1" applyBorder="1" applyAlignment="1">
      <alignment horizontal="center" vertical="center"/>
    </xf>
    <xf numFmtId="0" fontId="30" fillId="38" borderId="43" xfId="40" applyFont="1" applyFill="1" applyBorder="1" applyAlignment="1">
      <alignment horizontal="center" vertical="center"/>
    </xf>
    <xf numFmtId="0" fontId="30" fillId="38" borderId="52" xfId="40" applyFont="1" applyFill="1" applyBorder="1" applyAlignment="1">
      <alignment horizontal="center" vertical="center"/>
    </xf>
    <xf numFmtId="0" fontId="30" fillId="38" borderId="42" xfId="40" applyFont="1" applyFill="1" applyBorder="1" applyAlignment="1">
      <alignment horizontal="center" vertical="center"/>
    </xf>
    <xf numFmtId="0" fontId="31" fillId="0" borderId="13" xfId="40" applyFont="1" applyBorder="1" applyAlignment="1">
      <alignment horizontal="center" vertical="center"/>
    </xf>
    <xf numFmtId="0" fontId="31" fillId="0" borderId="14" xfId="40" applyFont="1" applyBorder="1" applyAlignment="1">
      <alignment horizontal="center" vertical="center"/>
    </xf>
    <xf numFmtId="0" fontId="25" fillId="37" borderId="31" xfId="40" applyFont="1" applyFill="1" applyBorder="1" applyAlignment="1">
      <alignment horizontal="center" vertical="center" wrapText="1"/>
    </xf>
    <xf numFmtId="0" fontId="33" fillId="37" borderId="32" xfId="40" applyFont="1" applyFill="1" applyBorder="1" applyAlignment="1">
      <alignment vertical="center" wrapText="1"/>
    </xf>
    <xf numFmtId="0" fontId="37" fillId="37" borderId="32" xfId="40" applyFont="1" applyFill="1" applyBorder="1" applyAlignment="1">
      <alignment vertical="center" wrapText="1"/>
    </xf>
    <xf numFmtId="3" fontId="39" fillId="37" borderId="50" xfId="40" applyNumberFormat="1" applyFont="1" applyFill="1" applyBorder="1" applyAlignment="1">
      <alignment horizontal="right" vertical="center" wrapText="1"/>
    </xf>
    <xf numFmtId="3" fontId="39" fillId="37" borderId="49" xfId="40" applyNumberFormat="1" applyFont="1" applyFill="1" applyBorder="1" applyAlignment="1">
      <alignment horizontal="right" vertical="center" wrapText="1"/>
    </xf>
    <xf numFmtId="3" fontId="39" fillId="37" borderId="51" xfId="40" applyNumberFormat="1" applyFont="1" applyFill="1" applyBorder="1" applyAlignment="1">
      <alignment horizontal="right" vertical="center" wrapText="1"/>
    </xf>
    <xf numFmtId="41" fontId="43" fillId="44" borderId="69" xfId="66" applyFont="1" applyFill="1" applyBorder="1" applyAlignment="1" applyProtection="1">
      <alignment horizontal="right" vertical="center" wrapText="1"/>
      <protection locked="0"/>
    </xf>
    <xf numFmtId="0" fontId="43" fillId="53" borderId="69" xfId="40" applyFont="1" applyFill="1" applyBorder="1" applyAlignment="1" applyProtection="1">
      <alignment horizontal="left" vertical="center" wrapText="1"/>
      <protection locked="0"/>
    </xf>
    <xf numFmtId="41" fontId="43" fillId="53" borderId="69" xfId="66" applyFont="1" applyFill="1" applyBorder="1" applyAlignment="1" applyProtection="1">
      <alignment horizontal="right" vertical="center" wrapText="1"/>
      <protection locked="0"/>
    </xf>
    <xf numFmtId="41" fontId="43" fillId="0" borderId="69" xfId="66" applyFont="1" applyBorder="1" applyAlignment="1" applyProtection="1">
      <alignment horizontal="right" vertical="center" wrapText="1"/>
      <protection locked="0"/>
    </xf>
    <xf numFmtId="0" fontId="31" fillId="0" borderId="12" xfId="40" applyFont="1" applyBorder="1" applyAlignment="1">
      <alignment horizontal="center" vertical="center"/>
    </xf>
    <xf numFmtId="0" fontId="31" fillId="0" borderId="15" xfId="40" applyFont="1" applyBorder="1" applyAlignment="1">
      <alignment horizontal="center" vertical="center"/>
    </xf>
    <xf numFmtId="0" fontId="30" fillId="0" borderId="0" xfId="40" applyFont="1" applyAlignment="1">
      <alignment horizontal="center" vertical="center"/>
    </xf>
    <xf numFmtId="0" fontId="31" fillId="0" borderId="37" xfId="40" applyFont="1" applyBorder="1" applyAlignment="1">
      <alignment horizontal="center" vertical="center"/>
    </xf>
    <xf numFmtId="0" fontId="31" fillId="0" borderId="55" xfId="40" applyFont="1" applyBorder="1" applyAlignment="1">
      <alignment horizontal="center" vertical="center"/>
    </xf>
    <xf numFmtId="0" fontId="31" fillId="0" borderId="41" xfId="40" applyFont="1" applyBorder="1" applyAlignment="1">
      <alignment horizontal="center" vertical="center"/>
    </xf>
    <xf numFmtId="0" fontId="31" fillId="0" borderId="130" xfId="40" applyFont="1" applyBorder="1" applyAlignment="1">
      <alignment horizontal="center" vertical="center"/>
    </xf>
    <xf numFmtId="0" fontId="31" fillId="0" borderId="131" xfId="40" applyFont="1" applyBorder="1" applyAlignment="1">
      <alignment horizontal="center" vertical="center"/>
    </xf>
    <xf numFmtId="0" fontId="31" fillId="0" borderId="40" xfId="40" applyFont="1" applyBorder="1" applyAlignment="1">
      <alignment horizontal="center" vertical="center"/>
    </xf>
    <xf numFmtId="41" fontId="43" fillId="53" borderId="341" xfId="66" applyFont="1" applyFill="1" applyBorder="1" applyAlignment="1" applyProtection="1">
      <alignment horizontal="center" vertical="center" wrapText="1"/>
      <protection locked="0"/>
    </xf>
    <xf numFmtId="41" fontId="43" fillId="53" borderId="342" xfId="66" applyFont="1" applyFill="1" applyBorder="1" applyAlignment="1" applyProtection="1">
      <alignment horizontal="center" vertical="center" wrapText="1"/>
      <protection locked="0"/>
    </xf>
    <xf numFmtId="0" fontId="43" fillId="0" borderId="70" xfId="40" applyFont="1" applyBorder="1" applyAlignment="1" applyProtection="1">
      <alignment horizontal="center" vertical="center" wrapText="1"/>
      <protection locked="0"/>
    </xf>
    <xf numFmtId="0" fontId="43" fillId="0" borderId="71" xfId="40" applyFont="1" applyBorder="1" applyAlignment="1" applyProtection="1">
      <alignment horizontal="center" vertical="center" wrapText="1"/>
      <protection locked="0"/>
    </xf>
    <xf numFmtId="0" fontId="43" fillId="83" borderId="69" xfId="40" applyFont="1" applyFill="1" applyBorder="1" applyAlignment="1" applyProtection="1">
      <alignment vertical="center" wrapText="1"/>
      <protection locked="0"/>
    </xf>
    <xf numFmtId="0" fontId="43" fillId="83" borderId="69" xfId="40" applyFont="1" applyFill="1" applyBorder="1" applyAlignment="1" applyProtection="1">
      <alignment horizontal="left" vertical="center" wrapText="1"/>
      <protection locked="0"/>
    </xf>
    <xf numFmtId="41" fontId="23" fillId="48" borderId="336" xfId="0" applyNumberFormat="1" applyFont="1" applyFill="1" applyBorder="1" applyAlignment="1">
      <alignment horizontal="center" vertical="center"/>
    </xf>
    <xf numFmtId="41" fontId="23" fillId="48" borderId="337" xfId="0" applyNumberFormat="1" applyFont="1" applyFill="1" applyBorder="1" applyAlignment="1">
      <alignment horizontal="center" vertical="center"/>
    </xf>
    <xf numFmtId="41" fontId="23" fillId="48" borderId="114" xfId="0" applyNumberFormat="1" applyFont="1" applyFill="1" applyBorder="1" applyAlignment="1">
      <alignment horizontal="center" vertical="center"/>
    </xf>
    <xf numFmtId="41" fontId="23" fillId="48" borderId="333" xfId="0" applyNumberFormat="1" applyFont="1" applyFill="1" applyBorder="1" applyAlignment="1">
      <alignment horizontal="center" vertical="center"/>
    </xf>
    <xf numFmtId="41" fontId="23" fillId="48" borderId="334" xfId="0" applyNumberFormat="1" applyFont="1" applyFill="1" applyBorder="1" applyAlignment="1">
      <alignment horizontal="center" vertical="center"/>
    </xf>
    <xf numFmtId="41" fontId="23" fillId="48" borderId="335" xfId="0" applyNumberFormat="1" applyFont="1" applyFill="1" applyBorder="1" applyAlignment="1">
      <alignment horizontal="center" vertical="center"/>
    </xf>
    <xf numFmtId="0" fontId="23" fillId="48" borderId="76" xfId="0" applyFont="1" applyFill="1" applyBorder="1" applyAlignment="1">
      <alignment horizontal="center" vertical="center" wrapText="1"/>
    </xf>
    <xf numFmtId="0" fontId="23" fillId="48" borderId="325" xfId="0" applyFont="1" applyFill="1" applyBorder="1" applyAlignment="1">
      <alignment horizontal="center" vertical="center" wrapText="1"/>
    </xf>
    <xf numFmtId="0" fontId="23" fillId="48" borderId="77" xfId="0" applyFont="1" applyFill="1" applyBorder="1" applyAlignment="1">
      <alignment horizontal="center" vertical="center" wrapText="1"/>
    </xf>
    <xf numFmtId="0" fontId="47" fillId="39" borderId="0" xfId="40" applyFont="1" applyFill="1" applyAlignment="1" applyProtection="1">
      <alignment horizontal="center" vertical="center" wrapText="1"/>
      <protection locked="0"/>
    </xf>
    <xf numFmtId="0" fontId="41" fillId="45" borderId="0" xfId="40" applyFont="1" applyFill="1" applyAlignment="1" applyProtection="1">
      <alignment horizontal="center" vertical="center" wrapText="1"/>
      <protection locked="0"/>
    </xf>
  </cellXfs>
  <cellStyles count="1471">
    <cellStyle name=" 1" xfId="109"/>
    <cellStyle name="_x000a_386grabber=M" xfId="110"/>
    <cellStyle name="??&amp;O?&amp;H?_x0008__x000f__x0007_?_x0007__x0001__x0001_" xfId="111"/>
    <cellStyle name="??&amp;O?&amp;H?_x0008_??_x0007__x0001__x0001_" xfId="112"/>
    <cellStyle name="??_f_alist" xfId="113"/>
    <cellStyle name="?W?_laroux" xfId="114"/>
    <cellStyle name="_(LG마이크론)원가분석_040531" xfId="115"/>
    <cellStyle name="_(전사)200008지표" xfId="116"/>
    <cellStyle name="_(첨부5) 견적서_template" xfId="117"/>
    <cellStyle name="_0 업체연락처(060526)" xfId="118"/>
    <cellStyle name="_01.투입공수산정(인건비견적집계표)_V1.3" xfId="119"/>
    <cellStyle name="_030707브리지텍견적서" xfId="120"/>
    <cellStyle name="_030721최종견적" xfId="121"/>
    <cellStyle name="_040628- 삼성 SDS 제출" xfId="122"/>
    <cellStyle name="_040830- 녹취 및 ACS- VER 1(1).0 발송용" xfId="123"/>
    <cellStyle name="_0816_KB_연구소 진행 Project(Ver17.0) 견적_050816_김승일(Disk 이중화)" xfId="124"/>
    <cellStyle name="_090915_SK증권_견적(5)" xfId="86"/>
    <cellStyle name="_11.통합보안관리서버" xfId="125"/>
    <cellStyle name="_1안(Turnkey)_030127" xfId="126"/>
    <cellStyle name="_1안_계열사 별도구축" xfId="127"/>
    <cellStyle name="_2002-12-30 동부건설 견적서(2단계사업)" xfId="128"/>
    <cellStyle name="_2002년 12월 6일- 대구은행 -인터넷콜센터-류정식과장님-1" xfId="129"/>
    <cellStyle name="_2002년 12월23일- 대구은행 -자동화센터-류정식과장님-16회선-2" xfId="130"/>
    <cellStyle name="_2002년12월24일 - 농협 증설 건-윤 종우대리- 발송용-2(유지보수율 7% 적용)" xfId="131"/>
    <cellStyle name="_2002년사전원가계산서-20020925" xfId="132"/>
    <cellStyle name="_2003-3-14 대림콩크리트 GW견적" xfId="133"/>
    <cellStyle name="_2003년 2월 13일- 지방장비 서울통합 - wfis - 함영우차장님-제출-1" xfId="134"/>
    <cellStyle name="_2003년 2월 24일- 지방장비 서울통합 - wfis - 김명기차장님-제출-1" xfId="135"/>
    <cellStyle name="_2003년 2월 26일- 지방장비 서울통합 - wfis - 김명기차장님-제출-1" xfId="136"/>
    <cellStyle name="_2003년 2월 6일- 지방장비 서울통합 - wfis - 이승희과장님-제출-1" xfId="137"/>
    <cellStyle name="_2003년 3월 4일 - wfis - 225석 증설- 김명기차장님-2차 제출-5" xfId="138"/>
    <cellStyle name="_2003년 3월 4일 - wfis - 225석 증설- 김명기차장님-제출-1" xfId="139"/>
    <cellStyle name="_2003년 3월 4일- 지방장비 서울통합 - wfis - 김명기차장님-제출-2차제출 -4" xfId="140"/>
    <cellStyle name="_2003년 3월 4일-IN OUT 디지털화 - WFIS-김명기차장- 6" xfId="141"/>
    <cellStyle name="_2003년 3월4일 - 앤써 부분 견적서 작성 - 4" xfId="142"/>
    <cellStyle name="_2안_광주경남 통합" xfId="143"/>
    <cellStyle name="_500user견적(021014)-GW,Wf,EDMS,검색" xfId="144"/>
    <cellStyle name="_6. 가격(견적별첨)" xfId="145"/>
    <cellStyle name="_6. 가격(투입인력)" xfId="146"/>
    <cellStyle name="_a.컨설팅단가_0106" xfId="147"/>
    <cellStyle name="_COMPAQServer" xfId="148"/>
    <cellStyle name="_EBS영어온라인교육사이트구축 가격집계표" xfId="149"/>
    <cellStyle name="_EDMS_성우시스템" xfId="150"/>
    <cellStyle name="_e-Notis 기능개선 견적_마음정보(20050304)" xfId="87"/>
    <cellStyle name="_HW SW Package구매내역" xfId="151"/>
    <cellStyle name="_ISS 4월 가격표" xfId="152"/>
    <cellStyle name="_ISS 5월 가격표1" xfId="153"/>
    <cellStyle name="_ISS 6월 가격표" xfId="154"/>
    <cellStyle name="_ISS 8월 가격표" xfId="155"/>
    <cellStyle name="_KB_연구소 진행 Project(Ver18 0) 견적_050817_김승일(vat 별도) (2)" xfId="156"/>
    <cellStyle name="_KCB 링네트 견적-2" xfId="157"/>
    <cellStyle name="_KCB_SI_가격제안서_Infra_v2.1_최종" xfId="158"/>
    <cellStyle name="_KCB_SI_가격제안서_SI_v2.2_이경진수정" xfId="159"/>
    <cellStyle name="_KCB_SI_가격제안서_SI_v2.2_최종" xfId="160"/>
    <cellStyle name="_LG CNS-041102-서울고속도로법인(6)_p630" xfId="161"/>
    <cellStyle name="_MCC 최종 견적서(계약서 첨부 내용_0417)" xfId="162"/>
    <cellStyle name="_MM 및 경비 계획(20061114)" xfId="163"/>
    <cellStyle name="_MM 및 경비 계획(20061129)" xfId="164"/>
    <cellStyle name="_MM 투입계획 20061127" xfId="165"/>
    <cellStyle name="_Portal 시스템연계 및 K-Bank 기능개선 견적(20040823)_마음정보" xfId="88"/>
    <cellStyle name="_S5_메타관리_IDS_MetaStream_CoSort_0814_1(통합)" xfId="166"/>
    <cellStyle name="_SFG인력현황-2" xfId="167"/>
    <cellStyle name="_SMS_ITOP" xfId="168"/>
    <cellStyle name="_Stratus Server_신동순차장님_최종(031006)" xfId="169"/>
    <cellStyle name="_개발용역비-최종_흥국방카" xfId="170"/>
    <cellStyle name="_견적 범우화학(2003.01.29-Sim)KM,GW,EDM" xfId="171"/>
    <cellStyle name="_견적서 to 신한(v1.0)_07226" xfId="172"/>
    <cellStyle name="_견적서_OPT 81C_OB전용_윤종우대리님(030409)" xfId="173"/>
    <cellStyle name="_견적정리_장비_솔루션_1009_목표가_시뮬레이션" xfId="174"/>
    <cellStyle name="_견적제출6(040621)" xfId="175"/>
    <cellStyle name="_견적집계표_금융보안연구소OTP" xfId="176"/>
    <cellStyle name="_견적-하이콤정보통신(2002.08.16).." xfId="177"/>
    <cellStyle name="_고속선 2단계 전송망 제경비_071212" xfId="178"/>
    <cellStyle name="_광주_경남은행신BIS_수지차_20060816" xfId="179"/>
    <cellStyle name="_교보자동차보험 견적서" xfId="180"/>
    <cellStyle name="_구축견적서(온더아이티)_050701" xfId="181"/>
    <cellStyle name="_구축견적서(온더아이티)_050829(제출용)" xfId="182"/>
    <cellStyle name="_구축견적서(온더아이티)_060327" xfId="183"/>
    <cellStyle name="_국립중앙도서관_총괄표_0212" xfId="184"/>
    <cellStyle name="_국립중앙도서관_총괄표_0330" xfId="185"/>
    <cellStyle name="_금호생명(030603_자산제외)" xfId="186"/>
    <cellStyle name="_기상청_슈퍼컴_COMIS_총괄표_0320" xfId="187"/>
    <cellStyle name="_기술신용보증기금_솔루션" xfId="188"/>
    <cellStyle name="_기업은행(내부견적서)_050806" xfId="189"/>
    <cellStyle name="_농협인력계획" xfId="190"/>
    <cellStyle name="_대한주택보증_차세대_가격총괄표_제출산출근거_0602_v3" xfId="191"/>
    <cellStyle name="_대한주택보증_차세대_가격총괄표20060530" xfId="192"/>
    <cellStyle name="_동양생명재무시스템구축견적서_제출" xfId="193"/>
    <cellStyle name="_두산중공업_021203" xfId="194"/>
    <cellStyle name="_메리츠증권 운영리스크견적_PwC_080328" xfId="89"/>
    <cellStyle name="_목동점 1대기준 (POS)" xfId="70"/>
    <cellStyle name="_목동점 1대기준 (POS)-0506작업" xfId="71"/>
    <cellStyle name="_백화점 유지보수 내역" xfId="195"/>
    <cellStyle name="_별첨1.구축 제안견적서(온더아이티-내부용)_051223" xfId="196"/>
    <cellStyle name="_별첨1.구축 제안견적서(티브로드)_060113" xfId="197"/>
    <cellStyle name="_별첨1.구축견적서(온더아이티)_050810(최종본)_샘플" xfId="198"/>
    <cellStyle name="_별첨1.구축견적서(온더아이티)_051123" xfId="199"/>
    <cellStyle name="_별첨1.제안견적서(온더아이티)_051216" xfId="200"/>
    <cellStyle name="_별첨1.제안견적서(온더아이티_코비젼)_051123" xfId="201"/>
    <cellStyle name="_별첨2.구축견적서_050516" xfId="202"/>
    <cellStyle name="_별첨2.구축견적서_050810" xfId="203"/>
    <cellStyle name="_보수명세3 2004년 롯데카드 장비 유지보수 내역v8_1" xfId="204"/>
    <cellStyle name="_삼일PwC_동양증권 견적_070921_V1.0" xfId="90"/>
    <cellStyle name="_서버 2003년 1월 변경가격표(스펜오컴)" xfId="205"/>
    <cellStyle name="_서버 2003년 2월 가격표" xfId="206"/>
    <cellStyle name="_서버 2003년 3월 가격표" xfId="207"/>
    <cellStyle name="_서울고속도로_EDMS_핸디소프트" xfId="208"/>
    <cellStyle name="_서울고속도로_오라클_P630" xfId="209"/>
    <cellStyle name="_서울고속도로법인_시스템 P6xx_트라이얼" xfId="210"/>
    <cellStyle name="_서울고속도로법인_시스템 P6xx_트라이얼-1" xfId="211"/>
    <cellStyle name="_서울고속도로법인_시스템 P6xx_트라이얼-2" xfId="212"/>
    <cellStyle name="_서울고속도로법인_시스템 P6xx_트라이얼-3" xfId="213"/>
    <cellStyle name="_서울고속도로법인_시스템_트라이얼" xfId="214"/>
    <cellStyle name="_서울고속도록_오라클-1" xfId="215"/>
    <cellStyle name="_성능개선 장비 산출내역서_국민연금" xfId="216"/>
    <cellStyle name="_소프트베이스(노재용ES_국민ACS_1001)" xfId="217"/>
    <cellStyle name="_신우정보기술(DL380R X3200DL580R)0624" xfId="218"/>
    <cellStyle name="_신한은행 영업점 집중화 견적서_040527" xfId="219"/>
    <cellStyle name="_알리안츠 DRS 컨설팅 사전원가(2002.05.16)" xfId="220"/>
    <cellStyle name="_업체별분류견적" xfId="221"/>
    <cellStyle name="_업체별외주비 최종현황" xfId="222"/>
    <cellStyle name="_예금보험시스템 산출내역서(계약시-최종)-2003421" xfId="223"/>
    <cellStyle name="_온더아이티 DL380_580  견적 050128" xfId="224"/>
    <cellStyle name="_온더아이티_BS 서버견적" xfId="225"/>
    <cellStyle name="_온더아이티-LG마이크론(x345 356)0426" xfId="226"/>
    <cellStyle name="_온더아이티-한미파슨스_070314" xfId="227"/>
    <cellStyle name="_월별 인력(최종) (5)" xfId="228"/>
    <cellStyle name="_육군_C4I_총괄표_0229" xfId="229"/>
    <cellStyle name="_인력운용방안_SK_추가제출_TO전봉환부부장" xfId="230"/>
    <cellStyle name="_인력투입계획_20080807" xfId="231"/>
    <cellStyle name="_잠정원가총괄표" xfId="232"/>
    <cellStyle name="_잠정원가총괄표_41184" xfId="233"/>
    <cellStyle name="_장비구입비(1단계)" xfId="234"/>
    <cellStyle name="_전자메뉴얼 개선 견적서(통구협의)_060428" xfId="235"/>
    <cellStyle name="_정국수정 (1)" xfId="236"/>
    <cellStyle name="_제2정부통합센터_2단계_총괄표_0322" xfId="237"/>
    <cellStyle name="_제안 세부견적서(온더아이티)_060126" xfId="238"/>
    <cellStyle name="_제안가격 산출근거_작성_20060404" xfId="239"/>
    <cellStyle name="_제안견적서" xfId="240"/>
    <cellStyle name="_제안견적서(내부용)_060313" xfId="241"/>
    <cellStyle name="_제안제품규격서_제2센터2단계전산기반환경구축_v0.1" xfId="242"/>
    <cellStyle name="_최종제출견적서(원가)" xfId="243"/>
    <cellStyle name="_카지노전산시스템 구축집계표1010" xfId="244"/>
    <cellStyle name="_카지노전산시스템 구축집계표1026" xfId="245"/>
    <cellStyle name="_콜센터 상담지식관리시스템 구축견적서_050419(2)" xfId="246"/>
    <cellStyle name="_통합운영환경_원가총괄표_LGCNS전달_060911_V1" xfId="247"/>
    <cellStyle name="_투입인력MM_v2.0" xfId="248"/>
    <cellStyle name="_하나금융지주_RAPM_인력투입계획_20080907_v1.0" xfId="249"/>
    <cellStyle name="_한빛C- 130(브리지텍 제2콜센타 150명 증원 견적 고강배계장님)" xfId="250"/>
    <cellStyle name="_한솔상호저축은행" xfId="251"/>
    <cellStyle name="_한화증권_Op공수및견적080211" xfId="91"/>
    <cellStyle name="_현대해상_서버" xfId="252"/>
    <cellStyle name="_현대해상_서버(최종_7410_0128)-제안용" xfId="253"/>
    <cellStyle name="_현대해상-서버(과거견적제출용)" xfId="254"/>
    <cellStyle name="_확충 컨소시엄사별 분배 계획_0911_2150_최종" xfId="255"/>
    <cellStyle name="_확충 컨소시엄사별 분배 계획_구매" xfId="256"/>
    <cellStyle name="_확충 컨소시엄사별 분배 계획_재료비_20060911" xfId="257"/>
    <cellStyle name="_흥국_방카(030514)" xfId="258"/>
    <cellStyle name="_흥국생명방카슈랑스견적_0704" xfId="259"/>
    <cellStyle name="’E‰Y [0.00]_laroux" xfId="260"/>
    <cellStyle name="’E‰Y_laroux" xfId="261"/>
    <cellStyle name="¤@?e_TEST-1 " xfId="262"/>
    <cellStyle name="æØè [0.00]_PRODUCT DETAIL Q1" xfId="263"/>
    <cellStyle name="æØè_PRODUCT DETAIL Q1" xfId="264"/>
    <cellStyle name="ÊÝ [0.00]_PRODUCT DETAIL Q1" xfId="265"/>
    <cellStyle name="ÊÝ_PRODUCT DETAIL Q1" xfId="266"/>
    <cellStyle name="W?_BOOKSHIP" xfId="267"/>
    <cellStyle name="W_BOOKSHIP" xfId="268"/>
    <cellStyle name="0,0_x000d__x000a_NA_x000d__x000a_" xfId="92"/>
    <cellStyle name="20% - Accent1" xfId="568"/>
    <cellStyle name="20% - Accent2" xfId="569"/>
    <cellStyle name="20% - Accent3" xfId="570"/>
    <cellStyle name="20% - Accent4" xfId="571"/>
    <cellStyle name="20% - Accent5" xfId="572"/>
    <cellStyle name="20% - Accent6" xfId="573"/>
    <cellStyle name="20% - 강조색1" xfId="17" builtinId="30" customBuiltin="1"/>
    <cellStyle name="20% - 강조색2" xfId="21" builtinId="34" customBuiltin="1"/>
    <cellStyle name="20% - 강조색3" xfId="25" builtinId="38" customBuiltin="1"/>
    <cellStyle name="20% - 강조색4" xfId="29" builtinId="42" customBuiltin="1"/>
    <cellStyle name="20% - 강조색5" xfId="33" builtinId="46" customBuiltin="1"/>
    <cellStyle name="20% - 강조색6" xfId="37" builtinId="50" customBuiltin="1"/>
    <cellStyle name="40% - Accent1" xfId="574"/>
    <cellStyle name="40% - Accent2" xfId="575"/>
    <cellStyle name="40% - Accent3" xfId="576"/>
    <cellStyle name="40% - Accent4" xfId="577"/>
    <cellStyle name="40% - Accent5" xfId="578"/>
    <cellStyle name="40% - Accent6" xfId="579"/>
    <cellStyle name="40% - 강조색1" xfId="18" builtinId="31" customBuiltin="1"/>
    <cellStyle name="40% - 강조색2" xfId="22" builtinId="35" customBuiltin="1"/>
    <cellStyle name="40% - 강조색3" xfId="26" builtinId="39" customBuiltin="1"/>
    <cellStyle name="40% - 강조색4" xfId="30" builtinId="43" customBuiltin="1"/>
    <cellStyle name="40% - 강조색5" xfId="34" builtinId="47" customBuiltin="1"/>
    <cellStyle name="40% - 강조색6" xfId="38" builtinId="51" customBuiltin="1"/>
    <cellStyle name="60% - Accent1" xfId="580"/>
    <cellStyle name="60% - Accent2" xfId="581"/>
    <cellStyle name="60% - Accent3" xfId="582"/>
    <cellStyle name="60% - Accent4" xfId="583"/>
    <cellStyle name="60% - Accent5" xfId="584"/>
    <cellStyle name="60% - Accent6" xfId="585"/>
    <cellStyle name="60% - 강조색1" xfId="19" builtinId="32" customBuiltin="1"/>
    <cellStyle name="60% - 강조색2" xfId="23" builtinId="36" customBuiltin="1"/>
    <cellStyle name="60% - 강조색3" xfId="27" builtinId="40" customBuiltin="1"/>
    <cellStyle name="60% - 강조색4" xfId="31" builtinId="44" customBuiltin="1"/>
    <cellStyle name="60% - 강조색5" xfId="35" builtinId="48" customBuiltin="1"/>
    <cellStyle name="60% - 강조색6" xfId="39" builtinId="52" customBuiltin="1"/>
    <cellStyle name="A???[0]_AoAUAy癳C? " xfId="269"/>
    <cellStyle name="A???97?a?u? " xfId="270"/>
    <cellStyle name="A???97Ae?A? " xfId="271"/>
    <cellStyle name="A???C?Ao_AoAUAy癳C? " xfId="272"/>
    <cellStyle name="A???CASH FLOW " xfId="273"/>
    <cellStyle name="Accent1" xfId="586"/>
    <cellStyle name="Accent2" xfId="587"/>
    <cellStyle name="Accent3" xfId="588"/>
    <cellStyle name="Accent4" xfId="589"/>
    <cellStyle name="Accent5" xfId="590"/>
    <cellStyle name="Accent6" xfId="591"/>
    <cellStyle name="ÅëÈ­ [0]_±âÅ¸" xfId="274"/>
    <cellStyle name="AeE­ [0]_AMT " xfId="275"/>
    <cellStyle name="ÅëÈ­ [0]_laroux" xfId="276"/>
    <cellStyle name="AeE­ [0]_PERSONAL" xfId="277"/>
    <cellStyle name="ÅëÈ­_±âÅ¸" xfId="278"/>
    <cellStyle name="AeE­_AMT " xfId="279"/>
    <cellStyle name="ÅëÈ­_laroux" xfId="280"/>
    <cellStyle name="AeE­_PERSONAL" xfId="281"/>
    <cellStyle name="ALIGNMENT" xfId="282"/>
    <cellStyle name="args.style" xfId="283"/>
    <cellStyle name="ÄÞ¸¶ [0]_±âÅ¸" xfId="284"/>
    <cellStyle name="AÞ¸¶ [0]_AN°y(1.25) " xfId="285"/>
    <cellStyle name="ÄÞ¸¶ [0]_laroux" xfId="286"/>
    <cellStyle name="ÄÞ¸¶_±âÅ¸" xfId="287"/>
    <cellStyle name="AÞ¸¶_AN°y(1.25) " xfId="288"/>
    <cellStyle name="ÄÞ¸¶_laroux" xfId="289"/>
    <cellStyle name="Bad" xfId="592"/>
    <cellStyle name="Blue,Bold,12pt" xfId="290"/>
    <cellStyle name="Blue,Bold,14pt" xfId="291"/>
    <cellStyle name="Bold,10pt" xfId="292"/>
    <cellStyle name="C:\Data\MS\Excel" xfId="293"/>
    <cellStyle name="Ç¥ÁØ_¿ù°£¿ä¾àº¸°í" xfId="294"/>
    <cellStyle name="C￥AØ_≫c¾÷ºIº° AN°e " xfId="295"/>
    <cellStyle name="Ç¥ÁØ_laroux" xfId="296"/>
    <cellStyle name="C￥AØ_PERSONAL" xfId="297"/>
    <cellStyle name="Calc Currency (0)" xfId="298"/>
    <cellStyle name="Calculation" xfId="593"/>
    <cellStyle name="Calculation 2" xfId="644"/>
    <cellStyle name="Calculation 2 2" xfId="675"/>
    <cellStyle name="Calculation 2 2 2" xfId="714"/>
    <cellStyle name="Calculation 2 2 2 2" xfId="828"/>
    <cellStyle name="Calculation 2 2 2 2 2" xfId="1042"/>
    <cellStyle name="Calculation 2 2 2 2 3" xfId="1435"/>
    <cellStyle name="Calculation 2 2 2 2 4" xfId="1203"/>
    <cellStyle name="Calculation 2 2 2 3" xfId="934"/>
    <cellStyle name="Calculation 2 2 2 4" xfId="1344"/>
    <cellStyle name="Calculation 2 2 2 5" xfId="1173"/>
    <cellStyle name="Calculation 2 2 3" xfId="752"/>
    <cellStyle name="Calculation 2 2 3 2" xfId="857"/>
    <cellStyle name="Calculation 2 2 3 2 2" xfId="1071"/>
    <cellStyle name="Calculation 2 2 3 2 3" xfId="1459"/>
    <cellStyle name="Calculation 2 2 3 2 4" xfId="1213"/>
    <cellStyle name="Calculation 2 2 3 3" xfId="970"/>
    <cellStyle name="Calculation 2 2 3 4" xfId="1375"/>
    <cellStyle name="Calculation 2 2 3 5" xfId="1303"/>
    <cellStyle name="Calculation 2 2 4" xfId="793"/>
    <cellStyle name="Calculation 2 2 4 2" xfId="1007"/>
    <cellStyle name="Calculation 2 2 4 3" xfId="1405"/>
    <cellStyle name="Calculation 2 2 4 4" xfId="1294"/>
    <cellStyle name="Calculation 2 2 5" xfId="898"/>
    <cellStyle name="Calculation 2 2 6" xfId="1311"/>
    <cellStyle name="Calculation 2 2 7" xfId="1219"/>
    <cellStyle name="Calculation 2 3" xfId="696"/>
    <cellStyle name="Calculation 2 3 2" xfId="811"/>
    <cellStyle name="Calculation 2 3 2 2" xfId="1025"/>
    <cellStyle name="Calculation 2 3 2 3" xfId="1419"/>
    <cellStyle name="Calculation 2 3 2 4" xfId="1243"/>
    <cellStyle name="Calculation 2 3 3" xfId="916"/>
    <cellStyle name="Calculation 2 3 4" xfId="1327"/>
    <cellStyle name="Calculation 2 3 5" xfId="1168"/>
    <cellStyle name="Calculation 2 4" xfId="734"/>
    <cellStyle name="Calculation 2 4 2" xfId="952"/>
    <cellStyle name="Calculation 2 4 3" xfId="1358"/>
    <cellStyle name="Calculation 2 4 4" xfId="1265"/>
    <cellStyle name="Calculation 2 5" xfId="880"/>
    <cellStyle name="Calculation 2 6" xfId="1287"/>
    <cellStyle name="Calculation 2 7" xfId="1091"/>
    <cellStyle name="Calculation 3" xfId="629"/>
    <cellStyle name="Calculation 3 2" xfId="673"/>
    <cellStyle name="Calculation 3 2 2" xfId="712"/>
    <cellStyle name="Calculation 3 2 2 2" xfId="826"/>
    <cellStyle name="Calculation 3 2 2 2 2" xfId="1040"/>
    <cellStyle name="Calculation 3 2 2 2 3" xfId="1433"/>
    <cellStyle name="Calculation 3 2 2 2 4" xfId="1201"/>
    <cellStyle name="Calculation 3 2 2 3" xfId="932"/>
    <cellStyle name="Calculation 3 2 2 4" xfId="1342"/>
    <cellStyle name="Calculation 3 2 2 5" xfId="1215"/>
    <cellStyle name="Calculation 3 2 3" xfId="750"/>
    <cellStyle name="Calculation 3 2 3 2" xfId="855"/>
    <cellStyle name="Calculation 3 2 3 2 2" xfId="1069"/>
    <cellStyle name="Calculation 3 2 3 2 3" xfId="1457"/>
    <cellStyle name="Calculation 3 2 3 2 4" xfId="1086"/>
    <cellStyle name="Calculation 3 2 3 3" xfId="968"/>
    <cellStyle name="Calculation 3 2 3 4" xfId="1373"/>
    <cellStyle name="Calculation 3 2 3 5" xfId="1182"/>
    <cellStyle name="Calculation 3 2 4" xfId="791"/>
    <cellStyle name="Calculation 3 2 4 2" xfId="1005"/>
    <cellStyle name="Calculation 3 2 4 3" xfId="1403"/>
    <cellStyle name="Calculation 3 2 4 4" xfId="1246"/>
    <cellStyle name="Calculation 3 2 5" xfId="896"/>
    <cellStyle name="Calculation 3 2 6" xfId="1309"/>
    <cellStyle name="Calculation 3 2 7" xfId="1217"/>
    <cellStyle name="Calculation 3 3" xfId="687"/>
    <cellStyle name="Calculation 3 3 2" xfId="802"/>
    <cellStyle name="Calculation 3 3 2 2" xfId="1016"/>
    <cellStyle name="Calculation 3 3 2 3" xfId="1412"/>
    <cellStyle name="Calculation 3 3 2 4" xfId="1269"/>
    <cellStyle name="Calculation 3 3 3" xfId="907"/>
    <cellStyle name="Calculation 3 3 4" xfId="1319"/>
    <cellStyle name="Calculation 3 3 5" xfId="1228"/>
    <cellStyle name="Calculation 3 4" xfId="725"/>
    <cellStyle name="Calculation 3 4 2" xfId="837"/>
    <cellStyle name="Calculation 3 4 2 2" xfId="1051"/>
    <cellStyle name="Calculation 3 4 2 3" xfId="1442"/>
    <cellStyle name="Calculation 3 4 2 4" xfId="1209"/>
    <cellStyle name="Calculation 3 4 3" xfId="943"/>
    <cellStyle name="Calculation 3 4 4" xfId="1351"/>
    <cellStyle name="Calculation 3 4 5" xfId="1175"/>
    <cellStyle name="Calculation 3 5" xfId="774"/>
    <cellStyle name="Calculation 3 5 2" xfId="988"/>
    <cellStyle name="Calculation 3 5 3" xfId="1388"/>
    <cellStyle name="Calculation 3 5 4" xfId="1306"/>
    <cellStyle name="Calculation 3 6" xfId="871"/>
    <cellStyle name="Calculation 3 7" xfId="1275"/>
    <cellStyle name="Calculation 3 8" xfId="1162"/>
    <cellStyle name="Calculation 4" xfId="769"/>
    <cellStyle name="Calculation 4 2" xfId="983"/>
    <cellStyle name="Calculation 4 3" xfId="1260"/>
    <cellStyle name="Calculation 5" xfId="865"/>
    <cellStyle name="Calculation 6" xfId="1161"/>
    <cellStyle name="category" xfId="299"/>
    <cellStyle name="Check Cell" xfId="594"/>
    <cellStyle name="Column Heading" xfId="300"/>
    <cellStyle name="Column Heading 2" xfId="301"/>
    <cellStyle name="Column Heading 2 2" xfId="761"/>
    <cellStyle name="Column Heading 3" xfId="760"/>
    <cellStyle name="columns_array" xfId="302"/>
    <cellStyle name="Comma" xfId="303"/>
    <cellStyle name="Comma [#]" xfId="304"/>
    <cellStyle name="Comma [0]" xfId="305"/>
    <cellStyle name="comma zerodec" xfId="306"/>
    <cellStyle name="comma zerodec 2" xfId="307"/>
    <cellStyle name="Comma_ SG&amp;A Bridge " xfId="75"/>
    <cellStyle name="Comma0" xfId="308"/>
    <cellStyle name="Copied" xfId="309"/>
    <cellStyle name="Curren?_x0012_퐀_x0017_?" xfId="310"/>
    <cellStyle name="Currency" xfId="311"/>
    <cellStyle name="Currency [0]_ SG&amp;A Bridge " xfId="76"/>
    <cellStyle name="Currency 2" xfId="312"/>
    <cellStyle name="Currency 3" xfId="313"/>
    <cellStyle name="Currency 4" xfId="314"/>
    <cellStyle name="Currency 5" xfId="616"/>
    <cellStyle name="Currency 6" xfId="684"/>
    <cellStyle name="Currency 7" xfId="722"/>
    <cellStyle name="currency-$" xfId="315"/>
    <cellStyle name="currency-$ 2" xfId="316"/>
    <cellStyle name="currency-$ 2 2" xfId="763"/>
    <cellStyle name="currency-$ 2 2 2" xfId="978"/>
    <cellStyle name="currency-$ 2 2 3" xfId="1383"/>
    <cellStyle name="currency-$ 2 2 4" xfId="1097"/>
    <cellStyle name="currency-$ 3" xfId="762"/>
    <cellStyle name="currency-$ 3 2" xfId="977"/>
    <cellStyle name="currency-$ 3 3" xfId="1382"/>
    <cellStyle name="currency-$ 3 4" xfId="1122"/>
    <cellStyle name="Currency_ SG&amp;A Bridge " xfId="77"/>
    <cellStyle name="Currency1" xfId="317"/>
    <cellStyle name="Currency1 2" xfId="318"/>
    <cellStyle name="custom" xfId="319"/>
    <cellStyle name="Date" xfId="320"/>
    <cellStyle name="Date 2" xfId="321"/>
    <cellStyle name="Dezimal [0]_Compiling Utility Macros" xfId="595"/>
    <cellStyle name="Dezimal_Compiling Utility Macros" xfId="596"/>
    <cellStyle name="discount" xfId="322"/>
    <cellStyle name="Dollar (zero dec)" xfId="323"/>
    <cellStyle name="Dollar (zero dec) 2" xfId="324"/>
    <cellStyle name="Entered" xfId="325"/>
    <cellStyle name="Explanatory Text" xfId="597"/>
    <cellStyle name="F2" xfId="326"/>
    <cellStyle name="F3" xfId="327"/>
    <cellStyle name="F4" xfId="328"/>
    <cellStyle name="F5" xfId="329"/>
    <cellStyle name="F6" xfId="330"/>
    <cellStyle name="F7" xfId="331"/>
    <cellStyle name="F8" xfId="332"/>
    <cellStyle name="Fixed" xfId="333"/>
    <cellStyle name="ƒp[ƒZƒ“ƒg_pldt" xfId="334"/>
    <cellStyle name="Good" xfId="598"/>
    <cellStyle name="Grey" xfId="78"/>
    <cellStyle name="HEADER" xfId="335"/>
    <cellStyle name="Header 1" xfId="336"/>
    <cellStyle name="Header 2" xfId="337"/>
    <cellStyle name="Header Center" xfId="338"/>
    <cellStyle name="Header1" xfId="339"/>
    <cellStyle name="Header1 2" xfId="764"/>
    <cellStyle name="Header1 2 2" xfId="979"/>
    <cellStyle name="Header1 2 3" xfId="1185"/>
    <cellStyle name="Header1 3" xfId="864"/>
    <cellStyle name="Header2" xfId="340"/>
    <cellStyle name="Header2 2" xfId="645"/>
    <cellStyle name="Header2 2 2" xfId="676"/>
    <cellStyle name="Header2 2 2 2" xfId="715"/>
    <cellStyle name="Header2 2 2 2 2" xfId="829"/>
    <cellStyle name="Header2 2 2 2 2 2" xfId="1043"/>
    <cellStyle name="Header2 2 2 2 2 3" xfId="1204"/>
    <cellStyle name="Header2 2 2 2 3" xfId="935"/>
    <cellStyle name="Header2 2 2 2 4" xfId="1174"/>
    <cellStyle name="Header2 2 2 3" xfId="753"/>
    <cellStyle name="Header2 2 2 3 2" xfId="858"/>
    <cellStyle name="Header2 2 2 3 2 2" xfId="1072"/>
    <cellStyle name="Header2 2 2 3 2 3" xfId="1214"/>
    <cellStyle name="Header2 2 2 3 3" xfId="971"/>
    <cellStyle name="Header2 2 2 3 4" xfId="1224"/>
    <cellStyle name="Header2 2 2 4" xfId="794"/>
    <cellStyle name="Header2 2 2 4 2" xfId="1008"/>
    <cellStyle name="Header2 2 2 4 3" xfId="1189"/>
    <cellStyle name="Header2 2 2 5" xfId="899"/>
    <cellStyle name="Header2 2 2 6" xfId="1147"/>
    <cellStyle name="Header2 2 3" xfId="697"/>
    <cellStyle name="Header2 2 3 2" xfId="812"/>
    <cellStyle name="Header2 2 3 2 2" xfId="1026"/>
    <cellStyle name="Header2 2 3 2 3" xfId="1257"/>
    <cellStyle name="Header2 2 3 3" xfId="917"/>
    <cellStyle name="Header2 2 3 4" xfId="1169"/>
    <cellStyle name="Header2 2 4" xfId="735"/>
    <cellStyle name="Header2 2 4 2" xfId="845"/>
    <cellStyle name="Header2 2 4 2 2" xfId="1059"/>
    <cellStyle name="Header2 2 4 2 3" xfId="1081"/>
    <cellStyle name="Header2 2 4 3" xfId="953"/>
    <cellStyle name="Header2 2 4 4" xfId="1359"/>
    <cellStyle name="Header2 2 4 5" xfId="1266"/>
    <cellStyle name="Header2 2 5" xfId="781"/>
    <cellStyle name="Header2 2 5 2" xfId="995"/>
    <cellStyle name="Header2 2 5 3" xfId="1249"/>
    <cellStyle name="Header2 2 6" xfId="881"/>
    <cellStyle name="Header2 2 7" xfId="1092"/>
    <cellStyle name="Header2 3" xfId="636"/>
    <cellStyle name="Header2 3 2" xfId="693"/>
    <cellStyle name="Header2 3 2 2" xfId="808"/>
    <cellStyle name="Header2 3 2 2 2" xfId="1022"/>
    <cellStyle name="Header2 3 2 2 3" xfId="1220"/>
    <cellStyle name="Header2 3 2 3" xfId="913"/>
    <cellStyle name="Header2 3 2 4" xfId="1158"/>
    <cellStyle name="Header2 3 3" xfId="731"/>
    <cellStyle name="Header2 3 3 2" xfId="843"/>
    <cellStyle name="Header2 3 3 2 2" xfId="1057"/>
    <cellStyle name="Header2 3 3 2 3" xfId="1079"/>
    <cellStyle name="Header2 3 3 3" xfId="949"/>
    <cellStyle name="Header2 3 3 4" xfId="1223"/>
    <cellStyle name="Header2 3 4" xfId="779"/>
    <cellStyle name="Header2 3 4 2" xfId="993"/>
    <cellStyle name="Header2 3 4 3" xfId="1187"/>
    <cellStyle name="Header2 3 5" xfId="877"/>
    <cellStyle name="Header2 3 6" xfId="1331"/>
    <cellStyle name="Header2 4" xfId="630"/>
    <cellStyle name="Header2 4 2" xfId="688"/>
    <cellStyle name="Header2 4 2 2" xfId="803"/>
    <cellStyle name="Header2 4 2 2 2" xfId="1017"/>
    <cellStyle name="Header2 4 2 2 3" xfId="1253"/>
    <cellStyle name="Header2 4 2 3" xfId="908"/>
    <cellStyle name="Header2 4 2 4" xfId="1320"/>
    <cellStyle name="Header2 4 2 5" xfId="1153"/>
    <cellStyle name="Header2 4 3" xfId="726"/>
    <cellStyle name="Header2 4 3 2" xfId="838"/>
    <cellStyle name="Header2 4 3 2 2" xfId="1052"/>
    <cellStyle name="Header2 4 3 2 3" xfId="1078"/>
    <cellStyle name="Header2 4 3 3" xfId="944"/>
    <cellStyle name="Header2 4 3 4" xfId="1176"/>
    <cellStyle name="Header2 4 4" xfId="872"/>
    <cellStyle name="Header2 4 5" xfId="1138"/>
    <cellStyle name="Header2 5" xfId="683"/>
    <cellStyle name="Header2 5 2" xfId="800"/>
    <cellStyle name="Header2 5 2 2" xfId="1014"/>
    <cellStyle name="Header2 5 2 3" xfId="1250"/>
    <cellStyle name="Header2 5 3" xfId="905"/>
    <cellStyle name="Header2 5 4" xfId="1317"/>
    <cellStyle name="Header2 5 5" xfId="1280"/>
    <cellStyle name="Header2 6" xfId="721"/>
    <cellStyle name="Header2 6 2" xfId="835"/>
    <cellStyle name="Header2 6 2 2" xfId="1049"/>
    <cellStyle name="Header2 6 2 3" xfId="1085"/>
    <cellStyle name="Header2 6 3" xfId="941"/>
    <cellStyle name="Header2 6 4" xfId="1111"/>
    <cellStyle name="Header2 7" xfId="765"/>
    <cellStyle name="Header2 7 2" xfId="980"/>
    <cellStyle name="Header2 7 3" xfId="1285"/>
    <cellStyle name="Heading 1" xfId="599"/>
    <cellStyle name="Heading 2" xfId="600"/>
    <cellStyle name="Heading 3" xfId="601"/>
    <cellStyle name="Heading 3 2" xfId="1261"/>
    <cellStyle name="Heading 4" xfId="602"/>
    <cellStyle name="Heading1" xfId="341"/>
    <cellStyle name="Heading1 2" xfId="342"/>
    <cellStyle name="Heading2" xfId="343"/>
    <cellStyle name="Heading2 2" xfId="344"/>
    <cellStyle name="HEADINGS" xfId="345"/>
    <cellStyle name="HEADINGS 2" xfId="1159"/>
    <cellStyle name="HEADINGSTOP" xfId="346"/>
    <cellStyle name="HP Logo" xfId="347"/>
    <cellStyle name="Hyperlink_NEGS" xfId="348"/>
    <cellStyle name="Input" xfId="603"/>
    <cellStyle name="Input [yellow]" xfId="79"/>
    <cellStyle name="Input [yellow] 2" xfId="638"/>
    <cellStyle name="Input [yellow] 2 2" xfId="666"/>
    <cellStyle name="Input [yellow] 2 2 2" xfId="709"/>
    <cellStyle name="Input [yellow] 2 2 2 2" xfId="823"/>
    <cellStyle name="Input [yellow] 2 2 2 2 2" xfId="1037"/>
    <cellStyle name="Input [yellow] 2 2 2 2 3" xfId="1430"/>
    <cellStyle name="Input [yellow] 2 2 2 2 4" xfId="1198"/>
    <cellStyle name="Input [yellow] 2 2 2 3" xfId="929"/>
    <cellStyle name="Input [yellow] 2 2 2 4" xfId="1339"/>
    <cellStyle name="Input [yellow] 2 2 2 5" xfId="1083"/>
    <cellStyle name="Input [yellow] 2 2 3" xfId="747"/>
    <cellStyle name="Input [yellow] 2 2 3 2" xfId="852"/>
    <cellStyle name="Input [yellow] 2 2 3 2 2" xfId="1066"/>
    <cellStyle name="Input [yellow] 2 2 3 2 3" xfId="1454"/>
    <cellStyle name="Input [yellow] 2 2 3 2 4" xfId="1082"/>
    <cellStyle name="Input [yellow] 2 2 3 3" xfId="965"/>
    <cellStyle name="Input [yellow] 2 2 3 4" xfId="1259"/>
    <cellStyle name="Input [yellow] 2 2 4" xfId="788"/>
    <cellStyle name="Input [yellow] 2 2 4 2" xfId="1002"/>
    <cellStyle name="Input [yellow] 2 2 4 3" xfId="1400"/>
    <cellStyle name="Input [yellow] 2 2 4 4" xfId="1264"/>
    <cellStyle name="Input [yellow] 2 2 5" xfId="893"/>
    <cellStyle name="Input [yellow] 2 2 6" xfId="1123"/>
    <cellStyle name="Input [yellow] 2 3" xfId="694"/>
    <cellStyle name="Input [yellow] 2 3 2" xfId="809"/>
    <cellStyle name="Input [yellow] 2 3 2 2" xfId="1023"/>
    <cellStyle name="Input [yellow] 2 3 2 3" xfId="1417"/>
    <cellStyle name="Input [yellow] 2 3 2 4" xfId="1231"/>
    <cellStyle name="Input [yellow] 2 3 3" xfId="914"/>
    <cellStyle name="Input [yellow] 2 3 4" xfId="1325"/>
    <cellStyle name="Input [yellow] 2 3 5" xfId="1240"/>
    <cellStyle name="Input [yellow] 2 4" xfId="732"/>
    <cellStyle name="Input [yellow] 2 4 2" xfId="844"/>
    <cellStyle name="Input [yellow] 2 4 2 2" xfId="1058"/>
    <cellStyle name="Input [yellow] 2 4 2 3" xfId="1447"/>
    <cellStyle name="Input [yellow] 2 4 2 4" xfId="1080"/>
    <cellStyle name="Input [yellow] 2 4 3" xfId="950"/>
    <cellStyle name="Input [yellow] 2 4 4" xfId="1356"/>
    <cellStyle name="Input [yellow] 2 4 5" xfId="1247"/>
    <cellStyle name="Input [yellow] 2 5" xfId="780"/>
    <cellStyle name="Input [yellow] 2 5 2" xfId="994"/>
    <cellStyle name="Input [yellow] 2 5 3" xfId="1393"/>
    <cellStyle name="Input [yellow] 2 5 4" xfId="1225"/>
    <cellStyle name="Input [yellow] 2 6" xfId="878"/>
    <cellStyle name="Input [yellow] 2 7" xfId="1387"/>
    <cellStyle name="Input [yellow] 3" xfId="640"/>
    <cellStyle name="Input [yellow] 3 2" xfId="695"/>
    <cellStyle name="Input [yellow] 3 2 2" xfId="810"/>
    <cellStyle name="Input [yellow] 3 2 2 2" xfId="1024"/>
    <cellStyle name="Input [yellow] 3 2 2 3" xfId="1418"/>
    <cellStyle name="Input [yellow] 3 2 2 4" xfId="1254"/>
    <cellStyle name="Input [yellow] 3 2 3" xfId="915"/>
    <cellStyle name="Input [yellow] 3 2 4" xfId="1326"/>
    <cellStyle name="Input [yellow] 3 2 5" xfId="1167"/>
    <cellStyle name="Input [yellow] 3 3" xfId="733"/>
    <cellStyle name="Input [yellow] 3 3 2" xfId="951"/>
    <cellStyle name="Input [yellow] 3 3 3" xfId="1357"/>
    <cellStyle name="Input [yellow] 3 3 4" xfId="1234"/>
    <cellStyle name="Input [yellow] 3 4" xfId="879"/>
    <cellStyle name="Input [yellow] 3 5" xfId="1283"/>
    <cellStyle name="Input [yellow] 3 6" xfId="1166"/>
    <cellStyle name="Input [yellow] 4" xfId="624"/>
    <cellStyle name="Input [yellow] 4 2" xfId="686"/>
    <cellStyle name="Input [yellow] 4 2 2" xfId="801"/>
    <cellStyle name="Input [yellow] 4 2 2 2" xfId="1015"/>
    <cellStyle name="Input [yellow] 4 2 2 3" xfId="1411"/>
    <cellStyle name="Input [yellow] 4 2 2 4" xfId="1237"/>
    <cellStyle name="Input [yellow] 4 2 3" xfId="906"/>
    <cellStyle name="Input [yellow] 4 2 4" xfId="1318"/>
    <cellStyle name="Input [yellow] 4 2 5" xfId="1218"/>
    <cellStyle name="Input [yellow] 4 3" xfId="724"/>
    <cellStyle name="Input [yellow] 4 3 2" xfId="836"/>
    <cellStyle name="Input [yellow] 4 3 2 2" xfId="1050"/>
    <cellStyle name="Input [yellow] 4 3 2 3" xfId="1441"/>
    <cellStyle name="Input [yellow] 4 3 2 4" xfId="1208"/>
    <cellStyle name="Input [yellow] 4 3 3" xfId="942"/>
    <cellStyle name="Input [yellow] 4 3 4" xfId="1350"/>
    <cellStyle name="Input [yellow] 4 3 5" xfId="1112"/>
    <cellStyle name="Input [yellow] 4 4" xfId="870"/>
    <cellStyle name="Input [yellow] 4 5" xfId="1270"/>
    <cellStyle name="Input [yellow] 4 6" xfId="1384"/>
    <cellStyle name="Input 10" xfId="1137"/>
    <cellStyle name="Input 11" xfId="1466"/>
    <cellStyle name="Input 2" xfId="646"/>
    <cellStyle name="Input 2 2" xfId="677"/>
    <cellStyle name="Input 2 2 2" xfId="716"/>
    <cellStyle name="Input 2 2 2 2" xfId="830"/>
    <cellStyle name="Input 2 2 2 2 2" xfId="1044"/>
    <cellStyle name="Input 2 2 2 2 3" xfId="1436"/>
    <cellStyle name="Input 2 2 2 2 4" xfId="1087"/>
    <cellStyle name="Input 2 2 2 3" xfId="936"/>
    <cellStyle name="Input 2 2 2 4" xfId="1345"/>
    <cellStyle name="Input 2 2 2 5" xfId="1115"/>
    <cellStyle name="Input 2 2 3" xfId="754"/>
    <cellStyle name="Input 2 2 3 2" xfId="859"/>
    <cellStyle name="Input 2 2 3 2 2" xfId="1073"/>
    <cellStyle name="Input 2 2 3 2 3" xfId="1460"/>
    <cellStyle name="Input 2 2 3 2 4" xfId="1286"/>
    <cellStyle name="Input 2 2 3 3" xfId="972"/>
    <cellStyle name="Input 2 2 3 4" xfId="1376"/>
    <cellStyle name="Input 2 2 3 5" xfId="1248"/>
    <cellStyle name="Input 2 2 4" xfId="795"/>
    <cellStyle name="Input 2 2 4 2" xfId="1009"/>
    <cellStyle name="Input 2 2 4 3" xfId="1406"/>
    <cellStyle name="Input 2 2 4 4" xfId="1190"/>
    <cellStyle name="Input 2 2 5" xfId="900"/>
    <cellStyle name="Input 2 2 6" xfId="1312"/>
    <cellStyle name="Input 2 2 7" xfId="1148"/>
    <cellStyle name="Input 2 3" xfId="698"/>
    <cellStyle name="Input 2 3 2" xfId="813"/>
    <cellStyle name="Input 2 3 2 2" xfId="1027"/>
    <cellStyle name="Input 2 3 2 3" xfId="1420"/>
    <cellStyle name="Input 2 3 2 4" xfId="1116"/>
    <cellStyle name="Input 2 3 3" xfId="918"/>
    <cellStyle name="Input 2 3 4" xfId="1328"/>
    <cellStyle name="Input 2 3 5" xfId="1124"/>
    <cellStyle name="Input 2 4" xfId="736"/>
    <cellStyle name="Input 2 4 2" xfId="954"/>
    <cellStyle name="Input 2 4 3" xfId="1360"/>
    <cellStyle name="Input 2 4 4" xfId="1381"/>
    <cellStyle name="Input 2 5" xfId="882"/>
    <cellStyle name="Input 2 6" xfId="1288"/>
    <cellStyle name="Input 2 7" xfId="1093"/>
    <cellStyle name="Input 3" xfId="651"/>
    <cellStyle name="Input 3 2" xfId="668"/>
    <cellStyle name="Input 3 2 2" xfId="710"/>
    <cellStyle name="Input 3 2 2 2" xfId="824"/>
    <cellStyle name="Input 3 2 2 2 2" xfId="1038"/>
    <cellStyle name="Input 3 2 2 2 3" xfId="1431"/>
    <cellStyle name="Input 3 2 2 2 4" xfId="1199"/>
    <cellStyle name="Input 3 2 2 3" xfId="930"/>
    <cellStyle name="Input 3 2 2 4" xfId="1340"/>
    <cellStyle name="Input 3 2 2 5" xfId="1170"/>
    <cellStyle name="Input 3 2 3" xfId="748"/>
    <cellStyle name="Input 3 2 3 2" xfId="853"/>
    <cellStyle name="Input 3 2 3 2 2" xfId="1067"/>
    <cellStyle name="Input 3 2 3 2 3" xfId="1455"/>
    <cellStyle name="Input 3 2 3 2 4" xfId="1210"/>
    <cellStyle name="Input 3 2 3 3" xfId="966"/>
    <cellStyle name="Input 3 2 3 4" xfId="1371"/>
    <cellStyle name="Input 3 2 3 5" xfId="1120"/>
    <cellStyle name="Input 3 2 4" xfId="789"/>
    <cellStyle name="Input 3 2 4 2" xfId="1003"/>
    <cellStyle name="Input 3 2 4 3" xfId="1401"/>
    <cellStyle name="Input 3 2 4 4" xfId="1103"/>
    <cellStyle name="Input 3 2 5" xfId="894"/>
    <cellStyle name="Input 3 2 6" xfId="1304"/>
    <cellStyle name="Input 3 2 7" xfId="1145"/>
    <cellStyle name="Input 3 3" xfId="702"/>
    <cellStyle name="Input 3 3 2" xfId="816"/>
    <cellStyle name="Input 3 3 2 2" xfId="1030"/>
    <cellStyle name="Input 3 3 2 3" xfId="1423"/>
    <cellStyle name="Input 3 3 2 4" xfId="1192"/>
    <cellStyle name="Input 3 3 3" xfId="922"/>
    <cellStyle name="Input 3 3 4" xfId="1332"/>
    <cellStyle name="Input 3 3 5" xfId="1128"/>
    <cellStyle name="Input 3 4" xfId="740"/>
    <cellStyle name="Input 3 4 2" xfId="958"/>
    <cellStyle name="Input 3 4 3" xfId="1364"/>
    <cellStyle name="Input 3 4 4" xfId="1267"/>
    <cellStyle name="Input 3 5" xfId="886"/>
    <cellStyle name="Input 3 6" xfId="1292"/>
    <cellStyle name="Input 3 7" xfId="1142"/>
    <cellStyle name="Input 4" xfId="631"/>
    <cellStyle name="Input 4 2" xfId="674"/>
    <cellStyle name="Input 4 2 2" xfId="713"/>
    <cellStyle name="Input 4 2 2 2" xfId="827"/>
    <cellStyle name="Input 4 2 2 2 2" xfId="1041"/>
    <cellStyle name="Input 4 2 2 2 3" xfId="1434"/>
    <cellStyle name="Input 4 2 2 2 4" xfId="1202"/>
    <cellStyle name="Input 4 2 2 3" xfId="933"/>
    <cellStyle name="Input 4 2 2 4" xfId="1343"/>
    <cellStyle name="Input 4 2 2 5" xfId="1172"/>
    <cellStyle name="Input 4 2 3" xfId="751"/>
    <cellStyle name="Input 4 2 3 2" xfId="856"/>
    <cellStyle name="Input 4 2 3 2 2" xfId="1070"/>
    <cellStyle name="Input 4 2 3 2 3" xfId="1458"/>
    <cellStyle name="Input 4 2 3 2 4" xfId="1212"/>
    <cellStyle name="Input 4 2 3 3" xfId="969"/>
    <cellStyle name="Input 4 2 3 4" xfId="1374"/>
    <cellStyle name="Input 4 2 3 5" xfId="1183"/>
    <cellStyle name="Input 4 2 4" xfId="792"/>
    <cellStyle name="Input 4 2 4 2" xfId="1006"/>
    <cellStyle name="Input 4 2 4 3" xfId="1404"/>
    <cellStyle name="Input 4 2 4 4" xfId="1233"/>
    <cellStyle name="Input 4 2 5" xfId="897"/>
    <cellStyle name="Input 4 2 6" xfId="1310"/>
    <cellStyle name="Input 4 2 7" xfId="1293"/>
    <cellStyle name="Input 4 3" xfId="689"/>
    <cellStyle name="Input 4 3 2" xfId="804"/>
    <cellStyle name="Input 4 3 2 2" xfId="1018"/>
    <cellStyle name="Input 4 3 2 3" xfId="1413"/>
    <cellStyle name="Input 4 3 2 4" xfId="1110"/>
    <cellStyle name="Input 4 3 3" xfId="909"/>
    <cellStyle name="Input 4 3 4" xfId="1321"/>
    <cellStyle name="Input 4 3 5" xfId="1154"/>
    <cellStyle name="Input 4 4" xfId="727"/>
    <cellStyle name="Input 4 4 2" xfId="839"/>
    <cellStyle name="Input 4 4 2 2" xfId="1053"/>
    <cellStyle name="Input 4 4 2 3" xfId="1443"/>
    <cellStyle name="Input 4 4 2 4" xfId="1104"/>
    <cellStyle name="Input 4 4 3" xfId="945"/>
    <cellStyle name="Input 4 4 4" xfId="1352"/>
    <cellStyle name="Input 4 4 5" xfId="1118"/>
    <cellStyle name="Input 4 5" xfId="775"/>
    <cellStyle name="Input 4 5 2" xfId="989"/>
    <cellStyle name="Input 4 5 3" xfId="1389"/>
    <cellStyle name="Input 4 5 4" xfId="1284"/>
    <cellStyle name="Input 4 6" xfId="873"/>
    <cellStyle name="Input 4 7" xfId="1276"/>
    <cellStyle name="Input 4 8" xfId="1163"/>
    <cellStyle name="Input 5" xfId="669"/>
    <cellStyle name="Input 5 2" xfId="711"/>
    <cellStyle name="Input 5 2 2" xfId="825"/>
    <cellStyle name="Input 5 2 2 2" xfId="1039"/>
    <cellStyle name="Input 5 2 2 3" xfId="1432"/>
    <cellStyle name="Input 5 2 2 4" xfId="1200"/>
    <cellStyle name="Input 5 2 3" xfId="931"/>
    <cellStyle name="Input 5 2 4" xfId="1341"/>
    <cellStyle name="Input 5 2 5" xfId="1171"/>
    <cellStyle name="Input 5 3" xfId="749"/>
    <cellStyle name="Input 5 3 2" xfId="854"/>
    <cellStyle name="Input 5 3 2 2" xfId="1068"/>
    <cellStyle name="Input 5 3 2 3" xfId="1456"/>
    <cellStyle name="Input 5 3 2 4" xfId="1211"/>
    <cellStyle name="Input 5 3 3" xfId="967"/>
    <cellStyle name="Input 5 3 4" xfId="1372"/>
    <cellStyle name="Input 5 3 5" xfId="1094"/>
    <cellStyle name="Input 5 4" xfId="790"/>
    <cellStyle name="Input 5 4 2" xfId="1004"/>
    <cellStyle name="Input 5 4 3" xfId="1402"/>
    <cellStyle name="Input 5 4 4" xfId="1222"/>
    <cellStyle name="Input 5 5" xfId="895"/>
    <cellStyle name="Input 5 6" xfId="1305"/>
    <cellStyle name="Input 5 7" xfId="1146"/>
    <cellStyle name="Input 6" xfId="659"/>
    <cellStyle name="Input 6 2" xfId="703"/>
    <cellStyle name="Input 6 2 2" xfId="817"/>
    <cellStyle name="Input 6 2 2 2" xfId="1031"/>
    <cellStyle name="Input 6 2 2 3" xfId="1424"/>
    <cellStyle name="Input 6 2 2 4" xfId="1193"/>
    <cellStyle name="Input 6 2 3" xfId="923"/>
    <cellStyle name="Input 6 2 4" xfId="1333"/>
    <cellStyle name="Input 6 2 5" xfId="1129"/>
    <cellStyle name="Input 6 3" xfId="741"/>
    <cellStyle name="Input 6 3 2" xfId="959"/>
    <cellStyle name="Input 6 3 3" xfId="1365"/>
    <cellStyle name="Input 6 3 4" xfId="1089"/>
    <cellStyle name="Input 6 4" xfId="887"/>
    <cellStyle name="Input 6 5" xfId="1297"/>
    <cellStyle name="Input 6 6" xfId="1268"/>
    <cellStyle name="Input 7" xfId="770"/>
    <cellStyle name="Input 7 2" xfId="984"/>
    <cellStyle name="Input 7 3" xfId="1186"/>
    <cellStyle name="Input 8" xfId="866"/>
    <cellStyle name="Input 9" xfId="1262"/>
    <cellStyle name="Input_IBK보험자회사 가격제안서_v0.91_hw_수정" xfId="349"/>
    <cellStyle name="Linked Cell" xfId="604"/>
    <cellStyle name="Milliers [0]" xfId="350"/>
    <cellStyle name="Milliers_!!!GO" xfId="351"/>
    <cellStyle name="Model" xfId="352"/>
    <cellStyle name="Model 2" xfId="1160"/>
    <cellStyle name="Mon?aire [0]_Arabian Spec" xfId="353"/>
    <cellStyle name="Mon?aire_Arabian Spec" xfId="354"/>
    <cellStyle name="Monétaire [0]" xfId="355"/>
    <cellStyle name="Monétaire_!!!GO" xfId="356"/>
    <cellStyle name="Needs Work" xfId="357"/>
    <cellStyle name="Neutral" xfId="605"/>
    <cellStyle name="no dec" xfId="358"/>
    <cellStyle name="Normal" xfId="359"/>
    <cellStyle name="Normal - Style1" xfId="80"/>
    <cellStyle name="Normal - Style1 2" xfId="360"/>
    <cellStyle name="Normal - Style2" xfId="361"/>
    <cellStyle name="Normal - Style3" xfId="362"/>
    <cellStyle name="Normal - Style4" xfId="363"/>
    <cellStyle name="Normal - Style5" xfId="364"/>
    <cellStyle name="Normal - Style6" xfId="365"/>
    <cellStyle name="Normal - Style7" xfId="366"/>
    <cellStyle name="Normal - Style8" xfId="367"/>
    <cellStyle name="Normal_ SG&amp;A Bridge " xfId="81"/>
    <cellStyle name="Note" xfId="606"/>
    <cellStyle name="Note 2" xfId="647"/>
    <cellStyle name="Note 2 2" xfId="678"/>
    <cellStyle name="Note 2 2 2" xfId="717"/>
    <cellStyle name="Note 2 2 2 2" xfId="831"/>
    <cellStyle name="Note 2 2 2 2 2" xfId="1045"/>
    <cellStyle name="Note 2 2 2 2 3" xfId="1437"/>
    <cellStyle name="Note 2 2 2 2 4" xfId="1205"/>
    <cellStyle name="Note 2 2 2 3" xfId="937"/>
    <cellStyle name="Note 2 2 2 4" xfId="1346"/>
    <cellStyle name="Note 2 2 2 5" xfId="1096"/>
    <cellStyle name="Note 2 2 3" xfId="755"/>
    <cellStyle name="Note 2 2 3 2" xfId="860"/>
    <cellStyle name="Note 2 2 3 2 2" xfId="1074"/>
    <cellStyle name="Note 2 2 3 2 3" xfId="1461"/>
    <cellStyle name="Note 2 2 3 2 4" xfId="1308"/>
    <cellStyle name="Note 2 2 3 3" xfId="973"/>
    <cellStyle name="Note 2 2 3 4" xfId="1377"/>
    <cellStyle name="Note 2 2 3 5" xfId="1235"/>
    <cellStyle name="Note 2 2 4" xfId="796"/>
    <cellStyle name="Note 2 2 4 2" xfId="1010"/>
    <cellStyle name="Note 2 2 4 3" xfId="1407"/>
    <cellStyle name="Note 2 2 4 4" xfId="1227"/>
    <cellStyle name="Note 2 2 5" xfId="901"/>
    <cellStyle name="Note 2 2 6" xfId="1313"/>
    <cellStyle name="Note 2 2 7" xfId="1149"/>
    <cellStyle name="Note 2 3" xfId="699"/>
    <cellStyle name="Note 2 3 2" xfId="814"/>
    <cellStyle name="Note 2 3 2 2" xfId="1028"/>
    <cellStyle name="Note 2 3 2 3" xfId="1421"/>
    <cellStyle name="Note 2 3 2 4" xfId="1121"/>
    <cellStyle name="Note 2 3 3" xfId="919"/>
    <cellStyle name="Note 2 3 4" xfId="1329"/>
    <cellStyle name="Note 2 3 5" xfId="1125"/>
    <cellStyle name="Note 2 4" xfId="737"/>
    <cellStyle name="Note 2 4 2" xfId="955"/>
    <cellStyle name="Note 2 4 3" xfId="1361"/>
    <cellStyle name="Note 2 4 4" xfId="1179"/>
    <cellStyle name="Note 2 5" xfId="883"/>
    <cellStyle name="Note 2 6" xfId="1289"/>
    <cellStyle name="Note 2 7" xfId="1139"/>
    <cellStyle name="Note 3" xfId="632"/>
    <cellStyle name="Note 3 2" xfId="664"/>
    <cellStyle name="Note 3 2 2" xfId="707"/>
    <cellStyle name="Note 3 2 2 2" xfId="821"/>
    <cellStyle name="Note 3 2 2 2 2" xfId="1035"/>
    <cellStyle name="Note 3 2 2 2 3" xfId="1428"/>
    <cellStyle name="Note 3 2 2 2 4" xfId="1196"/>
    <cellStyle name="Note 3 2 2 3" xfId="927"/>
    <cellStyle name="Note 3 2 2 4" xfId="1337"/>
    <cellStyle name="Note 3 2 2 5" xfId="1133"/>
    <cellStyle name="Note 3 2 3" xfId="745"/>
    <cellStyle name="Note 3 2 3 2" xfId="850"/>
    <cellStyle name="Note 3 2 3 2 2" xfId="1064"/>
    <cellStyle name="Note 3 2 3 2 3" xfId="1452"/>
    <cellStyle name="Note 3 2 3 2 4" xfId="1102"/>
    <cellStyle name="Note 3 2 3 3" xfId="963"/>
    <cellStyle name="Note 3 2 3 4" xfId="1369"/>
    <cellStyle name="Note 3 2 3 5" xfId="1117"/>
    <cellStyle name="Note 3 2 4" xfId="786"/>
    <cellStyle name="Note 3 2 4 2" xfId="1000"/>
    <cellStyle name="Note 3 2 4 3" xfId="1398"/>
    <cellStyle name="Note 3 2 4 4" xfId="1244"/>
    <cellStyle name="Note 3 2 5" xfId="891"/>
    <cellStyle name="Note 3 2 6" xfId="1301"/>
    <cellStyle name="Note 3 2 7" xfId="1143"/>
    <cellStyle name="Note 3 3" xfId="690"/>
    <cellStyle name="Note 3 3 2" xfId="805"/>
    <cellStyle name="Note 3 3 2 2" xfId="1019"/>
    <cellStyle name="Note 3 3 2 3" xfId="1414"/>
    <cellStyle name="Note 3 3 2 4" xfId="1229"/>
    <cellStyle name="Note 3 3 3" xfId="910"/>
    <cellStyle name="Note 3 3 4" xfId="1322"/>
    <cellStyle name="Note 3 3 5" xfId="1155"/>
    <cellStyle name="Note 3 4" xfId="728"/>
    <cellStyle name="Note 3 4 2" xfId="840"/>
    <cellStyle name="Note 3 4 2 2" xfId="1054"/>
    <cellStyle name="Note 3 4 2 3" xfId="1444"/>
    <cellStyle name="Note 3 4 2 4" xfId="1105"/>
    <cellStyle name="Note 3 4 3" xfId="946"/>
    <cellStyle name="Note 3 4 4" xfId="1353"/>
    <cellStyle name="Note 3 4 5" xfId="1177"/>
    <cellStyle name="Note 3 5" xfId="776"/>
    <cellStyle name="Note 3 5 2" xfId="990"/>
    <cellStyle name="Note 3 5 3" xfId="1390"/>
    <cellStyle name="Note 3 5 4" xfId="1272"/>
    <cellStyle name="Note 3 6" xfId="874"/>
    <cellStyle name="Note 3 7" xfId="1277"/>
    <cellStyle name="Note 3 8" xfId="1164"/>
    <cellStyle name="Note 4" xfId="660"/>
    <cellStyle name="Note 4 2" xfId="704"/>
    <cellStyle name="Note 4 2 2" xfId="818"/>
    <cellStyle name="Note 4 2 2 2" xfId="1032"/>
    <cellStyle name="Note 4 2 2 3" xfId="1425"/>
    <cellStyle name="Note 4 2 2 4" xfId="1194"/>
    <cellStyle name="Note 4 2 3" xfId="924"/>
    <cellStyle name="Note 4 2 4" xfId="1334"/>
    <cellStyle name="Note 4 2 5" xfId="1130"/>
    <cellStyle name="Note 4 3" xfId="742"/>
    <cellStyle name="Note 4 3 2" xfId="847"/>
    <cellStyle name="Note 4 3 2 2" xfId="1061"/>
    <cellStyle name="Note 4 3 2 3" xfId="1449"/>
    <cellStyle name="Note 4 3 2 4" xfId="1095"/>
    <cellStyle name="Note 4 3 3" xfId="960"/>
    <cellStyle name="Note 4 3 4" xfId="1366"/>
    <cellStyle name="Note 4 3 5" xfId="1088"/>
    <cellStyle name="Note 4 4" xfId="783"/>
    <cellStyle name="Note 4 4 2" xfId="997"/>
    <cellStyle name="Note 4 4 3" xfId="1395"/>
    <cellStyle name="Note 4 4 4" xfId="1281"/>
    <cellStyle name="Note 4 5" xfId="888"/>
    <cellStyle name="Note 4 6" xfId="1298"/>
    <cellStyle name="Note 4 7" xfId="1245"/>
    <cellStyle name="Note 5" xfId="771"/>
    <cellStyle name="Note 5 2" xfId="985"/>
    <cellStyle name="Note 5 3" xfId="1258"/>
    <cellStyle name="Note 6" xfId="867"/>
    <cellStyle name="Note 7" xfId="1467"/>
    <cellStyle name="Notes" xfId="368"/>
    <cellStyle name="number-red" xfId="369"/>
    <cellStyle name="Œ…?æ맖?e [0.00]_laroux" xfId="370"/>
    <cellStyle name="Œ…?æ맖?e_laroux" xfId="371"/>
    <cellStyle name="Œ…‹æØ‚è [0.00]_laroux" xfId="372"/>
    <cellStyle name="Œ…‹æØ‚è_laroux" xfId="373"/>
    <cellStyle name="oft Excel]_x000d__x000a_Comment=The open=/f lines load custom functions into the Paste Function list._x000d__x000a_Maximized=2_x000d__x000a_AutoFormat=" xfId="374"/>
    <cellStyle name="Output" xfId="607"/>
    <cellStyle name="Output 2" xfId="648"/>
    <cellStyle name="Output 2 2" xfId="679"/>
    <cellStyle name="Output 2 2 2" xfId="718"/>
    <cellStyle name="Output 2 2 2 2" xfId="832"/>
    <cellStyle name="Output 2 2 2 2 2" xfId="1046"/>
    <cellStyle name="Output 2 2 2 2 3" xfId="1438"/>
    <cellStyle name="Output 2 2 2 2 4" xfId="1206"/>
    <cellStyle name="Output 2 2 2 3" xfId="938"/>
    <cellStyle name="Output 2 2 2 4" xfId="1347"/>
    <cellStyle name="Output 2 2 2 5" xfId="1099"/>
    <cellStyle name="Output 2 2 3" xfId="756"/>
    <cellStyle name="Output 2 2 3 2" xfId="861"/>
    <cellStyle name="Output 2 2 3 2 2" xfId="1075"/>
    <cellStyle name="Output 2 2 3 2 3" xfId="1462"/>
    <cellStyle name="Output 2 2 3 2 4" xfId="1274"/>
    <cellStyle name="Output 2 2 3 3" xfId="974"/>
    <cellStyle name="Output 2 2 3 4" xfId="1378"/>
    <cellStyle name="Output 2 2 3 5" xfId="1282"/>
    <cellStyle name="Output 2 2 4" xfId="797"/>
    <cellStyle name="Output 2 2 4 2" xfId="1011"/>
    <cellStyle name="Output 2 2 4 3" xfId="1408"/>
    <cellStyle name="Output 2 2 4 4" xfId="1251"/>
    <cellStyle name="Output 2 2 5" xfId="902"/>
    <cellStyle name="Output 2 2 6" xfId="1314"/>
    <cellStyle name="Output 2 2 7" xfId="1150"/>
    <cellStyle name="Output 2 3" xfId="700"/>
    <cellStyle name="Output 2 3 2" xfId="920"/>
    <cellStyle name="Output 2 3 3" xfId="1330"/>
    <cellStyle name="Output 2 3 4" xfId="1126"/>
    <cellStyle name="Output 2 4" xfId="738"/>
    <cellStyle name="Output 2 4 2" xfId="846"/>
    <cellStyle name="Output 2 4 2 2" xfId="1060"/>
    <cellStyle name="Output 2 4 2 3" xfId="1448"/>
    <cellStyle name="Output 2 4 2 4" xfId="1256"/>
    <cellStyle name="Output 2 4 3" xfId="956"/>
    <cellStyle name="Output 2 4 4" xfId="1362"/>
    <cellStyle name="Output 2 4 5" xfId="1084"/>
    <cellStyle name="Output 2 5" xfId="884"/>
    <cellStyle name="Output 2 6" xfId="1290"/>
    <cellStyle name="Output 2 7" xfId="1140"/>
    <cellStyle name="Output 3" xfId="633"/>
    <cellStyle name="Output 3 2" xfId="665"/>
    <cellStyle name="Output 3 2 2" xfId="708"/>
    <cellStyle name="Output 3 2 2 2" xfId="822"/>
    <cellStyle name="Output 3 2 2 2 2" xfId="1036"/>
    <cellStyle name="Output 3 2 2 2 3" xfId="1429"/>
    <cellStyle name="Output 3 2 2 2 4" xfId="1197"/>
    <cellStyle name="Output 3 2 2 3" xfId="928"/>
    <cellStyle name="Output 3 2 2 4" xfId="1338"/>
    <cellStyle name="Output 3 2 2 5" xfId="1134"/>
    <cellStyle name="Output 3 2 3" xfId="746"/>
    <cellStyle name="Output 3 2 3 2" xfId="851"/>
    <cellStyle name="Output 3 2 3 2 2" xfId="1065"/>
    <cellStyle name="Output 3 2 3 2 3" xfId="1453"/>
    <cellStyle name="Output 3 2 3 2 4" xfId="1106"/>
    <cellStyle name="Output 3 2 3 3" xfId="964"/>
    <cellStyle name="Output 3 2 3 4" xfId="1370"/>
    <cellStyle name="Output 3 2 3 5" xfId="1114"/>
    <cellStyle name="Output 3 2 4" xfId="787"/>
    <cellStyle name="Output 3 2 4 2" xfId="1001"/>
    <cellStyle name="Output 3 2 4 3" xfId="1399"/>
    <cellStyle name="Output 3 2 4 4" xfId="1232"/>
    <cellStyle name="Output 3 2 5" xfId="892"/>
    <cellStyle name="Output 3 2 6" xfId="1302"/>
    <cellStyle name="Output 3 2 7" xfId="1144"/>
    <cellStyle name="Output 3 3" xfId="691"/>
    <cellStyle name="Output 3 3 2" xfId="806"/>
    <cellStyle name="Output 3 3 2 2" xfId="1020"/>
    <cellStyle name="Output 3 3 2 3" xfId="1415"/>
    <cellStyle name="Output 3 3 2 4" xfId="1252"/>
    <cellStyle name="Output 3 3 3" xfId="911"/>
    <cellStyle name="Output 3 3 4" xfId="1323"/>
    <cellStyle name="Output 3 3 5" xfId="1156"/>
    <cellStyle name="Output 3 4" xfId="729"/>
    <cellStyle name="Output 3 4 2" xfId="841"/>
    <cellStyle name="Output 3 4 2 2" xfId="1055"/>
    <cellStyle name="Output 3 4 2 3" xfId="1445"/>
    <cellStyle name="Output 3 4 2 4" xfId="1109"/>
    <cellStyle name="Output 3 4 3" xfId="947"/>
    <cellStyle name="Output 3 4 4" xfId="1354"/>
    <cellStyle name="Output 3 4 5" xfId="1178"/>
    <cellStyle name="Output 3 5" xfId="777"/>
    <cellStyle name="Output 3 5 2" xfId="991"/>
    <cellStyle name="Output 3 5 3" xfId="1391"/>
    <cellStyle name="Output 3 5 4" xfId="1135"/>
    <cellStyle name="Output 3 6" xfId="875"/>
    <cellStyle name="Output 3 7" xfId="1278"/>
    <cellStyle name="Output 3 8" xfId="1263"/>
    <cellStyle name="Output 4" xfId="661"/>
    <cellStyle name="Output 4 2" xfId="705"/>
    <cellStyle name="Output 4 2 2" xfId="819"/>
    <cellStyle name="Output 4 2 2 2" xfId="1033"/>
    <cellStyle name="Output 4 2 2 3" xfId="1426"/>
    <cellStyle name="Output 4 2 2 4" xfId="1242"/>
    <cellStyle name="Output 4 2 3" xfId="925"/>
    <cellStyle name="Output 4 2 4" xfId="1335"/>
    <cellStyle name="Output 4 2 5" xfId="1131"/>
    <cellStyle name="Output 4 3" xfId="743"/>
    <cellStyle name="Output 4 3 2" xfId="848"/>
    <cellStyle name="Output 4 3 2 2" xfId="1062"/>
    <cellStyle name="Output 4 3 2 3" xfId="1450"/>
    <cellStyle name="Output 4 3 2 4" xfId="1098"/>
    <cellStyle name="Output 4 3 3" xfId="961"/>
    <cellStyle name="Output 4 3 4" xfId="1367"/>
    <cellStyle name="Output 4 3 5" xfId="1180"/>
    <cellStyle name="Output 4 4" xfId="784"/>
    <cellStyle name="Output 4 4 2" xfId="998"/>
    <cellStyle name="Output 4 4 3" xfId="1396"/>
    <cellStyle name="Output 4 4 4" xfId="1188"/>
    <cellStyle name="Output 4 5" xfId="889"/>
    <cellStyle name="Output 4 6" xfId="1299"/>
    <cellStyle name="Output 4 7" xfId="1216"/>
    <cellStyle name="Output 5" xfId="772"/>
    <cellStyle name="Output 5 2" xfId="986"/>
    <cellStyle name="Output 5 3" xfId="1386"/>
    <cellStyle name="Output 5 4" xfId="1255"/>
    <cellStyle name="Output 6" xfId="868"/>
    <cellStyle name="Output 7" xfId="1465"/>
    <cellStyle name="per.style" xfId="375"/>
    <cellStyle name="Percent" xfId="376"/>
    <cellStyle name="Percent [2]" xfId="82"/>
    <cellStyle name="Percent 2" xfId="377"/>
    <cellStyle name="Percent 3" xfId="378"/>
    <cellStyle name="Percent 4" xfId="379"/>
    <cellStyle name="Percent 5" xfId="617"/>
    <cellStyle name="Percent 6" xfId="685"/>
    <cellStyle name="Percent 7" xfId="723"/>
    <cellStyle name="Percent_견적집계표_금융보안연구소OTP" xfId="380"/>
    <cellStyle name="Prices" xfId="381"/>
    <cellStyle name="QDF" xfId="382"/>
    <cellStyle name="Red,Bold,12pt" xfId="383"/>
    <cellStyle name="regstoresfromspecstores" xfId="384"/>
    <cellStyle name="RevList" xfId="385"/>
    <cellStyle name="s]_x000d__x000a_spooler=yes_x000d__x000a_load=_x000d__x000a_run=d:\secrets2\plugin\plugin.exe_x000d__x000a_Beep=yes_x000d__x000a_NullPort=None_x000d__x000a_BorderWidth=3_x000d__x000a_CursorBlinkRate=530_x000d_" xfId="386"/>
    <cellStyle name="shade" xfId="387"/>
    <cellStyle name="SHADEDSTORES" xfId="388"/>
    <cellStyle name="SHADEDSTORES 2" xfId="766"/>
    <cellStyle name="SHADEDSTORES 2 2" xfId="981"/>
    <cellStyle name="SHADEDSTORES 2 3" xfId="1307"/>
    <cellStyle name="Shadow" xfId="389"/>
    <cellStyle name="Shadow 2" xfId="767"/>
    <cellStyle name="Shadow 2 2" xfId="982"/>
    <cellStyle name="Shadow 2 3" xfId="1385"/>
    <cellStyle name="Shadow 2 4" xfId="1273"/>
    <cellStyle name="specstores" xfId="390"/>
    <cellStyle name="STANDARD" xfId="391"/>
    <cellStyle name="Style 1" xfId="392"/>
    <cellStyle name="subhead" xfId="393"/>
    <cellStyle name="Subtotal" xfId="394"/>
    <cellStyle name="taples Plaza" xfId="395"/>
    <cellStyle name="Title" xfId="608"/>
    <cellStyle name="Total" xfId="396"/>
    <cellStyle name="Total 2" xfId="397"/>
    <cellStyle name="Total 2 2" xfId="680"/>
    <cellStyle name="Total 2 2 2" xfId="719"/>
    <cellStyle name="Total 2 2 2 2" xfId="833"/>
    <cellStyle name="Total 2 2 2 2 2" xfId="1047"/>
    <cellStyle name="Total 2 2 2 2 3" xfId="1439"/>
    <cellStyle name="Total 2 2 2 2 4" xfId="1207"/>
    <cellStyle name="Total 2 2 2 3" xfId="939"/>
    <cellStyle name="Total 2 2 2 4" xfId="1348"/>
    <cellStyle name="Total 2 2 2 5" xfId="1108"/>
    <cellStyle name="Total 2 2 3" xfId="757"/>
    <cellStyle name="Total 2 2 3 2" xfId="862"/>
    <cellStyle name="Total 2 2 3 2 2" xfId="1076"/>
    <cellStyle name="Total 2 2 3 2 3" xfId="1463"/>
    <cellStyle name="Total 2 2 3 2 4" xfId="1296"/>
    <cellStyle name="Total 2 2 3 3" xfId="975"/>
    <cellStyle name="Total 2 2 3 4" xfId="1379"/>
    <cellStyle name="Total 2 2 3 5" xfId="1184"/>
    <cellStyle name="Total 2 2 4" xfId="798"/>
    <cellStyle name="Total 2 2 4 2" xfId="1012"/>
    <cellStyle name="Total 2 2 4 3" xfId="1409"/>
    <cellStyle name="Total 2 2 4 4" xfId="1238"/>
    <cellStyle name="Total 2 2 5" xfId="903"/>
    <cellStyle name="Total 2 2 6" xfId="1315"/>
    <cellStyle name="Total 2 2 7" xfId="1151"/>
    <cellStyle name="Total 2 3" xfId="649"/>
    <cellStyle name="Total 2 3 2" xfId="782"/>
    <cellStyle name="Total 2 3 2 2" xfId="996"/>
    <cellStyle name="Total 2 3 2 3" xfId="1394"/>
    <cellStyle name="Total 2 3 2 4" xfId="1236"/>
    <cellStyle name="Total 2 3 3" xfId="885"/>
    <cellStyle name="Total 2 3 4" xfId="1291"/>
    <cellStyle name="Total 2 3 5" xfId="1141"/>
    <cellStyle name="Total 2 4" xfId="701"/>
    <cellStyle name="Total 2 4 2" xfId="815"/>
    <cellStyle name="Total 2 4 2 2" xfId="1029"/>
    <cellStyle name="Total 2 4 2 3" xfId="1422"/>
    <cellStyle name="Total 2 4 2 4" xfId="1191"/>
    <cellStyle name="Total 2 4 3" xfId="921"/>
    <cellStyle name="Total 2 4 4" xfId="1127"/>
    <cellStyle name="Total 2 5" xfId="739"/>
    <cellStyle name="Total 2 5 2" xfId="957"/>
    <cellStyle name="Total 2 5 3" xfId="1363"/>
    <cellStyle name="Total 2 5 4" xfId="1119"/>
    <cellStyle name="Total 3" xfId="634"/>
    <cellStyle name="Total 3 2" xfId="681"/>
    <cellStyle name="Total 3 2 2" xfId="720"/>
    <cellStyle name="Total 3 2 2 2" xfId="834"/>
    <cellStyle name="Total 3 2 2 2 2" xfId="1048"/>
    <cellStyle name="Total 3 2 2 2 3" xfId="1440"/>
    <cellStyle name="Total 3 2 2 2 4" xfId="1090"/>
    <cellStyle name="Total 3 2 2 3" xfId="940"/>
    <cellStyle name="Total 3 2 2 4" xfId="1349"/>
    <cellStyle name="Total 3 2 2 5" xfId="1113"/>
    <cellStyle name="Total 3 2 3" xfId="758"/>
    <cellStyle name="Total 3 2 3 2" xfId="863"/>
    <cellStyle name="Total 3 2 3 2 2" xfId="1077"/>
    <cellStyle name="Total 3 2 3 2 3" xfId="1464"/>
    <cellStyle name="Total 3 2 3 2 4" xfId="1468"/>
    <cellStyle name="Total 3 2 3 3" xfId="976"/>
    <cellStyle name="Total 3 2 3 4" xfId="1380"/>
    <cellStyle name="Total 3 2 3 5" xfId="1271"/>
    <cellStyle name="Total 3 2 4" xfId="799"/>
    <cellStyle name="Total 3 2 4 2" xfId="1013"/>
    <cellStyle name="Total 3 2 4 3" xfId="1410"/>
    <cellStyle name="Total 3 2 4 4" xfId="1226"/>
    <cellStyle name="Total 3 2 5" xfId="904"/>
    <cellStyle name="Total 3 2 6" xfId="1316"/>
    <cellStyle name="Total 3 2 7" xfId="1152"/>
    <cellStyle name="Total 3 3" xfId="692"/>
    <cellStyle name="Total 3 3 2" xfId="807"/>
    <cellStyle name="Total 3 3 2 2" xfId="1021"/>
    <cellStyle name="Total 3 3 2 3" xfId="1416"/>
    <cellStyle name="Total 3 3 2 4" xfId="1241"/>
    <cellStyle name="Total 3 3 3" xfId="912"/>
    <cellStyle name="Total 3 3 4" xfId="1324"/>
    <cellStyle name="Total 3 3 5" xfId="1157"/>
    <cellStyle name="Total 3 4" xfId="730"/>
    <cellStyle name="Total 3 4 2" xfId="842"/>
    <cellStyle name="Total 3 4 2 2" xfId="1056"/>
    <cellStyle name="Total 3 4 2 3" xfId="1446"/>
    <cellStyle name="Total 3 4 2 4" xfId="1107"/>
    <cellStyle name="Total 3 4 3" xfId="948"/>
    <cellStyle name="Total 3 4 4" xfId="1355"/>
    <cellStyle name="Total 3 4 5" xfId="1295"/>
    <cellStyle name="Total 3 5" xfId="778"/>
    <cellStyle name="Total 3 5 2" xfId="992"/>
    <cellStyle name="Total 3 5 3" xfId="1392"/>
    <cellStyle name="Total 3 5 4" xfId="1100"/>
    <cellStyle name="Total 3 6" xfId="876"/>
    <cellStyle name="Total 3 7" xfId="1279"/>
    <cellStyle name="Total 3 8" xfId="1165"/>
    <cellStyle name="Total 4" xfId="662"/>
    <cellStyle name="Total 4 2" xfId="706"/>
    <cellStyle name="Total 4 2 2" xfId="820"/>
    <cellStyle name="Total 4 2 2 2" xfId="1034"/>
    <cellStyle name="Total 4 2 2 3" xfId="1427"/>
    <cellStyle name="Total 4 2 2 4" xfId="1195"/>
    <cellStyle name="Total 4 2 3" xfId="926"/>
    <cellStyle name="Total 4 2 4" xfId="1336"/>
    <cellStyle name="Total 4 2 5" xfId="1132"/>
    <cellStyle name="Total 4 3" xfId="744"/>
    <cellStyle name="Total 4 3 2" xfId="849"/>
    <cellStyle name="Total 4 3 2 2" xfId="1063"/>
    <cellStyle name="Total 4 3 2 3" xfId="1451"/>
    <cellStyle name="Total 4 3 2 4" xfId="1101"/>
    <cellStyle name="Total 4 3 3" xfId="962"/>
    <cellStyle name="Total 4 3 4" xfId="1368"/>
    <cellStyle name="Total 4 3 5" xfId="1181"/>
    <cellStyle name="Total 4 4" xfId="785"/>
    <cellStyle name="Total 4 4 2" xfId="999"/>
    <cellStyle name="Total 4 4 3" xfId="1397"/>
    <cellStyle name="Total 4 4 4" xfId="1221"/>
    <cellStyle name="Total 4 5" xfId="890"/>
    <cellStyle name="Total 4 6" xfId="1300"/>
    <cellStyle name="Total 4 7" xfId="1239"/>
    <cellStyle name="Total 5" xfId="609"/>
    <cellStyle name="Total 5 2" xfId="773"/>
    <cellStyle name="Total 5 2 2" xfId="987"/>
    <cellStyle name="Total 5 2 3" xfId="1230"/>
    <cellStyle name="Total 5 3" xfId="869"/>
    <cellStyle name="Total 5 4" xfId="1136"/>
    <cellStyle name="W?rung [0]_laroux" xfId="398"/>
    <cellStyle name="W?rung_laroux" xfId="399"/>
    <cellStyle name="Währung [0]_Compiling Utility Macros" xfId="610"/>
    <cellStyle name="Währung_Compiling Utility Macros" xfId="611"/>
    <cellStyle name="Warning Text" xfId="612"/>
    <cellStyle name="강조색1" xfId="16" builtinId="29" customBuiltin="1"/>
    <cellStyle name="강조색2" xfId="20" builtinId="33" customBuiltin="1"/>
    <cellStyle name="강조색3" xfId="24" builtinId="37" customBuiltin="1"/>
    <cellStyle name="강조색4" xfId="28" builtinId="41" customBuiltin="1"/>
    <cellStyle name="강조색5" xfId="32" builtinId="45" customBuiltin="1"/>
    <cellStyle name="강조색6" xfId="36" builtinId="49" customBuiltin="1"/>
    <cellStyle name="경고문" xfId="13" builtinId="11" customBuiltin="1"/>
    <cellStyle name="계산" xfId="10" builtinId="22" customBuiltin="1"/>
    <cellStyle name="고정소숫점" xfId="400"/>
    <cellStyle name="고정출력1" xfId="401"/>
    <cellStyle name="고정출력2" xfId="402"/>
    <cellStyle name="咬訌裝?INCOM1" xfId="93"/>
    <cellStyle name="咬訌裝?INCOM10" xfId="94"/>
    <cellStyle name="咬訌裝?INCOM2" xfId="95"/>
    <cellStyle name="咬訌裝?INCOM3" xfId="96"/>
    <cellStyle name="咬訌裝?INCOM4" xfId="97"/>
    <cellStyle name="咬訌裝?INCOM5" xfId="98"/>
    <cellStyle name="咬訌裝?INCOM6" xfId="99"/>
    <cellStyle name="咬訌裝?INCOM7" xfId="100"/>
    <cellStyle name="咬訌裝?INCOM8" xfId="101"/>
    <cellStyle name="咬訌裝?INCOM9" xfId="102"/>
    <cellStyle name="咬訌裝?PRIB11" xfId="103"/>
    <cellStyle name="나쁨" xfId="6" builtinId="27" customBuiltin="1"/>
    <cellStyle name="날짜" xfId="403"/>
    <cellStyle name="달러" xfId="404"/>
    <cellStyle name="뒤에 오는 하이퍼링크" xfId="405"/>
    <cellStyle name="똿뗦먛귟 [0.00]_laroux" xfId="406"/>
    <cellStyle name="똿뗦먛귟_laroux" xfId="407"/>
    <cellStyle name="메모 10" xfId="63"/>
    <cellStyle name="메모 2" xfId="43"/>
    <cellStyle name="메모 3" xfId="46"/>
    <cellStyle name="메모 4" xfId="55"/>
    <cellStyle name="메모 5" xfId="60"/>
    <cellStyle name="메모 6" xfId="58"/>
    <cellStyle name="메모 7" xfId="62"/>
    <cellStyle name="메모 8" xfId="65"/>
    <cellStyle name="메모 9" xfId="59"/>
    <cellStyle name="믅됞 [0.00]_laroux" xfId="408"/>
    <cellStyle name="믅됞_laroux" xfId="409"/>
    <cellStyle name="백분율" xfId="67" builtinId="5"/>
    <cellStyle name="백분율 2" xfId="410"/>
    <cellStyle name="백분율 2 2" xfId="411"/>
    <cellStyle name="백분율 2 2 2" xfId="655"/>
    <cellStyle name="백분율 2 3" xfId="483"/>
    <cellStyle name="백분율 2 3 2" xfId="529"/>
    <cellStyle name="백분율 2 4" xfId="506"/>
    <cellStyle name="백분율 2 5" xfId="618"/>
    <cellStyle name="백분율 3" xfId="619"/>
    <cellStyle name="백분율 4" xfId="759"/>
    <cellStyle name="백창콤마" xfId="412"/>
    <cellStyle name="보통" xfId="7" builtinId="28" customBuiltin="1"/>
    <cellStyle name="뷭?_BOOKSHIP" xfId="72"/>
    <cellStyle name="常规_OPTION_9910" xfId="620"/>
    <cellStyle name="설명 텍스트" xfId="14" builtinId="53" customBuiltin="1"/>
    <cellStyle name="셀 확인" xfId="12" builtinId="23" customBuiltin="1"/>
    <cellStyle name="소숫점" xfId="413"/>
    <cellStyle name="숫자(R)" xfId="414"/>
    <cellStyle name="쉼표 [0]" xfId="66" builtinId="6"/>
    <cellStyle name="쉼표 [0] 10" xfId="61"/>
    <cellStyle name="쉼표 [0] 11" xfId="563"/>
    <cellStyle name="쉼표 [0] 12" xfId="73"/>
    <cellStyle name="쉼표 [0] 13" xfId="1469"/>
    <cellStyle name="쉼표 [0] 2" xfId="41"/>
    <cellStyle name="쉼표 [0] 2 2" xfId="415"/>
    <cellStyle name="쉼표 [0] 2 2 2" xfId="416"/>
    <cellStyle name="쉼표 [0] 2 2 2 2" xfId="667"/>
    <cellStyle name="쉼표 [0] 2 2 3" xfId="484"/>
    <cellStyle name="쉼표 [0] 2 2 3 2" xfId="530"/>
    <cellStyle name="쉼표 [0] 2 2 4" xfId="507"/>
    <cellStyle name="쉼표 [0] 2 2 5" xfId="639"/>
    <cellStyle name="쉼표 [0] 2 3" xfId="417"/>
    <cellStyle name="쉼표 [0] 2 3 2" xfId="625"/>
    <cellStyle name="쉼표 [0] 2 4" xfId="656"/>
    <cellStyle name="쉼표 [0] 2 5" xfId="564"/>
    <cellStyle name="쉼표 [0] 2 6" xfId="84"/>
    <cellStyle name="쉼표 [0] 3" xfId="44"/>
    <cellStyle name="쉼표 [0] 3 2" xfId="418"/>
    <cellStyle name="쉼표 [0] 3 2 2" xfId="642"/>
    <cellStyle name="쉼표 [0] 3 2 2 2" xfId="671"/>
    <cellStyle name="쉼표 [0] 3 2 3" xfId="627"/>
    <cellStyle name="쉼표 [0] 3 2 4" xfId="657"/>
    <cellStyle name="쉼표 [0] 3 2 5" xfId="566"/>
    <cellStyle name="쉼표 [0] 3 3" xfId="419"/>
    <cellStyle name="쉼표 [0] 3 3 2" xfId="670"/>
    <cellStyle name="쉼표 [0] 3 3 3" xfId="641"/>
    <cellStyle name="쉼표 [0] 3 4" xfId="626"/>
    <cellStyle name="쉼표 [0] 3 5" xfId="104"/>
    <cellStyle name="쉼표 [0] 4" xfId="47"/>
    <cellStyle name="쉼표 [0] 4 2" xfId="420"/>
    <cellStyle name="쉼표 [0] 4 2 2" xfId="485"/>
    <cellStyle name="쉼표 [0] 4 2 2 2" xfId="531"/>
    <cellStyle name="쉼표 [0] 4 2 3" xfId="508"/>
    <cellStyle name="쉼표 [0] 4 2 4" xfId="637"/>
    <cellStyle name="쉼표 [0] 4 3" xfId="421"/>
    <cellStyle name="쉼표 [0] 4 4" xfId="479"/>
    <cellStyle name="쉼표 [0] 4 4 2" xfId="525"/>
    <cellStyle name="쉼표 [0] 4 5" xfId="502"/>
    <cellStyle name="쉼표 [0] 4 6" xfId="615"/>
    <cellStyle name="쉼표 [0] 5" xfId="50"/>
    <cellStyle name="쉼표 [0] 5 2" xfId="482"/>
    <cellStyle name="쉼표 [0] 5 2 2" xfId="528"/>
    <cellStyle name="쉼표 [0] 5 3" xfId="505"/>
    <cellStyle name="쉼표 [0] 5 4" xfId="654"/>
    <cellStyle name="쉼표 [0] 6" xfId="422"/>
    <cellStyle name="쉼표 [0] 6 2" xfId="423"/>
    <cellStyle name="쉼표 [0] 6 2 2" xfId="487"/>
    <cellStyle name="쉼표 [0] 6 2 2 2" xfId="533"/>
    <cellStyle name="쉼표 [0] 6 2 3" xfId="510"/>
    <cellStyle name="쉼표 [0] 6 3" xfId="486"/>
    <cellStyle name="쉼표 [0] 6 3 2" xfId="532"/>
    <cellStyle name="쉼표 [0] 6 4" xfId="509"/>
    <cellStyle name="쉼표 [0] 6 5" xfId="623"/>
    <cellStyle name="쉼표 [0] 7" xfId="57"/>
    <cellStyle name="쉼표 [0] 7 2" xfId="497"/>
    <cellStyle name="쉼표 [0] 7 2 2" xfId="543"/>
    <cellStyle name="쉼표 [0] 7 3" xfId="520"/>
    <cellStyle name="쉼표 [0] 8" xfId="477"/>
    <cellStyle name="쉼표 [0] 8 2" xfId="499"/>
    <cellStyle name="쉼표 [0] 8 2 2" xfId="545"/>
    <cellStyle name="쉼표 [0] 8 3" xfId="522"/>
    <cellStyle name="쉼표 [0] 8 4" xfId="555"/>
    <cellStyle name="쉼표 [0] 9" xfId="64"/>
    <cellStyle name="스타일 1" xfId="74"/>
    <cellStyle name="스타일 1 2" xfId="424"/>
    <cellStyle name="스타일 1 2 2" xfId="425"/>
    <cellStyle name="스타일 1 3" xfId="426"/>
    <cellStyle name="스타일 1 4" xfId="427"/>
    <cellStyle name="스타일 1_★신한은행_견적_20120119" xfId="428"/>
    <cellStyle name="스타일 2" xfId="429"/>
    <cellStyle name="스타일 3" xfId="430"/>
    <cellStyle name="스타일 4" xfId="431"/>
    <cellStyle name="스타일 5" xfId="432"/>
    <cellStyle name="스타일 6" xfId="433"/>
    <cellStyle name="스타일 7" xfId="434"/>
    <cellStyle name="스타일 8" xfId="435"/>
    <cellStyle name="안건회계법인" xfId="436"/>
    <cellStyle name="안건회계법인⁬⸵⼰⸷‰o" xfId="437"/>
    <cellStyle name="연결된 셀" xfId="11" builtinId="24" customBuiltin="1"/>
    <cellStyle name="霓付 [0]_  辆  钦  " xfId="438"/>
    <cellStyle name="霓付_  辆  钦  " xfId="439"/>
    <cellStyle name="吾睇?report-2 " xfId="440"/>
    <cellStyle name="요약" xfId="15" builtinId="25" customBuiltin="1"/>
    <cellStyle name="입력" xfId="8" builtinId="20" customBuiltin="1"/>
    <cellStyle name="자리수" xfId="441"/>
    <cellStyle name="자리수0" xfId="442"/>
    <cellStyle name="제목 1" xfId="1" builtinId="16" customBuiltin="1"/>
    <cellStyle name="제목 10" xfId="51"/>
    <cellStyle name="제목 11" xfId="52"/>
    <cellStyle name="제목 12" xfId="56"/>
    <cellStyle name="제목 13" xfId="54"/>
    <cellStyle name="제목 2" xfId="2" builtinId="17" customBuiltin="1"/>
    <cellStyle name="제목 3" xfId="3" builtinId="18" customBuiltin="1"/>
    <cellStyle name="제목 4" xfId="4" builtinId="19" customBuiltin="1"/>
    <cellStyle name="제목 5" xfId="42"/>
    <cellStyle name="제목 6" xfId="45"/>
    <cellStyle name="제목 7" xfId="48"/>
    <cellStyle name="제목 8" xfId="49"/>
    <cellStyle name="제목 9" xfId="53"/>
    <cellStyle name="좋음" xfId="5" builtinId="26" customBuiltin="1"/>
    <cellStyle name="지정되지 않음" xfId="443"/>
    <cellStyle name="钎霖_  辆  钦  " xfId="444"/>
    <cellStyle name="출력" xfId="9" builtinId="21" customBuiltin="1"/>
    <cellStyle name="콤마 [0]_  RANGE " xfId="445"/>
    <cellStyle name="콤마_  RANGE " xfId="446"/>
    <cellStyle name="통화 [0] 2" xfId="447"/>
    <cellStyle name="통화 [0] 2 2" xfId="643"/>
    <cellStyle name="통화 [0] 2 2 2" xfId="672"/>
    <cellStyle name="통화 [0] 2 3" xfId="628"/>
    <cellStyle name="통화 [0] 2 4" xfId="658"/>
    <cellStyle name="통화 [0] 2 5" xfId="567"/>
    <cellStyle name="통화 [0] 3" xfId="448"/>
    <cellStyle name="통화 [0] 3 2" xfId="488"/>
    <cellStyle name="통화 [0] 3 2 2" xfId="534"/>
    <cellStyle name="통화 [0] 3 3" xfId="511"/>
    <cellStyle name="烹拳 [0]_  辆  钦  " xfId="449"/>
    <cellStyle name="烹拳_  辆  钦  " xfId="450"/>
    <cellStyle name="퍼센트" xfId="451"/>
    <cellStyle name="표준" xfId="0" builtinId="0"/>
    <cellStyle name="표준 10" xfId="474"/>
    <cellStyle name="표준 10 2" xfId="495"/>
    <cellStyle name="표준 10 2 2" xfId="541"/>
    <cellStyle name="표준 10 3" xfId="518"/>
    <cellStyle name="표준 11" xfId="475"/>
    <cellStyle name="표준 11 2" xfId="496"/>
    <cellStyle name="표준 11 2 2" xfId="542"/>
    <cellStyle name="표준 11 3" xfId="519"/>
    <cellStyle name="표준 12" xfId="452"/>
    <cellStyle name="표준 13" xfId="476"/>
    <cellStyle name="표준 13 2" xfId="498"/>
    <cellStyle name="표준 13 2 2" xfId="544"/>
    <cellStyle name="표준 13 3" xfId="521"/>
    <cellStyle name="표준 13 4" xfId="554"/>
    <cellStyle name="표준 14" xfId="68"/>
    <cellStyle name="표준 14 2" xfId="500"/>
    <cellStyle name="표준 14 2 2" xfId="546"/>
    <cellStyle name="표준 14 2 2 2" xfId="557"/>
    <cellStyle name="표준 14 2 2 3" xfId="560"/>
    <cellStyle name="표준 14 3" xfId="523"/>
    <cellStyle name="표준 14 3 2" xfId="558"/>
    <cellStyle name="표준 14 3 3" xfId="561"/>
    <cellStyle name="표준 14 4" xfId="547"/>
    <cellStyle name="표준 14 5" xfId="548"/>
    <cellStyle name="표준 14 6" xfId="550"/>
    <cellStyle name="표준 14 6 2" xfId="552"/>
    <cellStyle name="표준 14 7" xfId="551"/>
    <cellStyle name="표준 14 8" xfId="556"/>
    <cellStyle name="표준 14 9" xfId="559"/>
    <cellStyle name="표준 15" xfId="549"/>
    <cellStyle name="표준 16" xfId="553"/>
    <cellStyle name="표준 17" xfId="69"/>
    <cellStyle name="표준 2" xfId="40"/>
    <cellStyle name="표준 2 2" xfId="85"/>
    <cellStyle name="표준 2 2 2" xfId="105"/>
    <cellStyle name="표준 2 3" xfId="453"/>
    <cellStyle name="표준 2 4" xfId="83"/>
    <cellStyle name="표준 2 7" xfId="1470"/>
    <cellStyle name="표준 2_★신한은행_견적_20120119" xfId="454"/>
    <cellStyle name="표준 3" xfId="106"/>
    <cellStyle name="표준 3 2" xfId="455"/>
    <cellStyle name="표준 3 2 2" xfId="489"/>
    <cellStyle name="표준 3 2 2 2" xfId="535"/>
    <cellStyle name="표준 3 2 3" xfId="512"/>
    <cellStyle name="표준 3 3" xfId="456"/>
    <cellStyle name="표준 3 4" xfId="478"/>
    <cellStyle name="표준 3 4 2" xfId="524"/>
    <cellStyle name="표준 3 5" xfId="501"/>
    <cellStyle name="표준 3 6" xfId="562"/>
    <cellStyle name="표준 3 7" xfId="613"/>
    <cellStyle name="표준 31" xfId="457"/>
    <cellStyle name="표준 4" xfId="107"/>
    <cellStyle name="표준 4 2" xfId="458"/>
    <cellStyle name="표준 4 3" xfId="480"/>
    <cellStyle name="표준 4 3 2" xfId="526"/>
    <cellStyle name="표준 4 4" xfId="503"/>
    <cellStyle name="표준 4 5" xfId="565"/>
    <cellStyle name="표준 45" xfId="459"/>
    <cellStyle name="표준 5" xfId="108"/>
    <cellStyle name="표준 5 2" xfId="460"/>
    <cellStyle name="표준 5 2 2" xfId="490"/>
    <cellStyle name="표준 5 2 2 2" xfId="536"/>
    <cellStyle name="표준 5 2 2 3" xfId="622"/>
    <cellStyle name="표준 5 2 3" xfId="513"/>
    <cellStyle name="표준 5 2 3 2" xfId="650"/>
    <cellStyle name="표준 5 2 4" xfId="682"/>
    <cellStyle name="표준 5 2 5" xfId="621"/>
    <cellStyle name="표준 5 3" xfId="461"/>
    <cellStyle name="표준 5 3 2" xfId="635"/>
    <cellStyle name="표준 5 4" xfId="481"/>
    <cellStyle name="표준 5 4 2" xfId="527"/>
    <cellStyle name="표준 5 4 3" xfId="663"/>
    <cellStyle name="표준 5 5" xfId="504"/>
    <cellStyle name="표준 5 6" xfId="614"/>
    <cellStyle name="표준 6" xfId="462"/>
    <cellStyle name="표준 6 2" xfId="463"/>
    <cellStyle name="표준 6 3" xfId="491"/>
    <cellStyle name="표준 6 3 2" xfId="537"/>
    <cellStyle name="표준 6 4" xfId="514"/>
    <cellStyle name="표준 6 5" xfId="652"/>
    <cellStyle name="표준 7" xfId="464"/>
    <cellStyle name="표준 7 2" xfId="653"/>
    <cellStyle name="표준 8" xfId="465"/>
    <cellStyle name="표준 8 2" xfId="466"/>
    <cellStyle name="표준 8 2 2" xfId="493"/>
    <cellStyle name="표준 8 2 2 2" xfId="539"/>
    <cellStyle name="표준 8 2 3" xfId="516"/>
    <cellStyle name="표준 8 3" xfId="492"/>
    <cellStyle name="표준 8 3 2" xfId="538"/>
    <cellStyle name="표준 8 4" xfId="515"/>
    <cellStyle name="표준 9" xfId="467"/>
    <cellStyle name="표준 9 2" xfId="494"/>
    <cellStyle name="표준 9 2 2" xfId="540"/>
    <cellStyle name="표준 9 3" xfId="517"/>
    <cellStyle name="標準_Akia(F）-8" xfId="468"/>
    <cellStyle name="하이퍼링크 2" xfId="768"/>
    <cellStyle name="합산" xfId="469"/>
    <cellStyle name="货币[0]_汇总 " xfId="470"/>
    <cellStyle name="货币_汇总 " xfId="471"/>
    <cellStyle name="화폐기호" xfId="472"/>
    <cellStyle name="화폐기호0" xfId="473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97155</xdr:colOff>
      <xdr:row>4</xdr:row>
      <xdr:rowOff>268605</xdr:rowOff>
    </xdr:from>
    <xdr:to>
      <xdr:col>14</xdr:col>
      <xdr:colOff>9525</xdr:colOff>
      <xdr:row>5</xdr:row>
      <xdr:rowOff>266700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ED0846B-41C9-CF8E-238B-14B54869F1B0}"/>
            </a:ext>
          </a:extLst>
        </xdr:cNvPr>
        <xdr:cNvSpPr/>
      </xdr:nvSpPr>
      <xdr:spPr>
        <a:xfrm>
          <a:off x="9460230" y="1421130"/>
          <a:ext cx="1560195" cy="274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JYS/Downloads/(&#49324;&#51204;)VRB_&#50577;&#49885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"/>
      <sheetName val="1.상품&amp;솔루션&amp;용역"/>
      <sheetName val="2.자체 및 외주 투입인력"/>
      <sheetName val="3.내부경비"/>
      <sheetName val="5.인건비및간접비테이블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 t="str">
            <v>상무 이상</v>
          </cell>
          <cell r="C3">
            <v>12429800</v>
          </cell>
          <cell r="D3">
            <v>0</v>
          </cell>
        </row>
        <row r="4">
          <cell r="B4" t="str">
            <v>이사</v>
          </cell>
          <cell r="C4">
            <v>10129700</v>
          </cell>
          <cell r="D4">
            <v>0</v>
          </cell>
        </row>
        <row r="5">
          <cell r="B5" t="str">
            <v>부장</v>
          </cell>
          <cell r="C5">
            <v>9680900</v>
          </cell>
          <cell r="D5">
            <v>0</v>
          </cell>
        </row>
        <row r="6">
          <cell r="B6" t="str">
            <v>차장</v>
          </cell>
          <cell r="C6">
            <v>8390600</v>
          </cell>
          <cell r="D6">
            <v>0</v>
          </cell>
        </row>
        <row r="7">
          <cell r="B7" t="str">
            <v>과장</v>
          </cell>
          <cell r="C7">
            <v>6595400</v>
          </cell>
          <cell r="D7">
            <v>0</v>
          </cell>
        </row>
        <row r="8">
          <cell r="B8" t="str">
            <v>대리/주임</v>
          </cell>
          <cell r="C8">
            <v>5641700</v>
          </cell>
          <cell r="D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A42"/>
  <sheetViews>
    <sheetView showGridLines="0" tabSelected="1" zoomScaleNormal="100" workbookViewId="0">
      <selection activeCell="B6" sqref="B6"/>
    </sheetView>
  </sheetViews>
  <sheetFormatPr defaultColWidth="8.6875" defaultRowHeight="16.899999999999999"/>
  <cols>
    <col min="1" max="1" width="10.125" style="1" customWidth="1"/>
    <col min="2" max="2" width="18.625" style="1" customWidth="1"/>
    <col min="3" max="3" width="9.875" style="1" customWidth="1"/>
    <col min="4" max="4" width="7.375" style="1" customWidth="1"/>
    <col min="5" max="5" width="10.625" style="1" customWidth="1"/>
    <col min="6" max="6" width="13.375" style="1" customWidth="1"/>
    <col min="7" max="7" width="10" style="1" customWidth="1"/>
    <col min="8" max="8" width="18.5" style="1" customWidth="1"/>
    <col min="9" max="9" width="2.6875" style="1" customWidth="1"/>
    <col min="10" max="10" width="5.875" style="37" bestFit="1" customWidth="1"/>
    <col min="11" max="11" width="15.6875" style="40" customWidth="1"/>
    <col min="12" max="12" width="1.5" style="1" customWidth="1"/>
    <col min="13" max="13" width="5.875" style="37" bestFit="1" customWidth="1"/>
    <col min="14" max="14" width="14.1875" style="40" customWidth="1"/>
    <col min="15" max="15" width="17.1875" style="1" bestFit="1" customWidth="1"/>
    <col min="16" max="16" width="20.6875" style="1" bestFit="1" customWidth="1"/>
    <col min="17" max="17" width="17" style="1" bestFit="1" customWidth="1"/>
    <col min="18" max="18" width="20.1875" style="1" customWidth="1"/>
    <col min="19" max="19" width="8.6875" style="1"/>
    <col min="20" max="20" width="17" style="1" bestFit="1" customWidth="1"/>
    <col min="21" max="21" width="12.125" style="1" bestFit="1" customWidth="1"/>
    <col min="22" max="22" width="13.625" style="1" bestFit="1" customWidth="1"/>
    <col min="23" max="16384" width="8.6875" style="1"/>
  </cols>
  <sheetData>
    <row r="1" spans="1:16381" ht="25.15" thickBot="1">
      <c r="A1" s="379" t="s">
        <v>272</v>
      </c>
      <c r="B1" s="380"/>
      <c r="C1" s="380"/>
      <c r="D1" s="380"/>
      <c r="E1" s="380"/>
      <c r="F1" s="380"/>
      <c r="G1" s="380"/>
      <c r="H1" s="381"/>
      <c r="I1" s="2"/>
      <c r="J1" s="382" t="s">
        <v>54</v>
      </c>
      <c r="K1" s="383"/>
      <c r="L1" s="2"/>
      <c r="M1" s="382" t="s">
        <v>202</v>
      </c>
      <c r="N1" s="383"/>
    </row>
    <row r="2" spans="1:16381" ht="21.75" customHeight="1" thickBot="1">
      <c r="A2" s="3" t="s">
        <v>55</v>
      </c>
      <c r="B2" s="384" t="s">
        <v>274</v>
      </c>
      <c r="C2" s="385"/>
      <c r="D2" s="386" t="s">
        <v>1</v>
      </c>
      <c r="E2" s="387"/>
      <c r="F2" s="388" t="s">
        <v>275</v>
      </c>
      <c r="G2" s="389"/>
      <c r="H2" s="390"/>
      <c r="I2" s="4"/>
      <c r="J2" s="41" t="s">
        <v>56</v>
      </c>
      <c r="K2" s="42" t="s">
        <v>57</v>
      </c>
      <c r="L2" s="4"/>
      <c r="M2" s="41" t="s">
        <v>56</v>
      </c>
      <c r="N2" s="42" t="s">
        <v>57</v>
      </c>
      <c r="P2" s="230"/>
      <c r="T2" s="242"/>
    </row>
    <row r="3" spans="1:16381" ht="21.75" customHeight="1" thickBot="1">
      <c r="A3" s="132" t="s">
        <v>125</v>
      </c>
      <c r="B3" s="361"/>
      <c r="C3" s="362"/>
      <c r="D3" s="366" t="s">
        <v>124</v>
      </c>
      <c r="E3" s="367"/>
      <c r="F3" s="363">
        <v>5214923748</v>
      </c>
      <c r="G3" s="364"/>
      <c r="H3" s="365"/>
      <c r="I3" s="227"/>
      <c r="J3" s="274">
        <v>1</v>
      </c>
      <c r="K3" s="202">
        <v>5853485840</v>
      </c>
      <c r="L3" s="4"/>
      <c r="M3" s="274">
        <v>1</v>
      </c>
      <c r="N3" s="202">
        <f>K3/1.1</f>
        <v>5321350763.636363</v>
      </c>
      <c r="O3" s="165"/>
      <c r="P3" s="230"/>
      <c r="Q3" s="230"/>
      <c r="R3" s="263"/>
      <c r="V3" s="230"/>
    </row>
    <row r="4" spans="1:16381" ht="21.75" customHeight="1">
      <c r="A4" s="81" t="s">
        <v>2</v>
      </c>
      <c r="B4" s="391" t="s">
        <v>218</v>
      </c>
      <c r="C4" s="392"/>
      <c r="D4" s="133"/>
      <c r="E4" s="99" t="s">
        <v>106</v>
      </c>
      <c r="F4" s="393">
        <f>F3-F5</f>
        <v>469343138</v>
      </c>
      <c r="G4" s="394"/>
      <c r="H4" s="395"/>
      <c r="I4" s="4"/>
      <c r="J4" s="174">
        <v>1</v>
      </c>
      <c r="K4" s="229">
        <f>K$3*J4</f>
        <v>5853485840</v>
      </c>
      <c r="L4" s="4"/>
      <c r="M4" s="201">
        <v>1</v>
      </c>
      <c r="N4" s="39">
        <f t="shared" ref="N4:N30" si="0">$N$3*M4</f>
        <v>5321350763.636363</v>
      </c>
      <c r="P4" s="230"/>
      <c r="Q4" s="230"/>
      <c r="R4" s="230"/>
    </row>
    <row r="5" spans="1:16381" ht="21.75" customHeight="1">
      <c r="A5" s="97" t="s">
        <v>72</v>
      </c>
      <c r="B5" s="142">
        <f>'2.자체 및 외주 투입인력'!D33</f>
        <v>48</v>
      </c>
      <c r="C5" s="112" t="s">
        <v>79</v>
      </c>
      <c r="D5" s="134"/>
      <c r="E5" s="98" t="s">
        <v>119</v>
      </c>
      <c r="F5" s="123">
        <f>'1.상품&amp;솔루션&amp;용역'!G50</f>
        <v>4745580610</v>
      </c>
      <c r="G5" s="121" t="s">
        <v>120</v>
      </c>
      <c r="H5" s="122"/>
      <c r="I5" s="4"/>
      <c r="J5" s="168">
        <v>0.99</v>
      </c>
      <c r="K5" s="169">
        <f t="shared" ref="K5:K30" si="1">K$3*J5</f>
        <v>5794950981.6000004</v>
      </c>
      <c r="L5" s="4"/>
      <c r="M5" s="43">
        <v>0.99</v>
      </c>
      <c r="N5" s="39">
        <f t="shared" si="0"/>
        <v>5268137255.999999</v>
      </c>
      <c r="P5" s="230"/>
      <c r="R5" s="230"/>
    </row>
    <row r="6" spans="1:16381" ht="21.75" customHeight="1" thickBot="1">
      <c r="A6" s="5" t="s">
        <v>58</v>
      </c>
      <c r="B6" s="110"/>
      <c r="C6" s="111" t="s">
        <v>78</v>
      </c>
      <c r="D6" s="396" t="s">
        <v>277</v>
      </c>
      <c r="E6" s="397"/>
      <c r="F6" s="345" t="s">
        <v>121</v>
      </c>
      <c r="G6" s="346"/>
      <c r="H6" s="114">
        <v>0.02</v>
      </c>
      <c r="I6" s="4"/>
      <c r="J6" s="168">
        <v>0.98</v>
      </c>
      <c r="K6" s="170">
        <f>K$3*J6</f>
        <v>5736416123.1999998</v>
      </c>
      <c r="L6" s="4"/>
      <c r="M6" s="43">
        <v>0.98</v>
      </c>
      <c r="N6" s="39">
        <f t="shared" si="0"/>
        <v>5214923748.363636</v>
      </c>
      <c r="O6" s="165"/>
      <c r="P6" s="230"/>
    </row>
    <row r="7" spans="1:16381" ht="19.5" customHeight="1" thickBot="1">
      <c r="A7" s="398"/>
      <c r="B7" s="398"/>
      <c r="C7" s="6"/>
      <c r="D7" s="7"/>
      <c r="E7" s="7"/>
      <c r="F7" s="7"/>
      <c r="G7" s="7"/>
      <c r="H7" s="6" t="s">
        <v>6</v>
      </c>
      <c r="I7" s="4"/>
      <c r="J7" s="168">
        <v>0.97</v>
      </c>
      <c r="K7" s="169">
        <f t="shared" si="1"/>
        <v>5677881264.8000002</v>
      </c>
      <c r="L7" s="4"/>
      <c r="M7" s="43">
        <v>0.97</v>
      </c>
      <c r="N7" s="39">
        <f t="shared" si="0"/>
        <v>5161710240.727272</v>
      </c>
      <c r="O7" s="165"/>
      <c r="P7" s="230"/>
      <c r="R7" s="230"/>
    </row>
    <row r="8" spans="1:16381" ht="21.75" customHeight="1" thickBot="1">
      <c r="A8" s="399" t="s">
        <v>59</v>
      </c>
      <c r="B8" s="400"/>
      <c r="C8" s="401" t="s">
        <v>122</v>
      </c>
      <c r="D8" s="402"/>
      <c r="E8" s="400"/>
      <c r="F8" s="401" t="s">
        <v>60</v>
      </c>
      <c r="G8" s="402"/>
      <c r="H8" s="403"/>
      <c r="I8" s="4"/>
      <c r="J8" s="168">
        <v>0.96</v>
      </c>
      <c r="K8" s="169">
        <f t="shared" si="1"/>
        <v>5619346406.3999996</v>
      </c>
      <c r="L8" s="4"/>
      <c r="M8" s="43">
        <v>0.96</v>
      </c>
      <c r="N8" s="39">
        <f t="shared" si="0"/>
        <v>5108496733.0909081</v>
      </c>
      <c r="O8" s="275"/>
      <c r="P8" s="230"/>
      <c r="R8" s="230"/>
    </row>
    <row r="9" spans="1:16381" ht="21.75" customHeight="1" thickBot="1">
      <c r="A9" s="404" t="s">
        <v>61</v>
      </c>
      <c r="B9" s="405"/>
      <c r="C9" s="406" t="s">
        <v>73</v>
      </c>
      <c r="D9" s="407"/>
      <c r="E9" s="408"/>
      <c r="F9" s="409">
        <f>+'1.상품&amp;솔루션&amp;용역'!G50</f>
        <v>4745580610</v>
      </c>
      <c r="G9" s="410"/>
      <c r="H9" s="411"/>
      <c r="I9" s="4"/>
      <c r="J9" s="168">
        <v>0.95</v>
      </c>
      <c r="K9" s="171">
        <f>K$3*J9</f>
        <v>5560811548</v>
      </c>
      <c r="L9" s="4"/>
      <c r="M9" s="43">
        <v>0.95</v>
      </c>
      <c r="N9" s="39">
        <f t="shared" si="0"/>
        <v>5055283225.454545</v>
      </c>
      <c r="P9" s="230"/>
      <c r="R9" s="230"/>
    </row>
    <row r="10" spans="1:16381" ht="21.75" customHeight="1" thickTop="1">
      <c r="A10" s="412" t="s">
        <v>82</v>
      </c>
      <c r="B10" s="413"/>
      <c r="C10" s="359">
        <f>SUM(C11:D13)</f>
        <v>48</v>
      </c>
      <c r="D10" s="360"/>
      <c r="E10" s="140" t="s">
        <v>149</v>
      </c>
      <c r="F10" s="414">
        <f>SUM(F11:H13)</f>
        <v>401402400</v>
      </c>
      <c r="G10" s="415"/>
      <c r="H10" s="416"/>
      <c r="I10" s="4"/>
      <c r="J10" s="175">
        <v>0.94</v>
      </c>
      <c r="K10" s="176">
        <f t="shared" si="1"/>
        <v>5502276689.5999994</v>
      </c>
      <c r="L10" s="4"/>
      <c r="M10" s="43">
        <v>0.94</v>
      </c>
      <c r="N10" s="39">
        <f t="shared" si="0"/>
        <v>5002069717.818181</v>
      </c>
      <c r="R10" s="230"/>
    </row>
    <row r="11" spans="1:16381" ht="21.75" customHeight="1">
      <c r="A11" s="102" t="s">
        <v>75</v>
      </c>
      <c r="B11" s="100" t="s">
        <v>83</v>
      </c>
      <c r="C11" s="347">
        <f>+'2.자체 및 외주 투입인력'!D12</f>
        <v>48</v>
      </c>
      <c r="D11" s="348"/>
      <c r="E11" s="127" t="s">
        <v>126</v>
      </c>
      <c r="F11" s="417">
        <f>'2.자체 및 외주 투입인력'!F12</f>
        <v>401402400</v>
      </c>
      <c r="G11" s="418"/>
      <c r="H11" s="419"/>
      <c r="I11" s="4"/>
      <c r="J11" s="208">
        <v>0.93</v>
      </c>
      <c r="K11" s="209">
        <f t="shared" si="1"/>
        <v>5443741831.2000008</v>
      </c>
      <c r="L11" s="4"/>
      <c r="M11" s="43">
        <v>0.93</v>
      </c>
      <c r="N11" s="39">
        <f t="shared" si="0"/>
        <v>4948856210.181818</v>
      </c>
      <c r="O11" s="242"/>
      <c r="P11" s="230"/>
      <c r="Q11" s="233"/>
      <c r="R11" s="165"/>
    </row>
    <row r="12" spans="1:16381" ht="21.75" customHeight="1">
      <c r="A12" s="102" t="s">
        <v>75</v>
      </c>
      <c r="B12" s="100" t="s">
        <v>86</v>
      </c>
      <c r="C12" s="347">
        <f>'2.자체 및 외주 투입인력'!D25</f>
        <v>0</v>
      </c>
      <c r="D12" s="348"/>
      <c r="E12" s="127" t="s">
        <v>126</v>
      </c>
      <c r="F12" s="417">
        <f>+'2.자체 및 외주 투입인력'!F25</f>
        <v>0</v>
      </c>
      <c r="G12" s="418"/>
      <c r="H12" s="419"/>
      <c r="I12" s="4"/>
      <c r="J12" s="168">
        <v>0.92</v>
      </c>
      <c r="K12" s="170">
        <f t="shared" si="1"/>
        <v>5385206972.8000002</v>
      </c>
      <c r="L12" s="4"/>
      <c r="M12" s="43">
        <v>0.92</v>
      </c>
      <c r="N12" s="39">
        <f t="shared" si="0"/>
        <v>4895642702.545454</v>
      </c>
      <c r="P12" s="230"/>
      <c r="Q12" s="232"/>
      <c r="R12" s="165"/>
    </row>
    <row r="13" spans="1:16381" ht="21.75" customHeight="1" thickBot="1">
      <c r="A13" s="103" t="s">
        <v>75</v>
      </c>
      <c r="B13" s="101" t="s">
        <v>87</v>
      </c>
      <c r="C13" s="349">
        <f>+'2.자체 및 외주 투입인력'!D31</f>
        <v>0</v>
      </c>
      <c r="D13" s="350"/>
      <c r="E13" s="128" t="s">
        <v>127</v>
      </c>
      <c r="F13" s="354">
        <f>'2.자체 및 외주 투입인력'!F31</f>
        <v>0</v>
      </c>
      <c r="G13" s="355"/>
      <c r="H13" s="356"/>
      <c r="I13" s="4"/>
      <c r="J13" s="174">
        <v>0.9</v>
      </c>
      <c r="K13" s="172">
        <f t="shared" si="1"/>
        <v>5268137256</v>
      </c>
      <c r="L13" s="4"/>
      <c r="M13" s="44">
        <v>0.9</v>
      </c>
      <c r="N13" s="39">
        <f t="shared" si="0"/>
        <v>4789215687.272727</v>
      </c>
    </row>
    <row r="14" spans="1:16381" ht="21.75" customHeight="1" thickTop="1">
      <c r="A14" s="412" t="s">
        <v>88</v>
      </c>
      <c r="B14" s="413"/>
      <c r="C14" s="373" t="s">
        <v>123</v>
      </c>
      <c r="D14" s="374"/>
      <c r="E14" s="375"/>
      <c r="F14" s="376">
        <f>SUM(F15:H16)</f>
        <v>100627107.95859998</v>
      </c>
      <c r="G14" s="377"/>
      <c r="H14" s="378"/>
      <c r="I14" s="4"/>
      <c r="J14" s="45">
        <v>0.88</v>
      </c>
      <c r="K14" s="169">
        <f t="shared" si="1"/>
        <v>5151067539.1999998</v>
      </c>
      <c r="L14" s="4"/>
      <c r="M14" s="45">
        <v>0.88</v>
      </c>
      <c r="N14" s="39">
        <f t="shared" si="0"/>
        <v>4682788671.999999</v>
      </c>
      <c r="R14" s="228"/>
    </row>
    <row r="15" spans="1:16381" ht="21.75" customHeight="1">
      <c r="A15" s="102"/>
      <c r="B15" s="100" t="s">
        <v>89</v>
      </c>
      <c r="C15" s="424" t="s">
        <v>74</v>
      </c>
      <c r="D15" s="425"/>
      <c r="E15" s="426"/>
      <c r="F15" s="417">
        <f>'3.내부경비'!F28:H28</f>
        <v>100627107.95859998</v>
      </c>
      <c r="G15" s="418"/>
      <c r="H15" s="419"/>
      <c r="I15" s="113"/>
      <c r="J15" s="45">
        <v>0.86</v>
      </c>
      <c r="K15" s="169">
        <f t="shared" si="1"/>
        <v>5033997822.3999996</v>
      </c>
      <c r="L15" s="4"/>
      <c r="M15" s="45">
        <v>0.86</v>
      </c>
      <c r="N15" s="39">
        <f t="shared" si="0"/>
        <v>4576361656.727272</v>
      </c>
      <c r="O15" s="117"/>
      <c r="P15" s="118"/>
      <c r="Q15" s="118"/>
      <c r="S15" s="116"/>
      <c r="T15" s="116"/>
      <c r="U15" s="116"/>
      <c r="V15" s="117"/>
      <c r="W15" s="117"/>
      <c r="X15" s="118"/>
      <c r="Y15" s="118"/>
      <c r="Z15" s="118"/>
      <c r="AA15" s="116"/>
      <c r="AB15" s="116"/>
      <c r="AC15" s="116"/>
      <c r="AD15" s="117"/>
      <c r="AE15" s="117"/>
      <c r="AF15" s="118"/>
      <c r="AG15" s="118"/>
      <c r="AH15" s="118"/>
      <c r="AI15" s="116"/>
      <c r="AJ15" s="116"/>
      <c r="AK15" s="116"/>
      <c r="AL15" s="117"/>
      <c r="AM15" s="117"/>
      <c r="AN15" s="118"/>
      <c r="AO15" s="118"/>
      <c r="AP15" s="118"/>
      <c r="AQ15" s="116"/>
      <c r="AR15" s="116"/>
      <c r="AS15" s="116"/>
      <c r="AT15" s="117"/>
      <c r="AU15" s="117"/>
      <c r="AV15" s="118"/>
      <c r="AW15" s="118"/>
      <c r="AX15" s="118"/>
      <c r="AY15" s="116"/>
      <c r="AZ15" s="116"/>
      <c r="BA15" s="116"/>
      <c r="BB15" s="117"/>
      <c r="BC15" s="117"/>
      <c r="BD15" s="118"/>
      <c r="BE15" s="118"/>
      <c r="BF15" s="118"/>
      <c r="BG15" s="116"/>
      <c r="BH15" s="116"/>
      <c r="BI15" s="116"/>
      <c r="BJ15" s="117"/>
      <c r="BK15" s="117"/>
      <c r="BL15" s="118"/>
      <c r="BM15" s="118"/>
      <c r="BN15" s="118"/>
      <c r="BO15" s="116"/>
      <c r="BP15" s="116"/>
      <c r="BQ15" s="116"/>
      <c r="BR15" s="117"/>
      <c r="BS15" s="117"/>
      <c r="BT15" s="118"/>
      <c r="BU15" s="118"/>
      <c r="BV15" s="118"/>
      <c r="BW15" s="116"/>
      <c r="BX15" s="116"/>
      <c r="BY15" s="116"/>
      <c r="BZ15" s="117"/>
      <c r="CA15" s="117"/>
      <c r="CB15" s="118"/>
      <c r="CC15" s="118"/>
      <c r="CD15" s="118"/>
      <c r="CE15" s="116"/>
      <c r="CF15" s="116"/>
      <c r="CG15" s="116"/>
      <c r="CH15" s="117"/>
      <c r="CI15" s="117"/>
      <c r="CJ15" s="118"/>
      <c r="CK15" s="118"/>
      <c r="CL15" s="118"/>
      <c r="CM15" s="116"/>
      <c r="CN15" s="116"/>
      <c r="CO15" s="116"/>
      <c r="CP15" s="117"/>
      <c r="CQ15" s="117"/>
      <c r="CR15" s="118"/>
      <c r="CS15" s="118"/>
      <c r="CT15" s="118"/>
      <c r="CU15" s="116"/>
      <c r="CV15" s="116"/>
      <c r="CW15" s="116"/>
      <c r="CX15" s="117"/>
      <c r="CY15" s="117"/>
      <c r="CZ15" s="118"/>
      <c r="DA15" s="118"/>
      <c r="DB15" s="118"/>
      <c r="DC15" s="116"/>
      <c r="DD15" s="116"/>
      <c r="DE15" s="116"/>
      <c r="DF15" s="117"/>
      <c r="DG15" s="117"/>
      <c r="DH15" s="118"/>
      <c r="DI15" s="118"/>
      <c r="DJ15" s="118"/>
      <c r="DK15" s="116"/>
      <c r="DL15" s="116"/>
      <c r="DM15" s="116"/>
      <c r="DN15" s="117"/>
      <c r="DO15" s="117"/>
      <c r="DP15" s="118"/>
      <c r="DQ15" s="118"/>
      <c r="DR15" s="118"/>
      <c r="DS15" s="116"/>
      <c r="DT15" s="116"/>
      <c r="DU15" s="116"/>
      <c r="DV15" s="117"/>
      <c r="DW15" s="117"/>
      <c r="DX15" s="118"/>
      <c r="DY15" s="118"/>
      <c r="DZ15" s="118"/>
      <c r="EA15" s="116"/>
      <c r="EB15" s="116"/>
      <c r="EC15" s="116"/>
      <c r="ED15" s="117"/>
      <c r="EE15" s="117"/>
      <c r="EF15" s="118"/>
      <c r="EG15" s="118"/>
      <c r="EH15" s="118"/>
      <c r="EI15" s="116"/>
      <c r="EJ15" s="116"/>
      <c r="EK15" s="116"/>
      <c r="EL15" s="117"/>
      <c r="EM15" s="117"/>
      <c r="EN15" s="118"/>
      <c r="EO15" s="118"/>
      <c r="EP15" s="118"/>
      <c r="EQ15" s="116"/>
      <c r="ER15" s="116"/>
      <c r="ES15" s="116"/>
      <c r="ET15" s="117"/>
      <c r="EU15" s="117"/>
      <c r="EV15" s="118"/>
      <c r="EW15" s="118"/>
      <c r="EX15" s="118"/>
      <c r="EY15" s="116"/>
      <c r="EZ15" s="116"/>
      <c r="FA15" s="116"/>
      <c r="FB15" s="117"/>
      <c r="FC15" s="117"/>
      <c r="FD15" s="118"/>
      <c r="FE15" s="118"/>
      <c r="FF15" s="118"/>
      <c r="FG15" s="116"/>
      <c r="FH15" s="116"/>
      <c r="FI15" s="116"/>
      <c r="FJ15" s="117"/>
      <c r="FK15" s="117"/>
      <c r="FL15" s="118"/>
      <c r="FM15" s="118"/>
      <c r="FN15" s="118"/>
      <c r="FO15" s="116"/>
      <c r="FP15" s="116"/>
      <c r="FQ15" s="116"/>
      <c r="FR15" s="117"/>
      <c r="FS15" s="117"/>
      <c r="FT15" s="118"/>
      <c r="FU15" s="118"/>
      <c r="FV15" s="118"/>
      <c r="FW15" s="116"/>
      <c r="FX15" s="116"/>
      <c r="FY15" s="116"/>
      <c r="FZ15" s="117"/>
      <c r="GA15" s="117"/>
      <c r="GB15" s="118"/>
      <c r="GC15" s="118"/>
      <c r="GD15" s="118"/>
      <c r="GE15" s="116"/>
      <c r="GF15" s="116"/>
      <c r="GG15" s="116"/>
      <c r="GH15" s="117"/>
      <c r="GI15" s="117"/>
      <c r="GJ15" s="118"/>
      <c r="GK15" s="118"/>
      <c r="GL15" s="118"/>
      <c r="GM15" s="116"/>
      <c r="GN15" s="116"/>
      <c r="GO15" s="116"/>
      <c r="GP15" s="117"/>
      <c r="GQ15" s="117"/>
      <c r="GR15" s="118"/>
      <c r="GS15" s="118"/>
      <c r="GT15" s="118"/>
      <c r="GU15" s="116"/>
      <c r="GV15" s="116"/>
      <c r="GW15" s="116"/>
      <c r="GX15" s="117"/>
      <c r="GY15" s="117"/>
      <c r="GZ15" s="118"/>
      <c r="HA15" s="118"/>
      <c r="HB15" s="118"/>
      <c r="HC15" s="116"/>
      <c r="HD15" s="116"/>
      <c r="HE15" s="116"/>
      <c r="HF15" s="117"/>
      <c r="HG15" s="117"/>
      <c r="HH15" s="118"/>
      <c r="HI15" s="118"/>
      <c r="HJ15" s="118"/>
      <c r="HK15" s="116"/>
      <c r="HL15" s="116"/>
      <c r="HM15" s="116"/>
      <c r="HN15" s="117"/>
      <c r="HO15" s="117"/>
      <c r="HP15" s="118"/>
      <c r="HQ15" s="118"/>
      <c r="HR15" s="118"/>
      <c r="HS15" s="116"/>
      <c r="HT15" s="116"/>
      <c r="HU15" s="116"/>
      <c r="HV15" s="117"/>
      <c r="HW15" s="117"/>
      <c r="HX15" s="118"/>
      <c r="HY15" s="118"/>
      <c r="HZ15" s="118"/>
      <c r="IA15" s="116"/>
      <c r="IB15" s="116"/>
      <c r="IC15" s="116"/>
      <c r="ID15" s="117"/>
      <c r="IE15" s="117"/>
      <c r="IF15" s="118"/>
      <c r="IG15" s="118"/>
      <c r="IH15" s="118"/>
      <c r="II15" s="116"/>
      <c r="IJ15" s="116"/>
      <c r="IK15" s="116"/>
      <c r="IL15" s="117"/>
      <c r="IM15" s="117"/>
      <c r="IN15" s="118"/>
      <c r="IO15" s="118"/>
      <c r="IP15" s="118"/>
      <c r="IQ15" s="116"/>
      <c r="IR15" s="116"/>
      <c r="IS15" s="116"/>
      <c r="IT15" s="117"/>
      <c r="IU15" s="117"/>
      <c r="IV15" s="118"/>
      <c r="IW15" s="118"/>
      <c r="IX15" s="118"/>
      <c r="IY15" s="116"/>
      <c r="IZ15" s="116"/>
      <c r="JA15" s="116"/>
      <c r="JB15" s="117"/>
      <c r="JC15" s="117"/>
      <c r="JD15" s="118"/>
      <c r="JE15" s="118"/>
      <c r="JF15" s="118"/>
      <c r="JG15" s="116"/>
      <c r="JH15" s="116"/>
      <c r="JI15" s="116"/>
      <c r="JJ15" s="117"/>
      <c r="JK15" s="117"/>
      <c r="JL15" s="118"/>
      <c r="JM15" s="118"/>
      <c r="JN15" s="118"/>
      <c r="JO15" s="116"/>
      <c r="JP15" s="116"/>
      <c r="JQ15" s="116"/>
      <c r="JR15" s="117"/>
      <c r="JS15" s="117"/>
      <c r="JT15" s="118"/>
      <c r="JU15" s="118"/>
      <c r="JV15" s="118"/>
      <c r="JW15" s="116"/>
      <c r="JX15" s="116"/>
      <c r="JY15" s="116"/>
      <c r="JZ15" s="117"/>
      <c r="KA15" s="117"/>
      <c r="KB15" s="118"/>
      <c r="KC15" s="118"/>
      <c r="KD15" s="118"/>
      <c r="KE15" s="116"/>
      <c r="KF15" s="116"/>
      <c r="KG15" s="116"/>
      <c r="KH15" s="117"/>
      <c r="KI15" s="117"/>
      <c r="KJ15" s="118"/>
      <c r="KK15" s="118"/>
      <c r="KL15" s="118"/>
      <c r="KM15" s="116"/>
      <c r="KN15" s="116"/>
      <c r="KO15" s="116"/>
      <c r="KP15" s="117"/>
      <c r="KQ15" s="117"/>
      <c r="KR15" s="118"/>
      <c r="KS15" s="118"/>
      <c r="KT15" s="118"/>
      <c r="KU15" s="116"/>
      <c r="KV15" s="116"/>
      <c r="KW15" s="116"/>
      <c r="KX15" s="117"/>
      <c r="KY15" s="117"/>
      <c r="KZ15" s="118"/>
      <c r="LA15" s="118"/>
      <c r="LB15" s="118"/>
      <c r="LC15" s="116"/>
      <c r="LD15" s="116"/>
      <c r="LE15" s="116"/>
      <c r="LF15" s="117"/>
      <c r="LG15" s="117"/>
      <c r="LH15" s="118"/>
      <c r="LI15" s="118"/>
      <c r="LJ15" s="118"/>
      <c r="LK15" s="116"/>
      <c r="LL15" s="116"/>
      <c r="LM15" s="116"/>
      <c r="LN15" s="117"/>
      <c r="LO15" s="117"/>
      <c r="LP15" s="118"/>
      <c r="LQ15" s="118"/>
      <c r="LR15" s="118"/>
      <c r="LS15" s="116"/>
      <c r="LT15" s="116"/>
      <c r="LU15" s="116"/>
      <c r="LV15" s="117"/>
      <c r="LW15" s="117"/>
      <c r="LX15" s="118"/>
      <c r="LY15" s="118"/>
      <c r="LZ15" s="118"/>
      <c r="MA15" s="116"/>
      <c r="MB15" s="116"/>
      <c r="MC15" s="116"/>
      <c r="MD15" s="117"/>
      <c r="ME15" s="117"/>
      <c r="MF15" s="118"/>
      <c r="MG15" s="118"/>
      <c r="MH15" s="118"/>
      <c r="MI15" s="116"/>
      <c r="MJ15" s="116"/>
      <c r="MK15" s="116"/>
      <c r="ML15" s="117"/>
      <c r="MM15" s="117"/>
      <c r="MN15" s="118"/>
      <c r="MO15" s="118"/>
      <c r="MP15" s="118"/>
      <c r="MQ15" s="116"/>
      <c r="MR15" s="116"/>
      <c r="MS15" s="116"/>
      <c r="MT15" s="117"/>
      <c r="MU15" s="117"/>
      <c r="MV15" s="118"/>
      <c r="MW15" s="118"/>
      <c r="MX15" s="118"/>
      <c r="MY15" s="116"/>
      <c r="MZ15" s="116"/>
      <c r="NA15" s="116"/>
      <c r="NB15" s="117"/>
      <c r="NC15" s="117"/>
      <c r="ND15" s="118"/>
      <c r="NE15" s="118"/>
      <c r="NF15" s="118"/>
      <c r="NG15" s="116"/>
      <c r="NH15" s="116"/>
      <c r="NI15" s="116"/>
      <c r="NJ15" s="117"/>
      <c r="NK15" s="117"/>
      <c r="NL15" s="118"/>
      <c r="NM15" s="118"/>
      <c r="NN15" s="118"/>
      <c r="NO15" s="116"/>
      <c r="NP15" s="116"/>
      <c r="NQ15" s="116"/>
      <c r="NR15" s="117"/>
      <c r="NS15" s="117"/>
      <c r="NT15" s="118"/>
      <c r="NU15" s="118"/>
      <c r="NV15" s="118"/>
      <c r="NW15" s="116"/>
      <c r="NX15" s="116"/>
      <c r="NY15" s="116"/>
      <c r="NZ15" s="117"/>
      <c r="OA15" s="117"/>
      <c r="OB15" s="118"/>
      <c r="OC15" s="118"/>
      <c r="OD15" s="118"/>
      <c r="OE15" s="116"/>
      <c r="OF15" s="116"/>
      <c r="OG15" s="116"/>
      <c r="OH15" s="117"/>
      <c r="OI15" s="117"/>
      <c r="OJ15" s="118"/>
      <c r="OK15" s="118"/>
      <c r="OL15" s="118"/>
      <c r="OM15" s="116"/>
      <c r="ON15" s="116"/>
      <c r="OO15" s="116"/>
      <c r="OP15" s="117"/>
      <c r="OQ15" s="117"/>
      <c r="OR15" s="118"/>
      <c r="OS15" s="118"/>
      <c r="OT15" s="118"/>
      <c r="OU15" s="116"/>
      <c r="OV15" s="116"/>
      <c r="OW15" s="116"/>
      <c r="OX15" s="117"/>
      <c r="OY15" s="117"/>
      <c r="OZ15" s="118"/>
      <c r="PA15" s="118"/>
      <c r="PB15" s="118"/>
      <c r="PC15" s="116"/>
      <c r="PD15" s="116"/>
      <c r="PE15" s="116"/>
      <c r="PF15" s="117"/>
      <c r="PG15" s="117"/>
      <c r="PH15" s="118"/>
      <c r="PI15" s="118"/>
      <c r="PJ15" s="118"/>
      <c r="PK15" s="116"/>
      <c r="PL15" s="116"/>
      <c r="PM15" s="116"/>
      <c r="PN15" s="117"/>
      <c r="PO15" s="117"/>
      <c r="PP15" s="118"/>
      <c r="PQ15" s="118"/>
      <c r="PR15" s="118"/>
      <c r="PS15" s="116"/>
      <c r="PT15" s="116"/>
      <c r="PU15" s="116"/>
      <c r="PV15" s="117"/>
      <c r="PW15" s="117"/>
      <c r="PX15" s="118"/>
      <c r="PY15" s="118"/>
      <c r="PZ15" s="118"/>
      <c r="QA15" s="116"/>
      <c r="QB15" s="116"/>
      <c r="QC15" s="116"/>
      <c r="QD15" s="117"/>
      <c r="QE15" s="117"/>
      <c r="QF15" s="118"/>
      <c r="QG15" s="118"/>
      <c r="QH15" s="118"/>
      <c r="QI15" s="116"/>
      <c r="QJ15" s="116"/>
      <c r="QK15" s="116"/>
      <c r="QL15" s="117"/>
      <c r="QM15" s="117"/>
      <c r="QN15" s="118"/>
      <c r="QO15" s="118"/>
      <c r="QP15" s="118"/>
      <c r="QQ15" s="116"/>
      <c r="QR15" s="116"/>
      <c r="QS15" s="116"/>
      <c r="QT15" s="117"/>
      <c r="QU15" s="117"/>
      <c r="QV15" s="118"/>
      <c r="QW15" s="118"/>
      <c r="QX15" s="118"/>
      <c r="QY15" s="116"/>
      <c r="QZ15" s="116"/>
      <c r="RA15" s="116"/>
      <c r="RB15" s="117"/>
      <c r="RC15" s="117"/>
      <c r="RD15" s="118"/>
      <c r="RE15" s="118"/>
      <c r="RF15" s="118"/>
      <c r="RG15" s="116"/>
      <c r="RH15" s="116"/>
      <c r="RI15" s="116"/>
      <c r="RJ15" s="117"/>
      <c r="RK15" s="117"/>
      <c r="RL15" s="118"/>
      <c r="RM15" s="118"/>
      <c r="RN15" s="118"/>
      <c r="RO15" s="116"/>
      <c r="RP15" s="116"/>
      <c r="RQ15" s="116"/>
      <c r="RR15" s="117"/>
      <c r="RS15" s="117"/>
      <c r="RT15" s="118"/>
      <c r="RU15" s="118"/>
      <c r="RV15" s="118"/>
      <c r="RW15" s="116"/>
      <c r="RX15" s="116"/>
      <c r="RY15" s="116"/>
      <c r="RZ15" s="117"/>
      <c r="SA15" s="117"/>
      <c r="SB15" s="118"/>
      <c r="SC15" s="118"/>
      <c r="SD15" s="118"/>
      <c r="SE15" s="116"/>
      <c r="SF15" s="116"/>
      <c r="SG15" s="116"/>
      <c r="SH15" s="117"/>
      <c r="SI15" s="117"/>
      <c r="SJ15" s="118"/>
      <c r="SK15" s="118"/>
      <c r="SL15" s="118"/>
      <c r="SM15" s="116"/>
      <c r="SN15" s="116"/>
      <c r="SO15" s="116"/>
      <c r="SP15" s="117"/>
      <c r="SQ15" s="117"/>
      <c r="SR15" s="118"/>
      <c r="SS15" s="118"/>
      <c r="ST15" s="118"/>
      <c r="SU15" s="116"/>
      <c r="SV15" s="116"/>
      <c r="SW15" s="116"/>
      <c r="SX15" s="117"/>
      <c r="SY15" s="117"/>
      <c r="SZ15" s="118"/>
      <c r="TA15" s="118"/>
      <c r="TB15" s="118"/>
      <c r="TC15" s="116"/>
      <c r="TD15" s="116"/>
      <c r="TE15" s="116"/>
      <c r="TF15" s="117"/>
      <c r="TG15" s="117"/>
      <c r="TH15" s="118"/>
      <c r="TI15" s="118"/>
      <c r="TJ15" s="118"/>
      <c r="TK15" s="116"/>
      <c r="TL15" s="116"/>
      <c r="TM15" s="116"/>
      <c r="TN15" s="117"/>
      <c r="TO15" s="117"/>
      <c r="TP15" s="118"/>
      <c r="TQ15" s="118"/>
      <c r="TR15" s="118"/>
      <c r="TS15" s="116"/>
      <c r="TT15" s="116"/>
      <c r="TU15" s="116"/>
      <c r="TV15" s="117"/>
      <c r="TW15" s="117"/>
      <c r="TX15" s="118"/>
      <c r="TY15" s="118"/>
      <c r="TZ15" s="118"/>
      <c r="UA15" s="116"/>
      <c r="UB15" s="116"/>
      <c r="UC15" s="116"/>
      <c r="UD15" s="117"/>
      <c r="UE15" s="117"/>
      <c r="UF15" s="118"/>
      <c r="UG15" s="118"/>
      <c r="UH15" s="118"/>
      <c r="UI15" s="116"/>
      <c r="UJ15" s="116"/>
      <c r="UK15" s="116"/>
      <c r="UL15" s="117"/>
      <c r="UM15" s="117"/>
      <c r="UN15" s="118"/>
      <c r="UO15" s="118"/>
      <c r="UP15" s="118"/>
      <c r="UQ15" s="116"/>
      <c r="UR15" s="116"/>
      <c r="US15" s="116"/>
      <c r="UT15" s="117"/>
      <c r="UU15" s="117"/>
      <c r="UV15" s="118"/>
      <c r="UW15" s="118"/>
      <c r="UX15" s="118"/>
      <c r="UY15" s="116"/>
      <c r="UZ15" s="116"/>
      <c r="VA15" s="116"/>
      <c r="VB15" s="117"/>
      <c r="VC15" s="117"/>
      <c r="VD15" s="118"/>
      <c r="VE15" s="118"/>
      <c r="VF15" s="118"/>
      <c r="VG15" s="116"/>
      <c r="VH15" s="116"/>
      <c r="VI15" s="116"/>
      <c r="VJ15" s="117"/>
      <c r="VK15" s="117"/>
      <c r="VL15" s="118"/>
      <c r="VM15" s="118"/>
      <c r="VN15" s="118"/>
      <c r="VO15" s="116"/>
      <c r="VP15" s="116"/>
      <c r="VQ15" s="116"/>
      <c r="VR15" s="117"/>
      <c r="VS15" s="117"/>
      <c r="VT15" s="118"/>
      <c r="VU15" s="118"/>
      <c r="VV15" s="118"/>
      <c r="VW15" s="116"/>
      <c r="VX15" s="116"/>
      <c r="VY15" s="116"/>
      <c r="VZ15" s="117"/>
      <c r="WA15" s="117"/>
      <c r="WB15" s="118"/>
      <c r="WC15" s="118"/>
      <c r="WD15" s="118"/>
      <c r="WE15" s="116"/>
      <c r="WF15" s="116"/>
      <c r="WG15" s="116"/>
      <c r="WH15" s="117"/>
      <c r="WI15" s="117"/>
      <c r="WJ15" s="118"/>
      <c r="WK15" s="118"/>
      <c r="WL15" s="118"/>
      <c r="WM15" s="116"/>
      <c r="WN15" s="116"/>
      <c r="WO15" s="116"/>
      <c r="WP15" s="117"/>
      <c r="WQ15" s="117"/>
      <c r="WR15" s="118"/>
      <c r="WS15" s="118"/>
      <c r="WT15" s="118"/>
      <c r="WU15" s="116"/>
      <c r="WV15" s="116"/>
      <c r="WW15" s="116"/>
      <c r="WX15" s="117"/>
      <c r="WY15" s="117"/>
      <c r="WZ15" s="118"/>
      <c r="XA15" s="118"/>
      <c r="XB15" s="118"/>
      <c r="XC15" s="116"/>
      <c r="XD15" s="116"/>
      <c r="XE15" s="116"/>
      <c r="XF15" s="117"/>
      <c r="XG15" s="117"/>
      <c r="XH15" s="118"/>
      <c r="XI15" s="118"/>
      <c r="XJ15" s="118"/>
      <c r="XK15" s="116"/>
      <c r="XL15" s="116"/>
      <c r="XM15" s="116"/>
      <c r="XN15" s="117"/>
      <c r="XO15" s="117"/>
      <c r="XP15" s="118"/>
      <c r="XQ15" s="118"/>
      <c r="XR15" s="118"/>
      <c r="XS15" s="116"/>
      <c r="XT15" s="116"/>
      <c r="XU15" s="116"/>
      <c r="XV15" s="117"/>
      <c r="XW15" s="117"/>
      <c r="XX15" s="118"/>
      <c r="XY15" s="118"/>
      <c r="XZ15" s="118"/>
      <c r="YA15" s="116"/>
      <c r="YB15" s="116"/>
      <c r="YC15" s="116"/>
      <c r="YD15" s="117"/>
      <c r="YE15" s="117"/>
      <c r="YF15" s="118"/>
      <c r="YG15" s="118"/>
      <c r="YH15" s="118"/>
      <c r="YI15" s="116"/>
      <c r="YJ15" s="116"/>
      <c r="YK15" s="116"/>
      <c r="YL15" s="117"/>
      <c r="YM15" s="117"/>
      <c r="YN15" s="118"/>
      <c r="YO15" s="118"/>
      <c r="YP15" s="118"/>
      <c r="YQ15" s="116"/>
      <c r="YR15" s="116"/>
      <c r="YS15" s="116"/>
      <c r="YT15" s="117"/>
      <c r="YU15" s="117"/>
      <c r="YV15" s="118"/>
      <c r="YW15" s="118"/>
      <c r="YX15" s="118"/>
      <c r="YY15" s="116"/>
      <c r="YZ15" s="116"/>
      <c r="ZA15" s="116"/>
      <c r="ZB15" s="117"/>
      <c r="ZC15" s="117"/>
      <c r="ZD15" s="118"/>
      <c r="ZE15" s="118"/>
      <c r="ZF15" s="118"/>
      <c r="ZG15" s="116"/>
      <c r="ZH15" s="116"/>
      <c r="ZI15" s="116"/>
      <c r="ZJ15" s="117"/>
      <c r="ZK15" s="117"/>
      <c r="ZL15" s="118"/>
      <c r="ZM15" s="118"/>
      <c r="ZN15" s="118"/>
      <c r="ZO15" s="116"/>
      <c r="ZP15" s="116"/>
      <c r="ZQ15" s="116"/>
      <c r="ZR15" s="117"/>
      <c r="ZS15" s="117"/>
      <c r="ZT15" s="118"/>
      <c r="ZU15" s="118"/>
      <c r="ZV15" s="118"/>
      <c r="ZW15" s="116"/>
      <c r="ZX15" s="116"/>
      <c r="ZY15" s="116"/>
      <c r="ZZ15" s="117"/>
      <c r="AAA15" s="117"/>
      <c r="AAB15" s="118"/>
      <c r="AAC15" s="118"/>
      <c r="AAD15" s="118"/>
      <c r="AAE15" s="116"/>
      <c r="AAF15" s="116"/>
      <c r="AAG15" s="116"/>
      <c r="AAH15" s="117"/>
      <c r="AAI15" s="117"/>
      <c r="AAJ15" s="118"/>
      <c r="AAK15" s="118"/>
      <c r="AAL15" s="118"/>
      <c r="AAM15" s="116"/>
      <c r="AAN15" s="116"/>
      <c r="AAO15" s="116"/>
      <c r="AAP15" s="117"/>
      <c r="AAQ15" s="117"/>
      <c r="AAR15" s="118"/>
      <c r="AAS15" s="118"/>
      <c r="AAT15" s="118"/>
      <c r="AAU15" s="116"/>
      <c r="AAV15" s="116"/>
      <c r="AAW15" s="116"/>
      <c r="AAX15" s="117"/>
      <c r="AAY15" s="117"/>
      <c r="AAZ15" s="118"/>
      <c r="ABA15" s="118"/>
      <c r="ABB15" s="118"/>
      <c r="ABC15" s="116"/>
      <c r="ABD15" s="116"/>
      <c r="ABE15" s="116"/>
      <c r="ABF15" s="117"/>
      <c r="ABG15" s="117"/>
      <c r="ABH15" s="118"/>
      <c r="ABI15" s="118"/>
      <c r="ABJ15" s="118"/>
      <c r="ABK15" s="116"/>
      <c r="ABL15" s="116"/>
      <c r="ABM15" s="116"/>
      <c r="ABN15" s="117"/>
      <c r="ABO15" s="117"/>
      <c r="ABP15" s="118"/>
      <c r="ABQ15" s="118"/>
      <c r="ABR15" s="118"/>
      <c r="ABS15" s="116"/>
      <c r="ABT15" s="116"/>
      <c r="ABU15" s="116"/>
      <c r="ABV15" s="117"/>
      <c r="ABW15" s="117"/>
      <c r="ABX15" s="118"/>
      <c r="ABY15" s="118"/>
      <c r="ABZ15" s="118"/>
      <c r="ACA15" s="116"/>
      <c r="ACB15" s="116"/>
      <c r="ACC15" s="116"/>
      <c r="ACD15" s="117"/>
      <c r="ACE15" s="117"/>
      <c r="ACF15" s="118"/>
      <c r="ACG15" s="118"/>
      <c r="ACH15" s="118"/>
      <c r="ACI15" s="116"/>
      <c r="ACJ15" s="116"/>
      <c r="ACK15" s="116"/>
      <c r="ACL15" s="117"/>
      <c r="ACM15" s="117"/>
      <c r="ACN15" s="118"/>
      <c r="ACO15" s="118"/>
      <c r="ACP15" s="118"/>
      <c r="ACQ15" s="116"/>
      <c r="ACR15" s="116"/>
      <c r="ACS15" s="116"/>
      <c r="ACT15" s="117"/>
      <c r="ACU15" s="117"/>
      <c r="ACV15" s="118"/>
      <c r="ACW15" s="118"/>
      <c r="ACX15" s="118"/>
      <c r="ACY15" s="116"/>
      <c r="ACZ15" s="116"/>
      <c r="ADA15" s="116"/>
      <c r="ADB15" s="117"/>
      <c r="ADC15" s="117"/>
      <c r="ADD15" s="118"/>
      <c r="ADE15" s="118"/>
      <c r="ADF15" s="118"/>
      <c r="ADG15" s="116"/>
      <c r="ADH15" s="116"/>
      <c r="ADI15" s="116"/>
      <c r="ADJ15" s="117"/>
      <c r="ADK15" s="117"/>
      <c r="ADL15" s="118"/>
      <c r="ADM15" s="118"/>
      <c r="ADN15" s="118"/>
      <c r="ADO15" s="116"/>
      <c r="ADP15" s="116"/>
      <c r="ADQ15" s="116"/>
      <c r="ADR15" s="117"/>
      <c r="ADS15" s="117"/>
      <c r="ADT15" s="118"/>
      <c r="ADU15" s="118"/>
      <c r="ADV15" s="118"/>
      <c r="ADW15" s="116"/>
      <c r="ADX15" s="116"/>
      <c r="ADY15" s="116"/>
      <c r="ADZ15" s="117"/>
      <c r="AEA15" s="117"/>
      <c r="AEB15" s="118"/>
      <c r="AEC15" s="118"/>
      <c r="AED15" s="118"/>
      <c r="AEE15" s="116"/>
      <c r="AEF15" s="116"/>
      <c r="AEG15" s="116"/>
      <c r="AEH15" s="117"/>
      <c r="AEI15" s="117"/>
      <c r="AEJ15" s="118"/>
      <c r="AEK15" s="118"/>
      <c r="AEL15" s="118"/>
      <c r="AEM15" s="116"/>
      <c r="AEN15" s="116"/>
      <c r="AEO15" s="116"/>
      <c r="AEP15" s="117"/>
      <c r="AEQ15" s="117"/>
      <c r="AER15" s="118"/>
      <c r="AES15" s="118"/>
      <c r="AET15" s="118"/>
      <c r="AEU15" s="116"/>
      <c r="AEV15" s="116"/>
      <c r="AEW15" s="116"/>
      <c r="AEX15" s="117"/>
      <c r="AEY15" s="117"/>
      <c r="AEZ15" s="118"/>
      <c r="AFA15" s="118"/>
      <c r="AFB15" s="118"/>
      <c r="AFC15" s="116"/>
      <c r="AFD15" s="116"/>
      <c r="AFE15" s="116"/>
      <c r="AFF15" s="117"/>
      <c r="AFG15" s="117"/>
      <c r="AFH15" s="118"/>
      <c r="AFI15" s="118"/>
      <c r="AFJ15" s="118"/>
      <c r="AFK15" s="116"/>
      <c r="AFL15" s="116"/>
      <c r="AFM15" s="116"/>
      <c r="AFN15" s="117"/>
      <c r="AFO15" s="117"/>
      <c r="AFP15" s="118"/>
      <c r="AFQ15" s="118"/>
      <c r="AFR15" s="118"/>
      <c r="AFS15" s="116"/>
      <c r="AFT15" s="116"/>
      <c r="AFU15" s="116"/>
      <c r="AFV15" s="117"/>
      <c r="AFW15" s="117"/>
      <c r="AFX15" s="118"/>
      <c r="AFY15" s="118"/>
      <c r="AFZ15" s="118"/>
      <c r="AGA15" s="116"/>
      <c r="AGB15" s="116"/>
      <c r="AGC15" s="116"/>
      <c r="AGD15" s="117"/>
      <c r="AGE15" s="117"/>
      <c r="AGF15" s="118"/>
      <c r="AGG15" s="118"/>
      <c r="AGH15" s="118"/>
      <c r="AGI15" s="116"/>
      <c r="AGJ15" s="116"/>
      <c r="AGK15" s="116"/>
      <c r="AGL15" s="117"/>
      <c r="AGM15" s="117"/>
      <c r="AGN15" s="118"/>
      <c r="AGO15" s="118"/>
      <c r="AGP15" s="118"/>
      <c r="AGQ15" s="116"/>
      <c r="AGR15" s="116"/>
      <c r="AGS15" s="116"/>
      <c r="AGT15" s="117"/>
      <c r="AGU15" s="117"/>
      <c r="AGV15" s="118"/>
      <c r="AGW15" s="118"/>
      <c r="AGX15" s="118"/>
      <c r="AGY15" s="116"/>
      <c r="AGZ15" s="116"/>
      <c r="AHA15" s="116"/>
      <c r="AHB15" s="117"/>
      <c r="AHC15" s="117"/>
      <c r="AHD15" s="118"/>
      <c r="AHE15" s="118"/>
      <c r="AHF15" s="118"/>
      <c r="AHG15" s="116"/>
      <c r="AHH15" s="116"/>
      <c r="AHI15" s="116"/>
      <c r="AHJ15" s="117"/>
      <c r="AHK15" s="117"/>
      <c r="AHL15" s="118"/>
      <c r="AHM15" s="118"/>
      <c r="AHN15" s="118"/>
      <c r="AHO15" s="116"/>
      <c r="AHP15" s="116"/>
      <c r="AHQ15" s="116"/>
      <c r="AHR15" s="117"/>
      <c r="AHS15" s="117"/>
      <c r="AHT15" s="118"/>
      <c r="AHU15" s="118"/>
      <c r="AHV15" s="118"/>
      <c r="AHW15" s="116"/>
      <c r="AHX15" s="116"/>
      <c r="AHY15" s="116"/>
      <c r="AHZ15" s="117"/>
      <c r="AIA15" s="117"/>
      <c r="AIB15" s="118"/>
      <c r="AIC15" s="118"/>
      <c r="AID15" s="118"/>
      <c r="AIE15" s="116"/>
      <c r="AIF15" s="116"/>
      <c r="AIG15" s="116"/>
      <c r="AIH15" s="117"/>
      <c r="AII15" s="117"/>
      <c r="AIJ15" s="118"/>
      <c r="AIK15" s="118"/>
      <c r="AIL15" s="118"/>
      <c r="AIM15" s="116"/>
      <c r="AIN15" s="116"/>
      <c r="AIO15" s="116"/>
      <c r="AIP15" s="117"/>
      <c r="AIQ15" s="117"/>
      <c r="AIR15" s="118"/>
      <c r="AIS15" s="118"/>
      <c r="AIT15" s="118"/>
      <c r="AIU15" s="116"/>
      <c r="AIV15" s="116"/>
      <c r="AIW15" s="116"/>
      <c r="AIX15" s="117"/>
      <c r="AIY15" s="117"/>
      <c r="AIZ15" s="118"/>
      <c r="AJA15" s="118"/>
      <c r="AJB15" s="118"/>
      <c r="AJC15" s="116"/>
      <c r="AJD15" s="116"/>
      <c r="AJE15" s="116"/>
      <c r="AJF15" s="117"/>
      <c r="AJG15" s="117"/>
      <c r="AJH15" s="118"/>
      <c r="AJI15" s="118"/>
      <c r="AJJ15" s="118"/>
      <c r="AJK15" s="116"/>
      <c r="AJL15" s="116"/>
      <c r="AJM15" s="116"/>
      <c r="AJN15" s="117"/>
      <c r="AJO15" s="117"/>
      <c r="AJP15" s="118"/>
      <c r="AJQ15" s="118"/>
      <c r="AJR15" s="118"/>
      <c r="AJS15" s="116"/>
      <c r="AJT15" s="116"/>
      <c r="AJU15" s="116"/>
      <c r="AJV15" s="117"/>
      <c r="AJW15" s="117"/>
      <c r="AJX15" s="118"/>
      <c r="AJY15" s="118"/>
      <c r="AJZ15" s="118"/>
      <c r="AKA15" s="116"/>
      <c r="AKB15" s="116"/>
      <c r="AKC15" s="116"/>
      <c r="AKD15" s="117"/>
      <c r="AKE15" s="117"/>
      <c r="AKF15" s="118"/>
      <c r="AKG15" s="118"/>
      <c r="AKH15" s="118"/>
      <c r="AKI15" s="116"/>
      <c r="AKJ15" s="116"/>
      <c r="AKK15" s="116"/>
      <c r="AKL15" s="117"/>
      <c r="AKM15" s="117"/>
      <c r="AKN15" s="118"/>
      <c r="AKO15" s="118"/>
      <c r="AKP15" s="118"/>
      <c r="AKQ15" s="116"/>
      <c r="AKR15" s="116"/>
      <c r="AKS15" s="116"/>
      <c r="AKT15" s="117"/>
      <c r="AKU15" s="117"/>
      <c r="AKV15" s="118"/>
      <c r="AKW15" s="118"/>
      <c r="AKX15" s="118"/>
      <c r="AKY15" s="116"/>
      <c r="AKZ15" s="116"/>
      <c r="ALA15" s="116"/>
      <c r="ALB15" s="117"/>
      <c r="ALC15" s="117"/>
      <c r="ALD15" s="118"/>
      <c r="ALE15" s="118"/>
      <c r="ALF15" s="118"/>
      <c r="ALG15" s="116"/>
      <c r="ALH15" s="116"/>
      <c r="ALI15" s="116"/>
      <c r="ALJ15" s="117"/>
      <c r="ALK15" s="117"/>
      <c r="ALL15" s="118"/>
      <c r="ALM15" s="118"/>
      <c r="ALN15" s="118"/>
      <c r="ALO15" s="116"/>
      <c r="ALP15" s="116"/>
      <c r="ALQ15" s="116"/>
      <c r="ALR15" s="117"/>
      <c r="ALS15" s="117"/>
      <c r="ALT15" s="118"/>
      <c r="ALU15" s="118"/>
      <c r="ALV15" s="118"/>
      <c r="ALW15" s="116"/>
      <c r="ALX15" s="116"/>
      <c r="ALY15" s="116"/>
      <c r="ALZ15" s="117"/>
      <c r="AMA15" s="117"/>
      <c r="AMB15" s="118"/>
      <c r="AMC15" s="118"/>
      <c r="AMD15" s="118"/>
      <c r="AME15" s="116"/>
      <c r="AMF15" s="116"/>
      <c r="AMG15" s="116"/>
      <c r="AMH15" s="117"/>
      <c r="AMI15" s="117"/>
      <c r="AMJ15" s="118"/>
      <c r="AMK15" s="118"/>
      <c r="AML15" s="118"/>
      <c r="AMM15" s="116"/>
      <c r="AMN15" s="116"/>
      <c r="AMO15" s="116"/>
      <c r="AMP15" s="117"/>
      <c r="AMQ15" s="117"/>
      <c r="AMR15" s="118"/>
      <c r="AMS15" s="118"/>
      <c r="AMT15" s="118"/>
      <c r="AMU15" s="116"/>
      <c r="AMV15" s="116"/>
      <c r="AMW15" s="116"/>
      <c r="AMX15" s="117"/>
      <c r="AMY15" s="117"/>
      <c r="AMZ15" s="118"/>
      <c r="ANA15" s="118"/>
      <c r="ANB15" s="118"/>
      <c r="ANC15" s="116"/>
      <c r="AND15" s="116"/>
      <c r="ANE15" s="116"/>
      <c r="ANF15" s="117"/>
      <c r="ANG15" s="117"/>
      <c r="ANH15" s="118"/>
      <c r="ANI15" s="118"/>
      <c r="ANJ15" s="118"/>
      <c r="ANK15" s="116"/>
      <c r="ANL15" s="116"/>
      <c r="ANM15" s="116"/>
      <c r="ANN15" s="117"/>
      <c r="ANO15" s="117"/>
      <c r="ANP15" s="118"/>
      <c r="ANQ15" s="118"/>
      <c r="ANR15" s="118"/>
      <c r="ANS15" s="116"/>
      <c r="ANT15" s="116"/>
      <c r="ANU15" s="116"/>
      <c r="ANV15" s="117"/>
      <c r="ANW15" s="117"/>
      <c r="ANX15" s="118"/>
      <c r="ANY15" s="118"/>
      <c r="ANZ15" s="118"/>
      <c r="AOA15" s="116"/>
      <c r="AOB15" s="116"/>
      <c r="AOC15" s="116"/>
      <c r="AOD15" s="117"/>
      <c r="AOE15" s="117"/>
      <c r="AOF15" s="118"/>
      <c r="AOG15" s="118"/>
      <c r="AOH15" s="118"/>
      <c r="AOI15" s="116"/>
      <c r="AOJ15" s="116"/>
      <c r="AOK15" s="116"/>
      <c r="AOL15" s="117"/>
      <c r="AOM15" s="117"/>
      <c r="AON15" s="118"/>
      <c r="AOO15" s="118"/>
      <c r="AOP15" s="118"/>
      <c r="AOQ15" s="116"/>
      <c r="AOR15" s="116"/>
      <c r="AOS15" s="116"/>
      <c r="AOT15" s="117"/>
      <c r="AOU15" s="117"/>
      <c r="AOV15" s="118"/>
      <c r="AOW15" s="118"/>
      <c r="AOX15" s="118"/>
      <c r="AOY15" s="116"/>
      <c r="AOZ15" s="116"/>
      <c r="APA15" s="116"/>
      <c r="APB15" s="117"/>
      <c r="APC15" s="117"/>
      <c r="APD15" s="118"/>
      <c r="APE15" s="118"/>
      <c r="APF15" s="118"/>
      <c r="APG15" s="116"/>
      <c r="APH15" s="116"/>
      <c r="API15" s="116"/>
      <c r="APJ15" s="117"/>
      <c r="APK15" s="117"/>
      <c r="APL15" s="118"/>
      <c r="APM15" s="118"/>
      <c r="APN15" s="118"/>
      <c r="APO15" s="116"/>
      <c r="APP15" s="116"/>
      <c r="APQ15" s="116"/>
      <c r="APR15" s="117"/>
      <c r="APS15" s="117"/>
      <c r="APT15" s="118"/>
      <c r="APU15" s="118"/>
      <c r="APV15" s="118"/>
      <c r="APW15" s="116"/>
      <c r="APX15" s="116"/>
      <c r="APY15" s="116"/>
      <c r="APZ15" s="117"/>
      <c r="AQA15" s="117"/>
      <c r="AQB15" s="118"/>
      <c r="AQC15" s="118"/>
      <c r="AQD15" s="118"/>
      <c r="AQE15" s="116"/>
      <c r="AQF15" s="116"/>
      <c r="AQG15" s="116"/>
      <c r="AQH15" s="117"/>
      <c r="AQI15" s="117"/>
      <c r="AQJ15" s="118"/>
      <c r="AQK15" s="118"/>
      <c r="AQL15" s="118"/>
      <c r="AQM15" s="116"/>
      <c r="AQN15" s="116"/>
      <c r="AQO15" s="116"/>
      <c r="AQP15" s="117"/>
      <c r="AQQ15" s="117"/>
      <c r="AQR15" s="118"/>
      <c r="AQS15" s="118"/>
      <c r="AQT15" s="118"/>
      <c r="AQU15" s="116"/>
      <c r="AQV15" s="116"/>
      <c r="AQW15" s="116"/>
      <c r="AQX15" s="117"/>
      <c r="AQY15" s="117"/>
      <c r="AQZ15" s="118"/>
      <c r="ARA15" s="118"/>
      <c r="ARB15" s="118"/>
      <c r="ARC15" s="116"/>
      <c r="ARD15" s="116"/>
      <c r="ARE15" s="116"/>
      <c r="ARF15" s="117"/>
      <c r="ARG15" s="117"/>
      <c r="ARH15" s="118"/>
      <c r="ARI15" s="118"/>
      <c r="ARJ15" s="118"/>
      <c r="ARK15" s="116"/>
      <c r="ARL15" s="116"/>
      <c r="ARM15" s="116"/>
      <c r="ARN15" s="117"/>
      <c r="ARO15" s="117"/>
      <c r="ARP15" s="118"/>
      <c r="ARQ15" s="118"/>
      <c r="ARR15" s="118"/>
      <c r="ARS15" s="116"/>
      <c r="ART15" s="116"/>
      <c r="ARU15" s="116"/>
      <c r="ARV15" s="117"/>
      <c r="ARW15" s="117"/>
      <c r="ARX15" s="118"/>
      <c r="ARY15" s="118"/>
      <c r="ARZ15" s="118"/>
      <c r="ASA15" s="116"/>
      <c r="ASB15" s="116"/>
      <c r="ASC15" s="116"/>
      <c r="ASD15" s="117"/>
      <c r="ASE15" s="117"/>
      <c r="ASF15" s="118"/>
      <c r="ASG15" s="118"/>
      <c r="ASH15" s="118"/>
      <c r="ASI15" s="116"/>
      <c r="ASJ15" s="116"/>
      <c r="ASK15" s="116"/>
      <c r="ASL15" s="117"/>
      <c r="ASM15" s="117"/>
      <c r="ASN15" s="118"/>
      <c r="ASO15" s="118"/>
      <c r="ASP15" s="118"/>
      <c r="ASQ15" s="116"/>
      <c r="ASR15" s="116"/>
      <c r="ASS15" s="116"/>
      <c r="AST15" s="117"/>
      <c r="ASU15" s="117"/>
      <c r="ASV15" s="118"/>
      <c r="ASW15" s="118"/>
      <c r="ASX15" s="118"/>
      <c r="ASY15" s="116"/>
      <c r="ASZ15" s="116"/>
      <c r="ATA15" s="116"/>
      <c r="ATB15" s="117"/>
      <c r="ATC15" s="117"/>
      <c r="ATD15" s="118"/>
      <c r="ATE15" s="118"/>
      <c r="ATF15" s="118"/>
      <c r="ATG15" s="116"/>
      <c r="ATH15" s="116"/>
      <c r="ATI15" s="116"/>
      <c r="ATJ15" s="117"/>
      <c r="ATK15" s="117"/>
      <c r="ATL15" s="118"/>
      <c r="ATM15" s="118"/>
      <c r="ATN15" s="118"/>
      <c r="ATO15" s="116"/>
      <c r="ATP15" s="116"/>
      <c r="ATQ15" s="116"/>
      <c r="ATR15" s="117"/>
      <c r="ATS15" s="117"/>
      <c r="ATT15" s="118"/>
      <c r="ATU15" s="118"/>
      <c r="ATV15" s="118"/>
      <c r="ATW15" s="116"/>
      <c r="ATX15" s="116"/>
      <c r="ATY15" s="116"/>
      <c r="ATZ15" s="117"/>
      <c r="AUA15" s="117"/>
      <c r="AUB15" s="118"/>
      <c r="AUC15" s="118"/>
      <c r="AUD15" s="118"/>
      <c r="AUE15" s="116"/>
      <c r="AUF15" s="116"/>
      <c r="AUG15" s="116"/>
      <c r="AUH15" s="117"/>
      <c r="AUI15" s="117"/>
      <c r="AUJ15" s="118"/>
      <c r="AUK15" s="118"/>
      <c r="AUL15" s="118"/>
      <c r="AUM15" s="116"/>
      <c r="AUN15" s="116"/>
      <c r="AUO15" s="116"/>
      <c r="AUP15" s="117"/>
      <c r="AUQ15" s="117"/>
      <c r="AUR15" s="118"/>
      <c r="AUS15" s="118"/>
      <c r="AUT15" s="118"/>
      <c r="AUU15" s="116"/>
      <c r="AUV15" s="116"/>
      <c r="AUW15" s="116"/>
      <c r="AUX15" s="117"/>
      <c r="AUY15" s="117"/>
      <c r="AUZ15" s="118"/>
      <c r="AVA15" s="118"/>
      <c r="AVB15" s="118"/>
      <c r="AVC15" s="116"/>
      <c r="AVD15" s="116"/>
      <c r="AVE15" s="116"/>
      <c r="AVF15" s="117"/>
      <c r="AVG15" s="117"/>
      <c r="AVH15" s="118"/>
      <c r="AVI15" s="118"/>
      <c r="AVJ15" s="118"/>
      <c r="AVK15" s="116"/>
      <c r="AVL15" s="116"/>
      <c r="AVM15" s="116"/>
      <c r="AVN15" s="117"/>
      <c r="AVO15" s="117"/>
      <c r="AVP15" s="118"/>
      <c r="AVQ15" s="118"/>
      <c r="AVR15" s="118"/>
      <c r="AVS15" s="116"/>
      <c r="AVT15" s="116"/>
      <c r="AVU15" s="116"/>
      <c r="AVV15" s="117"/>
      <c r="AVW15" s="117"/>
      <c r="AVX15" s="118"/>
      <c r="AVY15" s="118"/>
      <c r="AVZ15" s="118"/>
      <c r="AWA15" s="116"/>
      <c r="AWB15" s="116"/>
      <c r="AWC15" s="116"/>
      <c r="AWD15" s="117"/>
      <c r="AWE15" s="117"/>
      <c r="AWF15" s="118"/>
      <c r="AWG15" s="118"/>
      <c r="AWH15" s="118"/>
      <c r="AWI15" s="116"/>
      <c r="AWJ15" s="116"/>
      <c r="AWK15" s="116"/>
      <c r="AWL15" s="117"/>
      <c r="AWM15" s="117"/>
      <c r="AWN15" s="118"/>
      <c r="AWO15" s="118"/>
      <c r="AWP15" s="118"/>
      <c r="AWQ15" s="116"/>
      <c r="AWR15" s="116"/>
      <c r="AWS15" s="116"/>
      <c r="AWT15" s="117"/>
      <c r="AWU15" s="117"/>
      <c r="AWV15" s="118"/>
      <c r="AWW15" s="118"/>
      <c r="AWX15" s="118"/>
      <c r="AWY15" s="116"/>
      <c r="AWZ15" s="116"/>
      <c r="AXA15" s="116"/>
      <c r="AXB15" s="117"/>
      <c r="AXC15" s="117"/>
      <c r="AXD15" s="118"/>
      <c r="AXE15" s="118"/>
      <c r="AXF15" s="118"/>
      <c r="AXG15" s="116"/>
      <c r="AXH15" s="116"/>
      <c r="AXI15" s="116"/>
      <c r="AXJ15" s="117"/>
      <c r="AXK15" s="117"/>
      <c r="AXL15" s="118"/>
      <c r="AXM15" s="118"/>
      <c r="AXN15" s="118"/>
      <c r="AXO15" s="116"/>
      <c r="AXP15" s="116"/>
      <c r="AXQ15" s="116"/>
      <c r="AXR15" s="117"/>
      <c r="AXS15" s="117"/>
      <c r="AXT15" s="118"/>
      <c r="AXU15" s="118"/>
      <c r="AXV15" s="118"/>
      <c r="AXW15" s="116"/>
      <c r="AXX15" s="116"/>
      <c r="AXY15" s="116"/>
      <c r="AXZ15" s="117"/>
      <c r="AYA15" s="117"/>
      <c r="AYB15" s="118"/>
      <c r="AYC15" s="118"/>
      <c r="AYD15" s="118"/>
      <c r="AYE15" s="116"/>
      <c r="AYF15" s="116"/>
      <c r="AYG15" s="116"/>
      <c r="AYH15" s="117"/>
      <c r="AYI15" s="117"/>
      <c r="AYJ15" s="118"/>
      <c r="AYK15" s="118"/>
      <c r="AYL15" s="118"/>
      <c r="AYM15" s="116"/>
      <c r="AYN15" s="116"/>
      <c r="AYO15" s="116"/>
      <c r="AYP15" s="117"/>
      <c r="AYQ15" s="117"/>
      <c r="AYR15" s="118"/>
      <c r="AYS15" s="118"/>
      <c r="AYT15" s="118"/>
      <c r="AYU15" s="116"/>
      <c r="AYV15" s="116"/>
      <c r="AYW15" s="116"/>
      <c r="AYX15" s="117"/>
      <c r="AYY15" s="117"/>
      <c r="AYZ15" s="118"/>
      <c r="AZA15" s="118"/>
      <c r="AZB15" s="118"/>
      <c r="AZC15" s="116"/>
      <c r="AZD15" s="116"/>
      <c r="AZE15" s="116"/>
      <c r="AZF15" s="117"/>
      <c r="AZG15" s="117"/>
      <c r="AZH15" s="118"/>
      <c r="AZI15" s="118"/>
      <c r="AZJ15" s="118"/>
      <c r="AZK15" s="116"/>
      <c r="AZL15" s="116"/>
      <c r="AZM15" s="116"/>
      <c r="AZN15" s="117"/>
      <c r="AZO15" s="117"/>
      <c r="AZP15" s="118"/>
      <c r="AZQ15" s="118"/>
      <c r="AZR15" s="118"/>
      <c r="AZS15" s="116"/>
      <c r="AZT15" s="116"/>
      <c r="AZU15" s="116"/>
      <c r="AZV15" s="117"/>
      <c r="AZW15" s="117"/>
      <c r="AZX15" s="118"/>
      <c r="AZY15" s="118"/>
      <c r="AZZ15" s="118"/>
      <c r="BAA15" s="116"/>
      <c r="BAB15" s="116"/>
      <c r="BAC15" s="116"/>
      <c r="BAD15" s="117"/>
      <c r="BAE15" s="117"/>
      <c r="BAF15" s="118"/>
      <c r="BAG15" s="118"/>
      <c r="BAH15" s="118"/>
      <c r="BAI15" s="116"/>
      <c r="BAJ15" s="116"/>
      <c r="BAK15" s="116"/>
      <c r="BAL15" s="117"/>
      <c r="BAM15" s="117"/>
      <c r="BAN15" s="118"/>
      <c r="BAO15" s="118"/>
      <c r="BAP15" s="118"/>
      <c r="BAQ15" s="116"/>
      <c r="BAR15" s="116"/>
      <c r="BAS15" s="116"/>
      <c r="BAT15" s="117"/>
      <c r="BAU15" s="117"/>
      <c r="BAV15" s="118"/>
      <c r="BAW15" s="118"/>
      <c r="BAX15" s="118"/>
      <c r="BAY15" s="116"/>
      <c r="BAZ15" s="116"/>
      <c r="BBA15" s="116"/>
      <c r="BBB15" s="117"/>
      <c r="BBC15" s="117"/>
      <c r="BBD15" s="118"/>
      <c r="BBE15" s="118"/>
      <c r="BBF15" s="118"/>
      <c r="BBG15" s="116"/>
      <c r="BBH15" s="116"/>
      <c r="BBI15" s="116"/>
      <c r="BBJ15" s="117"/>
      <c r="BBK15" s="117"/>
      <c r="BBL15" s="118"/>
      <c r="BBM15" s="118"/>
      <c r="BBN15" s="118"/>
      <c r="BBO15" s="116"/>
      <c r="BBP15" s="116"/>
      <c r="BBQ15" s="116"/>
      <c r="BBR15" s="117"/>
      <c r="BBS15" s="117"/>
      <c r="BBT15" s="118"/>
      <c r="BBU15" s="118"/>
      <c r="BBV15" s="118"/>
      <c r="BBW15" s="116"/>
      <c r="BBX15" s="116"/>
      <c r="BBY15" s="116"/>
      <c r="BBZ15" s="117"/>
      <c r="BCA15" s="117"/>
      <c r="BCB15" s="118"/>
      <c r="BCC15" s="118"/>
      <c r="BCD15" s="118"/>
      <c r="BCE15" s="116"/>
      <c r="BCF15" s="116"/>
      <c r="BCG15" s="116"/>
      <c r="BCH15" s="117"/>
      <c r="BCI15" s="117"/>
      <c r="BCJ15" s="118"/>
      <c r="BCK15" s="118"/>
      <c r="BCL15" s="118"/>
      <c r="BCM15" s="116"/>
      <c r="BCN15" s="116"/>
      <c r="BCO15" s="116"/>
      <c r="BCP15" s="117"/>
      <c r="BCQ15" s="117"/>
      <c r="BCR15" s="118"/>
      <c r="BCS15" s="118"/>
      <c r="BCT15" s="118"/>
      <c r="BCU15" s="116"/>
      <c r="BCV15" s="116"/>
      <c r="BCW15" s="116"/>
      <c r="BCX15" s="117"/>
      <c r="BCY15" s="117"/>
      <c r="BCZ15" s="118"/>
      <c r="BDA15" s="118"/>
      <c r="BDB15" s="118"/>
      <c r="BDC15" s="116"/>
      <c r="BDD15" s="116"/>
      <c r="BDE15" s="116"/>
      <c r="BDF15" s="117"/>
      <c r="BDG15" s="117"/>
      <c r="BDH15" s="118"/>
      <c r="BDI15" s="118"/>
      <c r="BDJ15" s="118"/>
      <c r="BDK15" s="116"/>
      <c r="BDL15" s="116"/>
      <c r="BDM15" s="116"/>
      <c r="BDN15" s="117"/>
      <c r="BDO15" s="117"/>
      <c r="BDP15" s="118"/>
      <c r="BDQ15" s="118"/>
      <c r="BDR15" s="118"/>
      <c r="BDS15" s="116"/>
      <c r="BDT15" s="116"/>
      <c r="BDU15" s="116"/>
      <c r="BDV15" s="117"/>
      <c r="BDW15" s="117"/>
      <c r="BDX15" s="118"/>
      <c r="BDY15" s="118"/>
      <c r="BDZ15" s="118"/>
      <c r="BEA15" s="116"/>
      <c r="BEB15" s="116"/>
      <c r="BEC15" s="116"/>
      <c r="BED15" s="117"/>
      <c r="BEE15" s="117"/>
      <c r="BEF15" s="118"/>
      <c r="BEG15" s="118"/>
      <c r="BEH15" s="118"/>
      <c r="BEI15" s="116"/>
      <c r="BEJ15" s="116"/>
      <c r="BEK15" s="116"/>
      <c r="BEL15" s="117"/>
      <c r="BEM15" s="117"/>
      <c r="BEN15" s="118"/>
      <c r="BEO15" s="118"/>
      <c r="BEP15" s="118"/>
      <c r="BEQ15" s="116"/>
      <c r="BER15" s="116"/>
      <c r="BES15" s="116"/>
      <c r="BET15" s="117"/>
      <c r="BEU15" s="117"/>
      <c r="BEV15" s="118"/>
      <c r="BEW15" s="118"/>
      <c r="BEX15" s="118"/>
      <c r="BEY15" s="116"/>
      <c r="BEZ15" s="116"/>
      <c r="BFA15" s="116"/>
      <c r="BFB15" s="117"/>
      <c r="BFC15" s="117"/>
      <c r="BFD15" s="118"/>
      <c r="BFE15" s="118"/>
      <c r="BFF15" s="118"/>
      <c r="BFG15" s="116"/>
      <c r="BFH15" s="116"/>
      <c r="BFI15" s="116"/>
      <c r="BFJ15" s="117"/>
      <c r="BFK15" s="117"/>
      <c r="BFL15" s="118"/>
      <c r="BFM15" s="118"/>
      <c r="BFN15" s="118"/>
      <c r="BFO15" s="116"/>
      <c r="BFP15" s="116"/>
      <c r="BFQ15" s="116"/>
      <c r="BFR15" s="117"/>
      <c r="BFS15" s="117"/>
      <c r="BFT15" s="118"/>
      <c r="BFU15" s="118"/>
      <c r="BFV15" s="118"/>
      <c r="BFW15" s="116"/>
      <c r="BFX15" s="116"/>
      <c r="BFY15" s="116"/>
      <c r="BFZ15" s="117"/>
      <c r="BGA15" s="117"/>
      <c r="BGB15" s="118"/>
      <c r="BGC15" s="118"/>
      <c r="BGD15" s="118"/>
      <c r="BGE15" s="116"/>
      <c r="BGF15" s="116"/>
      <c r="BGG15" s="116"/>
      <c r="BGH15" s="117"/>
      <c r="BGI15" s="117"/>
      <c r="BGJ15" s="118"/>
      <c r="BGK15" s="118"/>
      <c r="BGL15" s="118"/>
      <c r="BGM15" s="116"/>
      <c r="BGN15" s="116"/>
      <c r="BGO15" s="116"/>
      <c r="BGP15" s="117"/>
      <c r="BGQ15" s="117"/>
      <c r="BGR15" s="118"/>
      <c r="BGS15" s="118"/>
      <c r="BGT15" s="118"/>
      <c r="BGU15" s="116"/>
      <c r="BGV15" s="116"/>
      <c r="BGW15" s="116"/>
      <c r="BGX15" s="117"/>
      <c r="BGY15" s="117"/>
      <c r="BGZ15" s="118"/>
      <c r="BHA15" s="118"/>
      <c r="BHB15" s="118"/>
      <c r="BHC15" s="116"/>
      <c r="BHD15" s="116"/>
      <c r="BHE15" s="116"/>
      <c r="BHF15" s="117"/>
      <c r="BHG15" s="117"/>
      <c r="BHH15" s="118"/>
      <c r="BHI15" s="118"/>
      <c r="BHJ15" s="118"/>
      <c r="BHK15" s="116"/>
      <c r="BHL15" s="116"/>
      <c r="BHM15" s="116"/>
      <c r="BHN15" s="117"/>
      <c r="BHO15" s="117"/>
      <c r="BHP15" s="118"/>
      <c r="BHQ15" s="118"/>
      <c r="BHR15" s="118"/>
      <c r="BHS15" s="116"/>
      <c r="BHT15" s="116"/>
      <c r="BHU15" s="116"/>
      <c r="BHV15" s="117"/>
      <c r="BHW15" s="117"/>
      <c r="BHX15" s="118"/>
      <c r="BHY15" s="118"/>
      <c r="BHZ15" s="118"/>
      <c r="BIA15" s="116"/>
      <c r="BIB15" s="116"/>
      <c r="BIC15" s="116"/>
      <c r="BID15" s="117"/>
      <c r="BIE15" s="117"/>
      <c r="BIF15" s="118"/>
      <c r="BIG15" s="118"/>
      <c r="BIH15" s="118"/>
      <c r="BII15" s="116"/>
      <c r="BIJ15" s="116"/>
      <c r="BIK15" s="116"/>
      <c r="BIL15" s="117"/>
      <c r="BIM15" s="117"/>
      <c r="BIN15" s="118"/>
      <c r="BIO15" s="118"/>
      <c r="BIP15" s="118"/>
      <c r="BIQ15" s="116"/>
      <c r="BIR15" s="116"/>
      <c r="BIS15" s="116"/>
      <c r="BIT15" s="117"/>
      <c r="BIU15" s="117"/>
      <c r="BIV15" s="118"/>
      <c r="BIW15" s="118"/>
      <c r="BIX15" s="118"/>
      <c r="BIY15" s="116"/>
      <c r="BIZ15" s="116"/>
      <c r="BJA15" s="116"/>
      <c r="BJB15" s="117"/>
      <c r="BJC15" s="117"/>
      <c r="BJD15" s="118"/>
      <c r="BJE15" s="118"/>
      <c r="BJF15" s="118"/>
      <c r="BJG15" s="116"/>
      <c r="BJH15" s="116"/>
      <c r="BJI15" s="116"/>
      <c r="BJJ15" s="117"/>
      <c r="BJK15" s="117"/>
      <c r="BJL15" s="118"/>
      <c r="BJM15" s="118"/>
      <c r="BJN15" s="118"/>
      <c r="BJO15" s="116"/>
      <c r="BJP15" s="116"/>
      <c r="BJQ15" s="116"/>
      <c r="BJR15" s="117"/>
      <c r="BJS15" s="117"/>
      <c r="BJT15" s="118"/>
      <c r="BJU15" s="118"/>
      <c r="BJV15" s="118"/>
      <c r="BJW15" s="116"/>
      <c r="BJX15" s="116"/>
      <c r="BJY15" s="116"/>
      <c r="BJZ15" s="117"/>
      <c r="BKA15" s="117"/>
      <c r="BKB15" s="118"/>
      <c r="BKC15" s="118"/>
      <c r="BKD15" s="118"/>
      <c r="BKE15" s="116"/>
      <c r="BKF15" s="116"/>
      <c r="BKG15" s="116"/>
      <c r="BKH15" s="117"/>
      <c r="BKI15" s="117"/>
      <c r="BKJ15" s="118"/>
      <c r="BKK15" s="118"/>
      <c r="BKL15" s="118"/>
      <c r="BKM15" s="116"/>
      <c r="BKN15" s="116"/>
      <c r="BKO15" s="116"/>
      <c r="BKP15" s="117"/>
      <c r="BKQ15" s="117"/>
      <c r="BKR15" s="118"/>
      <c r="BKS15" s="118"/>
      <c r="BKT15" s="118"/>
      <c r="BKU15" s="116"/>
      <c r="BKV15" s="116"/>
      <c r="BKW15" s="116"/>
      <c r="BKX15" s="117"/>
      <c r="BKY15" s="117"/>
      <c r="BKZ15" s="118"/>
      <c r="BLA15" s="118"/>
      <c r="BLB15" s="118"/>
      <c r="BLC15" s="116"/>
      <c r="BLD15" s="116"/>
      <c r="BLE15" s="116"/>
      <c r="BLF15" s="117"/>
      <c r="BLG15" s="117"/>
      <c r="BLH15" s="118"/>
      <c r="BLI15" s="118"/>
      <c r="BLJ15" s="118"/>
      <c r="BLK15" s="116"/>
      <c r="BLL15" s="116"/>
      <c r="BLM15" s="116"/>
      <c r="BLN15" s="117"/>
      <c r="BLO15" s="117"/>
      <c r="BLP15" s="118"/>
      <c r="BLQ15" s="118"/>
      <c r="BLR15" s="118"/>
      <c r="BLS15" s="116"/>
      <c r="BLT15" s="116"/>
      <c r="BLU15" s="116"/>
      <c r="BLV15" s="117"/>
      <c r="BLW15" s="117"/>
      <c r="BLX15" s="118"/>
      <c r="BLY15" s="118"/>
      <c r="BLZ15" s="118"/>
      <c r="BMA15" s="116"/>
      <c r="BMB15" s="116"/>
      <c r="BMC15" s="116"/>
      <c r="BMD15" s="117"/>
      <c r="BME15" s="117"/>
      <c r="BMF15" s="118"/>
      <c r="BMG15" s="118"/>
      <c r="BMH15" s="118"/>
      <c r="BMI15" s="116"/>
      <c r="BMJ15" s="116"/>
      <c r="BMK15" s="116"/>
      <c r="BML15" s="117"/>
      <c r="BMM15" s="117"/>
      <c r="BMN15" s="118"/>
      <c r="BMO15" s="118"/>
      <c r="BMP15" s="118"/>
      <c r="BMQ15" s="116"/>
      <c r="BMR15" s="116"/>
      <c r="BMS15" s="116"/>
      <c r="BMT15" s="117"/>
      <c r="BMU15" s="117"/>
      <c r="BMV15" s="118"/>
      <c r="BMW15" s="118"/>
      <c r="BMX15" s="118"/>
      <c r="BMY15" s="116"/>
      <c r="BMZ15" s="116"/>
      <c r="BNA15" s="116"/>
      <c r="BNB15" s="117"/>
      <c r="BNC15" s="117"/>
      <c r="BND15" s="118"/>
      <c r="BNE15" s="118"/>
      <c r="BNF15" s="118"/>
      <c r="BNG15" s="116"/>
      <c r="BNH15" s="116"/>
      <c r="BNI15" s="116"/>
      <c r="BNJ15" s="117"/>
      <c r="BNK15" s="117"/>
      <c r="BNL15" s="118"/>
      <c r="BNM15" s="118"/>
      <c r="BNN15" s="118"/>
      <c r="BNO15" s="116"/>
      <c r="BNP15" s="116"/>
      <c r="BNQ15" s="116"/>
      <c r="BNR15" s="117"/>
      <c r="BNS15" s="117"/>
      <c r="BNT15" s="118"/>
      <c r="BNU15" s="118"/>
      <c r="BNV15" s="118"/>
      <c r="BNW15" s="116"/>
      <c r="BNX15" s="116"/>
      <c r="BNY15" s="116"/>
      <c r="BNZ15" s="117"/>
      <c r="BOA15" s="117"/>
      <c r="BOB15" s="118"/>
      <c r="BOC15" s="118"/>
      <c r="BOD15" s="118"/>
      <c r="BOE15" s="116"/>
      <c r="BOF15" s="116"/>
      <c r="BOG15" s="116"/>
      <c r="BOH15" s="117"/>
      <c r="BOI15" s="117"/>
      <c r="BOJ15" s="118"/>
      <c r="BOK15" s="118"/>
      <c r="BOL15" s="118"/>
      <c r="BOM15" s="116"/>
      <c r="BON15" s="116"/>
      <c r="BOO15" s="116"/>
      <c r="BOP15" s="117"/>
      <c r="BOQ15" s="117"/>
      <c r="BOR15" s="118"/>
      <c r="BOS15" s="118"/>
      <c r="BOT15" s="118"/>
      <c r="BOU15" s="116"/>
      <c r="BOV15" s="116"/>
      <c r="BOW15" s="116"/>
      <c r="BOX15" s="117"/>
      <c r="BOY15" s="117"/>
      <c r="BOZ15" s="118"/>
      <c r="BPA15" s="118"/>
      <c r="BPB15" s="118"/>
      <c r="BPC15" s="116"/>
      <c r="BPD15" s="116"/>
      <c r="BPE15" s="116"/>
      <c r="BPF15" s="117"/>
      <c r="BPG15" s="117"/>
      <c r="BPH15" s="118"/>
      <c r="BPI15" s="118"/>
      <c r="BPJ15" s="118"/>
      <c r="BPK15" s="116"/>
      <c r="BPL15" s="116"/>
      <c r="BPM15" s="116"/>
      <c r="BPN15" s="117"/>
      <c r="BPO15" s="117"/>
      <c r="BPP15" s="118"/>
      <c r="BPQ15" s="118"/>
      <c r="BPR15" s="118"/>
      <c r="BPS15" s="116"/>
      <c r="BPT15" s="116"/>
      <c r="BPU15" s="116"/>
      <c r="BPV15" s="117"/>
      <c r="BPW15" s="117"/>
      <c r="BPX15" s="118"/>
      <c r="BPY15" s="118"/>
      <c r="BPZ15" s="118"/>
      <c r="BQA15" s="116"/>
      <c r="BQB15" s="116"/>
      <c r="BQC15" s="116"/>
      <c r="BQD15" s="117"/>
      <c r="BQE15" s="117"/>
      <c r="BQF15" s="118"/>
      <c r="BQG15" s="118"/>
      <c r="BQH15" s="118"/>
      <c r="BQI15" s="116"/>
      <c r="BQJ15" s="116"/>
      <c r="BQK15" s="116"/>
      <c r="BQL15" s="117"/>
      <c r="BQM15" s="117"/>
      <c r="BQN15" s="118"/>
      <c r="BQO15" s="118"/>
      <c r="BQP15" s="118"/>
      <c r="BQQ15" s="116"/>
      <c r="BQR15" s="116"/>
      <c r="BQS15" s="116"/>
      <c r="BQT15" s="117"/>
      <c r="BQU15" s="117"/>
      <c r="BQV15" s="118"/>
      <c r="BQW15" s="118"/>
      <c r="BQX15" s="118"/>
      <c r="BQY15" s="116"/>
      <c r="BQZ15" s="116"/>
      <c r="BRA15" s="116"/>
      <c r="BRB15" s="117"/>
      <c r="BRC15" s="117"/>
      <c r="BRD15" s="118"/>
      <c r="BRE15" s="118"/>
      <c r="BRF15" s="118"/>
      <c r="BRG15" s="116"/>
      <c r="BRH15" s="116"/>
      <c r="BRI15" s="116"/>
      <c r="BRJ15" s="117"/>
      <c r="BRK15" s="117"/>
      <c r="BRL15" s="118"/>
      <c r="BRM15" s="118"/>
      <c r="BRN15" s="118"/>
      <c r="BRO15" s="116"/>
      <c r="BRP15" s="116"/>
      <c r="BRQ15" s="116"/>
      <c r="BRR15" s="117"/>
      <c r="BRS15" s="117"/>
      <c r="BRT15" s="118"/>
      <c r="BRU15" s="118"/>
      <c r="BRV15" s="118"/>
      <c r="BRW15" s="116"/>
      <c r="BRX15" s="116"/>
      <c r="BRY15" s="116"/>
      <c r="BRZ15" s="117"/>
      <c r="BSA15" s="117"/>
      <c r="BSB15" s="118"/>
      <c r="BSC15" s="118"/>
      <c r="BSD15" s="118"/>
      <c r="BSE15" s="116"/>
      <c r="BSF15" s="116"/>
      <c r="BSG15" s="116"/>
      <c r="BSH15" s="117"/>
      <c r="BSI15" s="117"/>
      <c r="BSJ15" s="118"/>
      <c r="BSK15" s="118"/>
      <c r="BSL15" s="118"/>
      <c r="BSM15" s="116"/>
      <c r="BSN15" s="116"/>
      <c r="BSO15" s="116"/>
      <c r="BSP15" s="117"/>
      <c r="BSQ15" s="117"/>
      <c r="BSR15" s="118"/>
      <c r="BSS15" s="118"/>
      <c r="BST15" s="118"/>
      <c r="BSU15" s="116"/>
      <c r="BSV15" s="116"/>
      <c r="BSW15" s="116"/>
      <c r="BSX15" s="117"/>
      <c r="BSY15" s="117"/>
      <c r="BSZ15" s="118"/>
      <c r="BTA15" s="118"/>
      <c r="BTB15" s="118"/>
      <c r="BTC15" s="116"/>
      <c r="BTD15" s="116"/>
      <c r="BTE15" s="116"/>
      <c r="BTF15" s="117"/>
      <c r="BTG15" s="117"/>
      <c r="BTH15" s="118"/>
      <c r="BTI15" s="118"/>
      <c r="BTJ15" s="118"/>
      <c r="BTK15" s="116"/>
      <c r="BTL15" s="116"/>
      <c r="BTM15" s="116"/>
      <c r="BTN15" s="117"/>
      <c r="BTO15" s="117"/>
      <c r="BTP15" s="118"/>
      <c r="BTQ15" s="118"/>
      <c r="BTR15" s="118"/>
      <c r="BTS15" s="116"/>
      <c r="BTT15" s="116"/>
      <c r="BTU15" s="116"/>
      <c r="BTV15" s="117"/>
      <c r="BTW15" s="117"/>
      <c r="BTX15" s="118"/>
      <c r="BTY15" s="118"/>
      <c r="BTZ15" s="118"/>
      <c r="BUA15" s="116"/>
      <c r="BUB15" s="116"/>
      <c r="BUC15" s="116"/>
      <c r="BUD15" s="117"/>
      <c r="BUE15" s="117"/>
      <c r="BUF15" s="118"/>
      <c r="BUG15" s="118"/>
      <c r="BUH15" s="118"/>
      <c r="BUI15" s="116"/>
      <c r="BUJ15" s="116"/>
      <c r="BUK15" s="116"/>
      <c r="BUL15" s="117"/>
      <c r="BUM15" s="117"/>
      <c r="BUN15" s="118"/>
      <c r="BUO15" s="118"/>
      <c r="BUP15" s="118"/>
      <c r="BUQ15" s="116"/>
      <c r="BUR15" s="116"/>
      <c r="BUS15" s="116"/>
      <c r="BUT15" s="117"/>
      <c r="BUU15" s="117"/>
      <c r="BUV15" s="118"/>
      <c r="BUW15" s="118"/>
      <c r="BUX15" s="118"/>
      <c r="BUY15" s="116"/>
      <c r="BUZ15" s="116"/>
      <c r="BVA15" s="116"/>
      <c r="BVB15" s="117"/>
      <c r="BVC15" s="117"/>
      <c r="BVD15" s="118"/>
      <c r="BVE15" s="118"/>
      <c r="BVF15" s="118"/>
      <c r="BVG15" s="116"/>
      <c r="BVH15" s="116"/>
      <c r="BVI15" s="116"/>
      <c r="BVJ15" s="117"/>
      <c r="BVK15" s="117"/>
      <c r="BVL15" s="118"/>
      <c r="BVM15" s="118"/>
      <c r="BVN15" s="118"/>
      <c r="BVO15" s="116"/>
      <c r="BVP15" s="116"/>
      <c r="BVQ15" s="116"/>
      <c r="BVR15" s="117"/>
      <c r="BVS15" s="117"/>
      <c r="BVT15" s="118"/>
      <c r="BVU15" s="118"/>
      <c r="BVV15" s="118"/>
      <c r="BVW15" s="116"/>
      <c r="BVX15" s="116"/>
      <c r="BVY15" s="116"/>
      <c r="BVZ15" s="117"/>
      <c r="BWA15" s="117"/>
      <c r="BWB15" s="118"/>
      <c r="BWC15" s="118"/>
      <c r="BWD15" s="118"/>
      <c r="BWE15" s="116"/>
      <c r="BWF15" s="116"/>
      <c r="BWG15" s="116"/>
      <c r="BWH15" s="117"/>
      <c r="BWI15" s="117"/>
      <c r="BWJ15" s="118"/>
      <c r="BWK15" s="118"/>
      <c r="BWL15" s="118"/>
      <c r="BWM15" s="116"/>
      <c r="BWN15" s="116"/>
      <c r="BWO15" s="116"/>
      <c r="BWP15" s="117"/>
      <c r="BWQ15" s="117"/>
      <c r="BWR15" s="118"/>
      <c r="BWS15" s="118"/>
      <c r="BWT15" s="118"/>
      <c r="BWU15" s="116"/>
      <c r="BWV15" s="116"/>
      <c r="BWW15" s="116"/>
      <c r="BWX15" s="117"/>
      <c r="BWY15" s="117"/>
      <c r="BWZ15" s="118"/>
      <c r="BXA15" s="118"/>
      <c r="BXB15" s="118"/>
      <c r="BXC15" s="116"/>
      <c r="BXD15" s="116"/>
      <c r="BXE15" s="116"/>
      <c r="BXF15" s="117"/>
      <c r="BXG15" s="117"/>
      <c r="BXH15" s="118"/>
      <c r="BXI15" s="118"/>
      <c r="BXJ15" s="118"/>
      <c r="BXK15" s="116"/>
      <c r="BXL15" s="116"/>
      <c r="BXM15" s="116"/>
      <c r="BXN15" s="117"/>
      <c r="BXO15" s="117"/>
      <c r="BXP15" s="118"/>
      <c r="BXQ15" s="118"/>
      <c r="BXR15" s="118"/>
      <c r="BXS15" s="116"/>
      <c r="BXT15" s="116"/>
      <c r="BXU15" s="116"/>
      <c r="BXV15" s="117"/>
      <c r="BXW15" s="117"/>
      <c r="BXX15" s="118"/>
      <c r="BXY15" s="118"/>
      <c r="BXZ15" s="118"/>
      <c r="BYA15" s="116"/>
      <c r="BYB15" s="116"/>
      <c r="BYC15" s="116"/>
      <c r="BYD15" s="117"/>
      <c r="BYE15" s="117"/>
      <c r="BYF15" s="118"/>
      <c r="BYG15" s="118"/>
      <c r="BYH15" s="118"/>
      <c r="BYI15" s="116"/>
      <c r="BYJ15" s="116"/>
      <c r="BYK15" s="116"/>
      <c r="BYL15" s="117"/>
      <c r="BYM15" s="117"/>
      <c r="BYN15" s="118"/>
      <c r="BYO15" s="118"/>
      <c r="BYP15" s="118"/>
      <c r="BYQ15" s="116"/>
      <c r="BYR15" s="116"/>
      <c r="BYS15" s="116"/>
      <c r="BYT15" s="117"/>
      <c r="BYU15" s="117"/>
      <c r="BYV15" s="118"/>
      <c r="BYW15" s="118"/>
      <c r="BYX15" s="118"/>
      <c r="BYY15" s="116"/>
      <c r="BYZ15" s="116"/>
      <c r="BZA15" s="116"/>
      <c r="BZB15" s="117"/>
      <c r="BZC15" s="117"/>
      <c r="BZD15" s="118"/>
      <c r="BZE15" s="118"/>
      <c r="BZF15" s="118"/>
      <c r="BZG15" s="116"/>
      <c r="BZH15" s="116"/>
      <c r="BZI15" s="116"/>
      <c r="BZJ15" s="117"/>
      <c r="BZK15" s="117"/>
      <c r="BZL15" s="118"/>
      <c r="BZM15" s="118"/>
      <c r="BZN15" s="118"/>
      <c r="BZO15" s="116"/>
      <c r="BZP15" s="116"/>
      <c r="BZQ15" s="116"/>
      <c r="BZR15" s="117"/>
      <c r="BZS15" s="117"/>
      <c r="BZT15" s="118"/>
      <c r="BZU15" s="118"/>
      <c r="BZV15" s="118"/>
      <c r="BZW15" s="116"/>
      <c r="BZX15" s="116"/>
      <c r="BZY15" s="116"/>
      <c r="BZZ15" s="117"/>
      <c r="CAA15" s="117"/>
      <c r="CAB15" s="118"/>
      <c r="CAC15" s="118"/>
      <c r="CAD15" s="118"/>
      <c r="CAE15" s="116"/>
      <c r="CAF15" s="116"/>
      <c r="CAG15" s="116"/>
      <c r="CAH15" s="117"/>
      <c r="CAI15" s="117"/>
      <c r="CAJ15" s="118"/>
      <c r="CAK15" s="118"/>
      <c r="CAL15" s="118"/>
      <c r="CAM15" s="116"/>
      <c r="CAN15" s="116"/>
      <c r="CAO15" s="116"/>
      <c r="CAP15" s="117"/>
      <c r="CAQ15" s="117"/>
      <c r="CAR15" s="118"/>
      <c r="CAS15" s="118"/>
      <c r="CAT15" s="118"/>
      <c r="CAU15" s="116"/>
      <c r="CAV15" s="116"/>
      <c r="CAW15" s="116"/>
      <c r="CAX15" s="117"/>
      <c r="CAY15" s="117"/>
      <c r="CAZ15" s="118"/>
      <c r="CBA15" s="118"/>
      <c r="CBB15" s="118"/>
      <c r="CBC15" s="116"/>
      <c r="CBD15" s="116"/>
      <c r="CBE15" s="116"/>
      <c r="CBF15" s="117"/>
      <c r="CBG15" s="117"/>
      <c r="CBH15" s="118"/>
      <c r="CBI15" s="118"/>
      <c r="CBJ15" s="118"/>
      <c r="CBK15" s="116"/>
      <c r="CBL15" s="116"/>
      <c r="CBM15" s="116"/>
      <c r="CBN15" s="117"/>
      <c r="CBO15" s="117"/>
      <c r="CBP15" s="118"/>
      <c r="CBQ15" s="118"/>
      <c r="CBR15" s="118"/>
      <c r="CBS15" s="116"/>
      <c r="CBT15" s="116"/>
      <c r="CBU15" s="116"/>
      <c r="CBV15" s="117"/>
      <c r="CBW15" s="117"/>
      <c r="CBX15" s="118"/>
      <c r="CBY15" s="118"/>
      <c r="CBZ15" s="118"/>
      <c r="CCA15" s="116"/>
      <c r="CCB15" s="116"/>
      <c r="CCC15" s="116"/>
      <c r="CCD15" s="117"/>
      <c r="CCE15" s="117"/>
      <c r="CCF15" s="118"/>
      <c r="CCG15" s="118"/>
      <c r="CCH15" s="118"/>
      <c r="CCI15" s="116"/>
      <c r="CCJ15" s="116"/>
      <c r="CCK15" s="116"/>
      <c r="CCL15" s="117"/>
      <c r="CCM15" s="117"/>
      <c r="CCN15" s="118"/>
      <c r="CCO15" s="118"/>
      <c r="CCP15" s="118"/>
      <c r="CCQ15" s="116"/>
      <c r="CCR15" s="116"/>
      <c r="CCS15" s="116"/>
      <c r="CCT15" s="117"/>
      <c r="CCU15" s="117"/>
      <c r="CCV15" s="118"/>
      <c r="CCW15" s="118"/>
      <c r="CCX15" s="118"/>
      <c r="CCY15" s="116"/>
      <c r="CCZ15" s="116"/>
      <c r="CDA15" s="116"/>
      <c r="CDB15" s="117"/>
      <c r="CDC15" s="117"/>
      <c r="CDD15" s="118"/>
      <c r="CDE15" s="118"/>
      <c r="CDF15" s="118"/>
      <c r="CDG15" s="116"/>
      <c r="CDH15" s="116"/>
      <c r="CDI15" s="116"/>
      <c r="CDJ15" s="117"/>
      <c r="CDK15" s="117"/>
      <c r="CDL15" s="118"/>
      <c r="CDM15" s="118"/>
      <c r="CDN15" s="118"/>
      <c r="CDO15" s="116"/>
      <c r="CDP15" s="116"/>
      <c r="CDQ15" s="116"/>
      <c r="CDR15" s="117"/>
      <c r="CDS15" s="117"/>
      <c r="CDT15" s="118"/>
      <c r="CDU15" s="118"/>
      <c r="CDV15" s="118"/>
      <c r="CDW15" s="116"/>
      <c r="CDX15" s="116"/>
      <c r="CDY15" s="116"/>
      <c r="CDZ15" s="117"/>
      <c r="CEA15" s="117"/>
      <c r="CEB15" s="118"/>
      <c r="CEC15" s="118"/>
      <c r="CED15" s="118"/>
      <c r="CEE15" s="116"/>
      <c r="CEF15" s="116"/>
      <c r="CEG15" s="116"/>
      <c r="CEH15" s="117"/>
      <c r="CEI15" s="117"/>
      <c r="CEJ15" s="118"/>
      <c r="CEK15" s="118"/>
      <c r="CEL15" s="118"/>
      <c r="CEM15" s="116"/>
      <c r="CEN15" s="116"/>
      <c r="CEO15" s="116"/>
      <c r="CEP15" s="117"/>
      <c r="CEQ15" s="117"/>
      <c r="CER15" s="118"/>
      <c r="CES15" s="118"/>
      <c r="CET15" s="118"/>
      <c r="CEU15" s="116"/>
      <c r="CEV15" s="116"/>
      <c r="CEW15" s="116"/>
      <c r="CEX15" s="117"/>
      <c r="CEY15" s="117"/>
      <c r="CEZ15" s="118"/>
      <c r="CFA15" s="118"/>
      <c r="CFB15" s="118"/>
      <c r="CFC15" s="116"/>
      <c r="CFD15" s="116"/>
      <c r="CFE15" s="116"/>
      <c r="CFF15" s="117"/>
      <c r="CFG15" s="117"/>
      <c r="CFH15" s="118"/>
      <c r="CFI15" s="118"/>
      <c r="CFJ15" s="118"/>
      <c r="CFK15" s="116"/>
      <c r="CFL15" s="116"/>
      <c r="CFM15" s="116"/>
      <c r="CFN15" s="117"/>
      <c r="CFO15" s="117"/>
      <c r="CFP15" s="118"/>
      <c r="CFQ15" s="118"/>
      <c r="CFR15" s="118"/>
      <c r="CFS15" s="116"/>
      <c r="CFT15" s="116"/>
      <c r="CFU15" s="116"/>
      <c r="CFV15" s="117"/>
      <c r="CFW15" s="117"/>
      <c r="CFX15" s="118"/>
      <c r="CFY15" s="118"/>
      <c r="CFZ15" s="118"/>
      <c r="CGA15" s="116"/>
      <c r="CGB15" s="116"/>
      <c r="CGC15" s="116"/>
      <c r="CGD15" s="117"/>
      <c r="CGE15" s="117"/>
      <c r="CGF15" s="118"/>
      <c r="CGG15" s="118"/>
      <c r="CGH15" s="118"/>
      <c r="CGI15" s="116"/>
      <c r="CGJ15" s="116"/>
      <c r="CGK15" s="116"/>
      <c r="CGL15" s="117"/>
      <c r="CGM15" s="117"/>
      <c r="CGN15" s="118"/>
      <c r="CGO15" s="118"/>
      <c r="CGP15" s="118"/>
      <c r="CGQ15" s="116"/>
      <c r="CGR15" s="116"/>
      <c r="CGS15" s="116"/>
      <c r="CGT15" s="117"/>
      <c r="CGU15" s="117"/>
      <c r="CGV15" s="118"/>
      <c r="CGW15" s="118"/>
      <c r="CGX15" s="118"/>
      <c r="CGY15" s="116"/>
      <c r="CGZ15" s="116"/>
      <c r="CHA15" s="116"/>
      <c r="CHB15" s="117"/>
      <c r="CHC15" s="117"/>
      <c r="CHD15" s="118"/>
      <c r="CHE15" s="118"/>
      <c r="CHF15" s="118"/>
      <c r="CHG15" s="116"/>
      <c r="CHH15" s="116"/>
      <c r="CHI15" s="116"/>
      <c r="CHJ15" s="117"/>
      <c r="CHK15" s="117"/>
      <c r="CHL15" s="118"/>
      <c r="CHM15" s="118"/>
      <c r="CHN15" s="118"/>
      <c r="CHO15" s="116"/>
      <c r="CHP15" s="116"/>
      <c r="CHQ15" s="116"/>
      <c r="CHR15" s="117"/>
      <c r="CHS15" s="117"/>
      <c r="CHT15" s="118"/>
      <c r="CHU15" s="118"/>
      <c r="CHV15" s="118"/>
      <c r="CHW15" s="116"/>
      <c r="CHX15" s="116"/>
      <c r="CHY15" s="116"/>
      <c r="CHZ15" s="117"/>
      <c r="CIA15" s="117"/>
      <c r="CIB15" s="118"/>
      <c r="CIC15" s="118"/>
      <c r="CID15" s="118"/>
      <c r="CIE15" s="116"/>
      <c r="CIF15" s="116"/>
      <c r="CIG15" s="116"/>
      <c r="CIH15" s="117"/>
      <c r="CII15" s="117"/>
      <c r="CIJ15" s="118"/>
      <c r="CIK15" s="118"/>
      <c r="CIL15" s="118"/>
      <c r="CIM15" s="116"/>
      <c r="CIN15" s="116"/>
      <c r="CIO15" s="116"/>
      <c r="CIP15" s="117"/>
      <c r="CIQ15" s="117"/>
      <c r="CIR15" s="118"/>
      <c r="CIS15" s="118"/>
      <c r="CIT15" s="118"/>
      <c r="CIU15" s="116"/>
      <c r="CIV15" s="116"/>
      <c r="CIW15" s="116"/>
      <c r="CIX15" s="117"/>
      <c r="CIY15" s="117"/>
      <c r="CIZ15" s="118"/>
      <c r="CJA15" s="118"/>
      <c r="CJB15" s="118"/>
      <c r="CJC15" s="116"/>
      <c r="CJD15" s="116"/>
      <c r="CJE15" s="116"/>
      <c r="CJF15" s="117"/>
      <c r="CJG15" s="117"/>
      <c r="CJH15" s="118"/>
      <c r="CJI15" s="118"/>
      <c r="CJJ15" s="118"/>
      <c r="CJK15" s="116"/>
      <c r="CJL15" s="116"/>
      <c r="CJM15" s="116"/>
      <c r="CJN15" s="117"/>
      <c r="CJO15" s="117"/>
      <c r="CJP15" s="118"/>
      <c r="CJQ15" s="118"/>
      <c r="CJR15" s="118"/>
      <c r="CJS15" s="116"/>
      <c r="CJT15" s="116"/>
      <c r="CJU15" s="116"/>
      <c r="CJV15" s="117"/>
      <c r="CJW15" s="117"/>
      <c r="CJX15" s="118"/>
      <c r="CJY15" s="118"/>
      <c r="CJZ15" s="118"/>
      <c r="CKA15" s="116"/>
      <c r="CKB15" s="116"/>
      <c r="CKC15" s="116"/>
      <c r="CKD15" s="117"/>
      <c r="CKE15" s="117"/>
      <c r="CKF15" s="118"/>
      <c r="CKG15" s="118"/>
      <c r="CKH15" s="118"/>
      <c r="CKI15" s="116"/>
      <c r="CKJ15" s="116"/>
      <c r="CKK15" s="116"/>
      <c r="CKL15" s="117"/>
      <c r="CKM15" s="117"/>
      <c r="CKN15" s="118"/>
      <c r="CKO15" s="118"/>
      <c r="CKP15" s="118"/>
      <c r="CKQ15" s="116"/>
      <c r="CKR15" s="116"/>
      <c r="CKS15" s="116"/>
      <c r="CKT15" s="117"/>
      <c r="CKU15" s="117"/>
      <c r="CKV15" s="118"/>
      <c r="CKW15" s="118"/>
      <c r="CKX15" s="118"/>
      <c r="CKY15" s="116"/>
      <c r="CKZ15" s="116"/>
      <c r="CLA15" s="116"/>
      <c r="CLB15" s="117"/>
      <c r="CLC15" s="117"/>
      <c r="CLD15" s="118"/>
      <c r="CLE15" s="118"/>
      <c r="CLF15" s="118"/>
      <c r="CLG15" s="116"/>
      <c r="CLH15" s="116"/>
      <c r="CLI15" s="116"/>
      <c r="CLJ15" s="117"/>
      <c r="CLK15" s="117"/>
      <c r="CLL15" s="118"/>
      <c r="CLM15" s="118"/>
      <c r="CLN15" s="118"/>
      <c r="CLO15" s="116"/>
      <c r="CLP15" s="116"/>
      <c r="CLQ15" s="116"/>
      <c r="CLR15" s="117"/>
      <c r="CLS15" s="117"/>
      <c r="CLT15" s="118"/>
      <c r="CLU15" s="118"/>
      <c r="CLV15" s="118"/>
      <c r="CLW15" s="116"/>
      <c r="CLX15" s="116"/>
      <c r="CLY15" s="116"/>
      <c r="CLZ15" s="117"/>
      <c r="CMA15" s="117"/>
      <c r="CMB15" s="118"/>
      <c r="CMC15" s="118"/>
      <c r="CMD15" s="118"/>
      <c r="CME15" s="116"/>
      <c r="CMF15" s="116"/>
      <c r="CMG15" s="116"/>
      <c r="CMH15" s="117"/>
      <c r="CMI15" s="117"/>
      <c r="CMJ15" s="118"/>
      <c r="CMK15" s="118"/>
      <c r="CML15" s="118"/>
      <c r="CMM15" s="116"/>
      <c r="CMN15" s="116"/>
      <c r="CMO15" s="116"/>
      <c r="CMP15" s="117"/>
      <c r="CMQ15" s="117"/>
      <c r="CMR15" s="118"/>
      <c r="CMS15" s="118"/>
      <c r="CMT15" s="118"/>
      <c r="CMU15" s="116"/>
      <c r="CMV15" s="116"/>
      <c r="CMW15" s="116"/>
      <c r="CMX15" s="117"/>
      <c r="CMY15" s="117"/>
      <c r="CMZ15" s="118"/>
      <c r="CNA15" s="118"/>
      <c r="CNB15" s="118"/>
      <c r="CNC15" s="116"/>
      <c r="CND15" s="116"/>
      <c r="CNE15" s="116"/>
      <c r="CNF15" s="117"/>
      <c r="CNG15" s="117"/>
      <c r="CNH15" s="118"/>
      <c r="CNI15" s="118"/>
      <c r="CNJ15" s="118"/>
      <c r="CNK15" s="116"/>
      <c r="CNL15" s="116"/>
      <c r="CNM15" s="116"/>
      <c r="CNN15" s="117"/>
      <c r="CNO15" s="117"/>
      <c r="CNP15" s="118"/>
      <c r="CNQ15" s="118"/>
      <c r="CNR15" s="118"/>
      <c r="CNS15" s="116"/>
      <c r="CNT15" s="116"/>
      <c r="CNU15" s="116"/>
      <c r="CNV15" s="117"/>
      <c r="CNW15" s="117"/>
      <c r="CNX15" s="118"/>
      <c r="CNY15" s="118"/>
      <c r="CNZ15" s="118"/>
      <c r="COA15" s="116"/>
      <c r="COB15" s="116"/>
      <c r="COC15" s="116"/>
      <c r="COD15" s="117"/>
      <c r="COE15" s="117"/>
      <c r="COF15" s="118"/>
      <c r="COG15" s="118"/>
      <c r="COH15" s="118"/>
      <c r="COI15" s="116"/>
      <c r="COJ15" s="116"/>
      <c r="COK15" s="116"/>
      <c r="COL15" s="117"/>
      <c r="COM15" s="117"/>
      <c r="CON15" s="118"/>
      <c r="COO15" s="118"/>
      <c r="COP15" s="118"/>
      <c r="COQ15" s="116"/>
      <c r="COR15" s="116"/>
      <c r="COS15" s="116"/>
      <c r="COT15" s="117"/>
      <c r="COU15" s="117"/>
      <c r="COV15" s="118"/>
      <c r="COW15" s="118"/>
      <c r="COX15" s="118"/>
      <c r="COY15" s="116"/>
      <c r="COZ15" s="116"/>
      <c r="CPA15" s="116"/>
      <c r="CPB15" s="117"/>
      <c r="CPC15" s="117"/>
      <c r="CPD15" s="118"/>
      <c r="CPE15" s="118"/>
      <c r="CPF15" s="118"/>
      <c r="CPG15" s="116"/>
      <c r="CPH15" s="116"/>
      <c r="CPI15" s="116"/>
      <c r="CPJ15" s="117"/>
      <c r="CPK15" s="117"/>
      <c r="CPL15" s="118"/>
      <c r="CPM15" s="118"/>
      <c r="CPN15" s="118"/>
      <c r="CPO15" s="116"/>
      <c r="CPP15" s="116"/>
      <c r="CPQ15" s="116"/>
      <c r="CPR15" s="117"/>
      <c r="CPS15" s="117"/>
      <c r="CPT15" s="118"/>
      <c r="CPU15" s="118"/>
      <c r="CPV15" s="118"/>
      <c r="CPW15" s="116"/>
      <c r="CPX15" s="116"/>
      <c r="CPY15" s="116"/>
      <c r="CPZ15" s="117"/>
      <c r="CQA15" s="117"/>
      <c r="CQB15" s="118"/>
      <c r="CQC15" s="118"/>
      <c r="CQD15" s="118"/>
      <c r="CQE15" s="116"/>
      <c r="CQF15" s="116"/>
      <c r="CQG15" s="116"/>
      <c r="CQH15" s="117"/>
      <c r="CQI15" s="117"/>
      <c r="CQJ15" s="118"/>
      <c r="CQK15" s="118"/>
      <c r="CQL15" s="118"/>
      <c r="CQM15" s="116"/>
      <c r="CQN15" s="116"/>
      <c r="CQO15" s="116"/>
      <c r="CQP15" s="117"/>
      <c r="CQQ15" s="117"/>
      <c r="CQR15" s="118"/>
      <c r="CQS15" s="118"/>
      <c r="CQT15" s="118"/>
      <c r="CQU15" s="116"/>
      <c r="CQV15" s="116"/>
      <c r="CQW15" s="116"/>
      <c r="CQX15" s="117"/>
      <c r="CQY15" s="117"/>
      <c r="CQZ15" s="118"/>
      <c r="CRA15" s="118"/>
      <c r="CRB15" s="118"/>
      <c r="CRC15" s="116"/>
      <c r="CRD15" s="116"/>
      <c r="CRE15" s="116"/>
      <c r="CRF15" s="117"/>
      <c r="CRG15" s="117"/>
      <c r="CRH15" s="118"/>
      <c r="CRI15" s="118"/>
      <c r="CRJ15" s="118"/>
      <c r="CRK15" s="116"/>
      <c r="CRL15" s="116"/>
      <c r="CRM15" s="116"/>
      <c r="CRN15" s="117"/>
      <c r="CRO15" s="117"/>
      <c r="CRP15" s="118"/>
      <c r="CRQ15" s="118"/>
      <c r="CRR15" s="118"/>
      <c r="CRS15" s="116"/>
      <c r="CRT15" s="116"/>
      <c r="CRU15" s="116"/>
      <c r="CRV15" s="117"/>
      <c r="CRW15" s="117"/>
      <c r="CRX15" s="118"/>
      <c r="CRY15" s="118"/>
      <c r="CRZ15" s="118"/>
      <c r="CSA15" s="116"/>
      <c r="CSB15" s="116"/>
      <c r="CSC15" s="116"/>
      <c r="CSD15" s="117"/>
      <c r="CSE15" s="117"/>
      <c r="CSF15" s="118"/>
      <c r="CSG15" s="118"/>
      <c r="CSH15" s="118"/>
      <c r="CSI15" s="116"/>
      <c r="CSJ15" s="116"/>
      <c r="CSK15" s="116"/>
      <c r="CSL15" s="117"/>
      <c r="CSM15" s="117"/>
      <c r="CSN15" s="118"/>
      <c r="CSO15" s="118"/>
      <c r="CSP15" s="118"/>
      <c r="CSQ15" s="116"/>
      <c r="CSR15" s="116"/>
      <c r="CSS15" s="116"/>
      <c r="CST15" s="117"/>
      <c r="CSU15" s="117"/>
      <c r="CSV15" s="118"/>
      <c r="CSW15" s="118"/>
      <c r="CSX15" s="118"/>
      <c r="CSY15" s="116"/>
      <c r="CSZ15" s="116"/>
      <c r="CTA15" s="116"/>
      <c r="CTB15" s="117"/>
      <c r="CTC15" s="117"/>
      <c r="CTD15" s="118"/>
      <c r="CTE15" s="118"/>
      <c r="CTF15" s="118"/>
      <c r="CTG15" s="116"/>
      <c r="CTH15" s="116"/>
      <c r="CTI15" s="116"/>
      <c r="CTJ15" s="117"/>
      <c r="CTK15" s="117"/>
      <c r="CTL15" s="118"/>
      <c r="CTM15" s="118"/>
      <c r="CTN15" s="118"/>
      <c r="CTO15" s="116"/>
      <c r="CTP15" s="116"/>
      <c r="CTQ15" s="116"/>
      <c r="CTR15" s="117"/>
      <c r="CTS15" s="117"/>
      <c r="CTT15" s="118"/>
      <c r="CTU15" s="118"/>
      <c r="CTV15" s="118"/>
      <c r="CTW15" s="116"/>
      <c r="CTX15" s="116"/>
      <c r="CTY15" s="116"/>
      <c r="CTZ15" s="117"/>
      <c r="CUA15" s="117"/>
      <c r="CUB15" s="118"/>
      <c r="CUC15" s="118"/>
      <c r="CUD15" s="118"/>
      <c r="CUE15" s="116"/>
      <c r="CUF15" s="116"/>
      <c r="CUG15" s="116"/>
      <c r="CUH15" s="117"/>
      <c r="CUI15" s="117"/>
      <c r="CUJ15" s="118"/>
      <c r="CUK15" s="118"/>
      <c r="CUL15" s="118"/>
      <c r="CUM15" s="116"/>
      <c r="CUN15" s="116"/>
      <c r="CUO15" s="116"/>
      <c r="CUP15" s="117"/>
      <c r="CUQ15" s="117"/>
      <c r="CUR15" s="118"/>
      <c r="CUS15" s="118"/>
      <c r="CUT15" s="118"/>
      <c r="CUU15" s="116"/>
      <c r="CUV15" s="116"/>
      <c r="CUW15" s="116"/>
      <c r="CUX15" s="117"/>
      <c r="CUY15" s="117"/>
      <c r="CUZ15" s="118"/>
      <c r="CVA15" s="118"/>
      <c r="CVB15" s="118"/>
      <c r="CVC15" s="116"/>
      <c r="CVD15" s="116"/>
      <c r="CVE15" s="116"/>
      <c r="CVF15" s="117"/>
      <c r="CVG15" s="117"/>
      <c r="CVH15" s="118"/>
      <c r="CVI15" s="118"/>
      <c r="CVJ15" s="118"/>
      <c r="CVK15" s="116"/>
      <c r="CVL15" s="116"/>
      <c r="CVM15" s="116"/>
      <c r="CVN15" s="117"/>
      <c r="CVO15" s="117"/>
      <c r="CVP15" s="118"/>
      <c r="CVQ15" s="118"/>
      <c r="CVR15" s="118"/>
      <c r="CVS15" s="116"/>
      <c r="CVT15" s="116"/>
      <c r="CVU15" s="116"/>
      <c r="CVV15" s="117"/>
      <c r="CVW15" s="117"/>
      <c r="CVX15" s="118"/>
      <c r="CVY15" s="118"/>
      <c r="CVZ15" s="118"/>
      <c r="CWA15" s="116"/>
      <c r="CWB15" s="116"/>
      <c r="CWC15" s="116"/>
      <c r="CWD15" s="117"/>
      <c r="CWE15" s="117"/>
      <c r="CWF15" s="118"/>
      <c r="CWG15" s="118"/>
      <c r="CWH15" s="118"/>
      <c r="CWI15" s="116"/>
      <c r="CWJ15" s="116"/>
      <c r="CWK15" s="116"/>
      <c r="CWL15" s="117"/>
      <c r="CWM15" s="117"/>
      <c r="CWN15" s="118"/>
      <c r="CWO15" s="118"/>
      <c r="CWP15" s="118"/>
      <c r="CWQ15" s="116"/>
      <c r="CWR15" s="116"/>
      <c r="CWS15" s="116"/>
      <c r="CWT15" s="117"/>
      <c r="CWU15" s="117"/>
      <c r="CWV15" s="118"/>
      <c r="CWW15" s="118"/>
      <c r="CWX15" s="118"/>
      <c r="CWY15" s="116"/>
      <c r="CWZ15" s="116"/>
      <c r="CXA15" s="116"/>
      <c r="CXB15" s="117"/>
      <c r="CXC15" s="117"/>
      <c r="CXD15" s="118"/>
      <c r="CXE15" s="118"/>
      <c r="CXF15" s="118"/>
      <c r="CXG15" s="116"/>
      <c r="CXH15" s="116"/>
      <c r="CXI15" s="116"/>
      <c r="CXJ15" s="117"/>
      <c r="CXK15" s="117"/>
      <c r="CXL15" s="118"/>
      <c r="CXM15" s="118"/>
      <c r="CXN15" s="118"/>
      <c r="CXO15" s="116"/>
      <c r="CXP15" s="116"/>
      <c r="CXQ15" s="116"/>
      <c r="CXR15" s="117"/>
      <c r="CXS15" s="117"/>
      <c r="CXT15" s="118"/>
      <c r="CXU15" s="118"/>
      <c r="CXV15" s="118"/>
      <c r="CXW15" s="116"/>
      <c r="CXX15" s="116"/>
      <c r="CXY15" s="116"/>
      <c r="CXZ15" s="117"/>
      <c r="CYA15" s="117"/>
      <c r="CYB15" s="118"/>
      <c r="CYC15" s="118"/>
      <c r="CYD15" s="118"/>
      <c r="CYE15" s="116"/>
      <c r="CYF15" s="116"/>
      <c r="CYG15" s="116"/>
      <c r="CYH15" s="117"/>
      <c r="CYI15" s="117"/>
      <c r="CYJ15" s="118"/>
      <c r="CYK15" s="118"/>
      <c r="CYL15" s="118"/>
      <c r="CYM15" s="116"/>
      <c r="CYN15" s="116"/>
      <c r="CYO15" s="116"/>
      <c r="CYP15" s="117"/>
      <c r="CYQ15" s="117"/>
      <c r="CYR15" s="118"/>
      <c r="CYS15" s="118"/>
      <c r="CYT15" s="118"/>
      <c r="CYU15" s="116"/>
      <c r="CYV15" s="116"/>
      <c r="CYW15" s="116"/>
      <c r="CYX15" s="117"/>
      <c r="CYY15" s="117"/>
      <c r="CYZ15" s="118"/>
      <c r="CZA15" s="118"/>
      <c r="CZB15" s="118"/>
      <c r="CZC15" s="116"/>
      <c r="CZD15" s="116"/>
      <c r="CZE15" s="116"/>
      <c r="CZF15" s="117"/>
      <c r="CZG15" s="117"/>
      <c r="CZH15" s="118"/>
      <c r="CZI15" s="118"/>
      <c r="CZJ15" s="118"/>
      <c r="CZK15" s="116"/>
      <c r="CZL15" s="116"/>
      <c r="CZM15" s="116"/>
      <c r="CZN15" s="117"/>
      <c r="CZO15" s="117"/>
      <c r="CZP15" s="118"/>
      <c r="CZQ15" s="118"/>
      <c r="CZR15" s="118"/>
      <c r="CZS15" s="116"/>
      <c r="CZT15" s="116"/>
      <c r="CZU15" s="116"/>
      <c r="CZV15" s="117"/>
      <c r="CZW15" s="117"/>
      <c r="CZX15" s="118"/>
      <c r="CZY15" s="118"/>
      <c r="CZZ15" s="118"/>
      <c r="DAA15" s="116"/>
      <c r="DAB15" s="116"/>
      <c r="DAC15" s="116"/>
      <c r="DAD15" s="117"/>
      <c r="DAE15" s="117"/>
      <c r="DAF15" s="118"/>
      <c r="DAG15" s="118"/>
      <c r="DAH15" s="118"/>
      <c r="DAI15" s="116"/>
      <c r="DAJ15" s="116"/>
      <c r="DAK15" s="116"/>
      <c r="DAL15" s="117"/>
      <c r="DAM15" s="117"/>
      <c r="DAN15" s="118"/>
      <c r="DAO15" s="118"/>
      <c r="DAP15" s="118"/>
      <c r="DAQ15" s="116"/>
      <c r="DAR15" s="116"/>
      <c r="DAS15" s="116"/>
      <c r="DAT15" s="117"/>
      <c r="DAU15" s="117"/>
      <c r="DAV15" s="118"/>
      <c r="DAW15" s="118"/>
      <c r="DAX15" s="118"/>
      <c r="DAY15" s="116"/>
      <c r="DAZ15" s="116"/>
      <c r="DBA15" s="116"/>
      <c r="DBB15" s="117"/>
      <c r="DBC15" s="117"/>
      <c r="DBD15" s="118"/>
      <c r="DBE15" s="118"/>
      <c r="DBF15" s="118"/>
      <c r="DBG15" s="116"/>
      <c r="DBH15" s="116"/>
      <c r="DBI15" s="116"/>
      <c r="DBJ15" s="117"/>
      <c r="DBK15" s="117"/>
      <c r="DBL15" s="118"/>
      <c r="DBM15" s="118"/>
      <c r="DBN15" s="118"/>
      <c r="DBO15" s="116"/>
      <c r="DBP15" s="116"/>
      <c r="DBQ15" s="116"/>
      <c r="DBR15" s="117"/>
      <c r="DBS15" s="117"/>
      <c r="DBT15" s="118"/>
      <c r="DBU15" s="118"/>
      <c r="DBV15" s="118"/>
      <c r="DBW15" s="116"/>
      <c r="DBX15" s="116"/>
      <c r="DBY15" s="116"/>
      <c r="DBZ15" s="117"/>
      <c r="DCA15" s="117"/>
      <c r="DCB15" s="118"/>
      <c r="DCC15" s="118"/>
      <c r="DCD15" s="118"/>
      <c r="DCE15" s="116"/>
      <c r="DCF15" s="116"/>
      <c r="DCG15" s="116"/>
      <c r="DCH15" s="117"/>
      <c r="DCI15" s="117"/>
      <c r="DCJ15" s="118"/>
      <c r="DCK15" s="118"/>
      <c r="DCL15" s="118"/>
      <c r="DCM15" s="116"/>
      <c r="DCN15" s="116"/>
      <c r="DCO15" s="116"/>
      <c r="DCP15" s="117"/>
      <c r="DCQ15" s="117"/>
      <c r="DCR15" s="118"/>
      <c r="DCS15" s="118"/>
      <c r="DCT15" s="118"/>
      <c r="DCU15" s="116"/>
      <c r="DCV15" s="116"/>
      <c r="DCW15" s="116"/>
      <c r="DCX15" s="117"/>
      <c r="DCY15" s="117"/>
      <c r="DCZ15" s="118"/>
      <c r="DDA15" s="118"/>
      <c r="DDB15" s="118"/>
      <c r="DDC15" s="116"/>
      <c r="DDD15" s="116"/>
      <c r="DDE15" s="116"/>
      <c r="DDF15" s="117"/>
      <c r="DDG15" s="117"/>
      <c r="DDH15" s="118"/>
      <c r="DDI15" s="118"/>
      <c r="DDJ15" s="118"/>
      <c r="DDK15" s="116"/>
      <c r="DDL15" s="116"/>
      <c r="DDM15" s="116"/>
      <c r="DDN15" s="117"/>
      <c r="DDO15" s="117"/>
      <c r="DDP15" s="118"/>
      <c r="DDQ15" s="118"/>
      <c r="DDR15" s="118"/>
      <c r="DDS15" s="116"/>
      <c r="DDT15" s="116"/>
      <c r="DDU15" s="116"/>
      <c r="DDV15" s="117"/>
      <c r="DDW15" s="117"/>
      <c r="DDX15" s="118"/>
      <c r="DDY15" s="118"/>
      <c r="DDZ15" s="118"/>
      <c r="DEA15" s="116"/>
      <c r="DEB15" s="116"/>
      <c r="DEC15" s="116"/>
      <c r="DED15" s="117"/>
      <c r="DEE15" s="117"/>
      <c r="DEF15" s="118"/>
      <c r="DEG15" s="118"/>
      <c r="DEH15" s="118"/>
      <c r="DEI15" s="116"/>
      <c r="DEJ15" s="116"/>
      <c r="DEK15" s="116"/>
      <c r="DEL15" s="117"/>
      <c r="DEM15" s="117"/>
      <c r="DEN15" s="118"/>
      <c r="DEO15" s="118"/>
      <c r="DEP15" s="118"/>
      <c r="DEQ15" s="116"/>
      <c r="DER15" s="116"/>
      <c r="DES15" s="116"/>
      <c r="DET15" s="117"/>
      <c r="DEU15" s="117"/>
      <c r="DEV15" s="118"/>
      <c r="DEW15" s="118"/>
      <c r="DEX15" s="118"/>
      <c r="DEY15" s="116"/>
      <c r="DEZ15" s="116"/>
      <c r="DFA15" s="116"/>
      <c r="DFB15" s="117"/>
      <c r="DFC15" s="117"/>
      <c r="DFD15" s="118"/>
      <c r="DFE15" s="118"/>
      <c r="DFF15" s="118"/>
      <c r="DFG15" s="116"/>
      <c r="DFH15" s="116"/>
      <c r="DFI15" s="116"/>
      <c r="DFJ15" s="117"/>
      <c r="DFK15" s="117"/>
      <c r="DFL15" s="118"/>
      <c r="DFM15" s="118"/>
      <c r="DFN15" s="118"/>
      <c r="DFO15" s="116"/>
      <c r="DFP15" s="116"/>
      <c r="DFQ15" s="116"/>
      <c r="DFR15" s="117"/>
      <c r="DFS15" s="117"/>
      <c r="DFT15" s="118"/>
      <c r="DFU15" s="118"/>
      <c r="DFV15" s="118"/>
      <c r="DFW15" s="116"/>
      <c r="DFX15" s="116"/>
      <c r="DFY15" s="116"/>
      <c r="DFZ15" s="117"/>
      <c r="DGA15" s="117"/>
      <c r="DGB15" s="118"/>
      <c r="DGC15" s="118"/>
      <c r="DGD15" s="118"/>
      <c r="DGE15" s="116"/>
      <c r="DGF15" s="116"/>
      <c r="DGG15" s="116"/>
      <c r="DGH15" s="117"/>
      <c r="DGI15" s="117"/>
      <c r="DGJ15" s="118"/>
      <c r="DGK15" s="118"/>
      <c r="DGL15" s="118"/>
      <c r="DGM15" s="116"/>
      <c r="DGN15" s="116"/>
      <c r="DGO15" s="116"/>
      <c r="DGP15" s="117"/>
      <c r="DGQ15" s="117"/>
      <c r="DGR15" s="118"/>
      <c r="DGS15" s="118"/>
      <c r="DGT15" s="118"/>
      <c r="DGU15" s="116"/>
      <c r="DGV15" s="116"/>
      <c r="DGW15" s="116"/>
      <c r="DGX15" s="117"/>
      <c r="DGY15" s="117"/>
      <c r="DGZ15" s="118"/>
      <c r="DHA15" s="118"/>
      <c r="DHB15" s="118"/>
      <c r="DHC15" s="116"/>
      <c r="DHD15" s="116"/>
      <c r="DHE15" s="116"/>
      <c r="DHF15" s="117"/>
      <c r="DHG15" s="117"/>
      <c r="DHH15" s="118"/>
      <c r="DHI15" s="118"/>
      <c r="DHJ15" s="118"/>
      <c r="DHK15" s="116"/>
      <c r="DHL15" s="116"/>
      <c r="DHM15" s="116"/>
      <c r="DHN15" s="117"/>
      <c r="DHO15" s="117"/>
      <c r="DHP15" s="118"/>
      <c r="DHQ15" s="118"/>
      <c r="DHR15" s="118"/>
      <c r="DHS15" s="116"/>
      <c r="DHT15" s="116"/>
      <c r="DHU15" s="116"/>
      <c r="DHV15" s="117"/>
      <c r="DHW15" s="117"/>
      <c r="DHX15" s="118"/>
      <c r="DHY15" s="118"/>
      <c r="DHZ15" s="118"/>
      <c r="DIA15" s="116"/>
      <c r="DIB15" s="116"/>
      <c r="DIC15" s="116"/>
      <c r="DID15" s="117"/>
      <c r="DIE15" s="117"/>
      <c r="DIF15" s="118"/>
      <c r="DIG15" s="118"/>
      <c r="DIH15" s="118"/>
      <c r="DII15" s="116"/>
      <c r="DIJ15" s="116"/>
      <c r="DIK15" s="116"/>
      <c r="DIL15" s="117"/>
      <c r="DIM15" s="117"/>
      <c r="DIN15" s="118"/>
      <c r="DIO15" s="118"/>
      <c r="DIP15" s="118"/>
      <c r="DIQ15" s="116"/>
      <c r="DIR15" s="116"/>
      <c r="DIS15" s="116"/>
      <c r="DIT15" s="117"/>
      <c r="DIU15" s="117"/>
      <c r="DIV15" s="118"/>
      <c r="DIW15" s="118"/>
      <c r="DIX15" s="118"/>
      <c r="DIY15" s="116"/>
      <c r="DIZ15" s="116"/>
      <c r="DJA15" s="116"/>
      <c r="DJB15" s="117"/>
      <c r="DJC15" s="117"/>
      <c r="DJD15" s="118"/>
      <c r="DJE15" s="118"/>
      <c r="DJF15" s="118"/>
      <c r="DJG15" s="116"/>
      <c r="DJH15" s="116"/>
      <c r="DJI15" s="116"/>
      <c r="DJJ15" s="117"/>
      <c r="DJK15" s="117"/>
      <c r="DJL15" s="118"/>
      <c r="DJM15" s="118"/>
      <c r="DJN15" s="118"/>
      <c r="DJO15" s="116"/>
      <c r="DJP15" s="116"/>
      <c r="DJQ15" s="116"/>
      <c r="DJR15" s="117"/>
      <c r="DJS15" s="117"/>
      <c r="DJT15" s="118"/>
      <c r="DJU15" s="118"/>
      <c r="DJV15" s="118"/>
      <c r="DJW15" s="116"/>
      <c r="DJX15" s="116"/>
      <c r="DJY15" s="116"/>
      <c r="DJZ15" s="117"/>
      <c r="DKA15" s="117"/>
      <c r="DKB15" s="118"/>
      <c r="DKC15" s="118"/>
      <c r="DKD15" s="118"/>
      <c r="DKE15" s="116"/>
      <c r="DKF15" s="116"/>
      <c r="DKG15" s="116"/>
      <c r="DKH15" s="117"/>
      <c r="DKI15" s="117"/>
      <c r="DKJ15" s="118"/>
      <c r="DKK15" s="118"/>
      <c r="DKL15" s="118"/>
      <c r="DKM15" s="116"/>
      <c r="DKN15" s="116"/>
      <c r="DKO15" s="116"/>
      <c r="DKP15" s="117"/>
      <c r="DKQ15" s="117"/>
      <c r="DKR15" s="118"/>
      <c r="DKS15" s="118"/>
      <c r="DKT15" s="118"/>
      <c r="DKU15" s="116"/>
      <c r="DKV15" s="116"/>
      <c r="DKW15" s="116"/>
      <c r="DKX15" s="117"/>
      <c r="DKY15" s="117"/>
      <c r="DKZ15" s="118"/>
      <c r="DLA15" s="118"/>
      <c r="DLB15" s="118"/>
      <c r="DLC15" s="116"/>
      <c r="DLD15" s="116"/>
      <c r="DLE15" s="116"/>
      <c r="DLF15" s="117"/>
      <c r="DLG15" s="117"/>
      <c r="DLH15" s="118"/>
      <c r="DLI15" s="118"/>
      <c r="DLJ15" s="118"/>
      <c r="DLK15" s="116"/>
      <c r="DLL15" s="116"/>
      <c r="DLM15" s="116"/>
      <c r="DLN15" s="117"/>
      <c r="DLO15" s="117"/>
      <c r="DLP15" s="118"/>
      <c r="DLQ15" s="118"/>
      <c r="DLR15" s="118"/>
      <c r="DLS15" s="116"/>
      <c r="DLT15" s="116"/>
      <c r="DLU15" s="116"/>
      <c r="DLV15" s="117"/>
      <c r="DLW15" s="117"/>
      <c r="DLX15" s="118"/>
      <c r="DLY15" s="118"/>
      <c r="DLZ15" s="118"/>
      <c r="DMA15" s="116"/>
      <c r="DMB15" s="116"/>
      <c r="DMC15" s="116"/>
      <c r="DMD15" s="117"/>
      <c r="DME15" s="117"/>
      <c r="DMF15" s="118"/>
      <c r="DMG15" s="118"/>
      <c r="DMH15" s="118"/>
      <c r="DMI15" s="116"/>
      <c r="DMJ15" s="116"/>
      <c r="DMK15" s="116"/>
      <c r="DML15" s="117"/>
      <c r="DMM15" s="117"/>
      <c r="DMN15" s="118"/>
      <c r="DMO15" s="118"/>
      <c r="DMP15" s="118"/>
      <c r="DMQ15" s="116"/>
      <c r="DMR15" s="116"/>
      <c r="DMS15" s="116"/>
      <c r="DMT15" s="117"/>
      <c r="DMU15" s="117"/>
      <c r="DMV15" s="118"/>
      <c r="DMW15" s="118"/>
      <c r="DMX15" s="118"/>
      <c r="DMY15" s="116"/>
      <c r="DMZ15" s="116"/>
      <c r="DNA15" s="116"/>
      <c r="DNB15" s="117"/>
      <c r="DNC15" s="117"/>
      <c r="DND15" s="118"/>
      <c r="DNE15" s="118"/>
      <c r="DNF15" s="118"/>
      <c r="DNG15" s="116"/>
      <c r="DNH15" s="116"/>
      <c r="DNI15" s="116"/>
      <c r="DNJ15" s="117"/>
      <c r="DNK15" s="117"/>
      <c r="DNL15" s="118"/>
      <c r="DNM15" s="118"/>
      <c r="DNN15" s="118"/>
      <c r="DNO15" s="116"/>
      <c r="DNP15" s="116"/>
      <c r="DNQ15" s="116"/>
      <c r="DNR15" s="117"/>
      <c r="DNS15" s="117"/>
      <c r="DNT15" s="118"/>
      <c r="DNU15" s="118"/>
      <c r="DNV15" s="118"/>
      <c r="DNW15" s="116"/>
      <c r="DNX15" s="116"/>
      <c r="DNY15" s="116"/>
      <c r="DNZ15" s="117"/>
      <c r="DOA15" s="117"/>
      <c r="DOB15" s="118"/>
      <c r="DOC15" s="118"/>
      <c r="DOD15" s="118"/>
      <c r="DOE15" s="116"/>
      <c r="DOF15" s="116"/>
      <c r="DOG15" s="116"/>
      <c r="DOH15" s="117"/>
      <c r="DOI15" s="117"/>
      <c r="DOJ15" s="118"/>
      <c r="DOK15" s="118"/>
      <c r="DOL15" s="118"/>
      <c r="DOM15" s="116"/>
      <c r="DON15" s="116"/>
      <c r="DOO15" s="116"/>
      <c r="DOP15" s="117"/>
      <c r="DOQ15" s="117"/>
      <c r="DOR15" s="118"/>
      <c r="DOS15" s="118"/>
      <c r="DOT15" s="118"/>
      <c r="DOU15" s="116"/>
      <c r="DOV15" s="116"/>
      <c r="DOW15" s="116"/>
      <c r="DOX15" s="117"/>
      <c r="DOY15" s="117"/>
      <c r="DOZ15" s="118"/>
      <c r="DPA15" s="118"/>
      <c r="DPB15" s="118"/>
      <c r="DPC15" s="116"/>
      <c r="DPD15" s="116"/>
      <c r="DPE15" s="116"/>
      <c r="DPF15" s="117"/>
      <c r="DPG15" s="117"/>
      <c r="DPH15" s="118"/>
      <c r="DPI15" s="118"/>
      <c r="DPJ15" s="118"/>
      <c r="DPK15" s="116"/>
      <c r="DPL15" s="116"/>
      <c r="DPM15" s="116"/>
      <c r="DPN15" s="117"/>
      <c r="DPO15" s="117"/>
      <c r="DPP15" s="118"/>
      <c r="DPQ15" s="118"/>
      <c r="DPR15" s="118"/>
      <c r="DPS15" s="116"/>
      <c r="DPT15" s="116"/>
      <c r="DPU15" s="116"/>
      <c r="DPV15" s="117"/>
      <c r="DPW15" s="117"/>
      <c r="DPX15" s="118"/>
      <c r="DPY15" s="118"/>
      <c r="DPZ15" s="118"/>
      <c r="DQA15" s="116"/>
      <c r="DQB15" s="116"/>
      <c r="DQC15" s="116"/>
      <c r="DQD15" s="117"/>
      <c r="DQE15" s="117"/>
      <c r="DQF15" s="118"/>
      <c r="DQG15" s="118"/>
      <c r="DQH15" s="118"/>
      <c r="DQI15" s="116"/>
      <c r="DQJ15" s="116"/>
      <c r="DQK15" s="116"/>
      <c r="DQL15" s="117"/>
      <c r="DQM15" s="117"/>
      <c r="DQN15" s="118"/>
      <c r="DQO15" s="118"/>
      <c r="DQP15" s="118"/>
      <c r="DQQ15" s="116"/>
      <c r="DQR15" s="116"/>
      <c r="DQS15" s="116"/>
      <c r="DQT15" s="117"/>
      <c r="DQU15" s="117"/>
      <c r="DQV15" s="118"/>
      <c r="DQW15" s="118"/>
      <c r="DQX15" s="118"/>
      <c r="DQY15" s="116"/>
      <c r="DQZ15" s="116"/>
      <c r="DRA15" s="116"/>
      <c r="DRB15" s="117"/>
      <c r="DRC15" s="117"/>
      <c r="DRD15" s="118"/>
      <c r="DRE15" s="118"/>
      <c r="DRF15" s="118"/>
      <c r="DRG15" s="116"/>
      <c r="DRH15" s="116"/>
      <c r="DRI15" s="116"/>
      <c r="DRJ15" s="117"/>
      <c r="DRK15" s="117"/>
      <c r="DRL15" s="118"/>
      <c r="DRM15" s="118"/>
      <c r="DRN15" s="118"/>
      <c r="DRO15" s="116"/>
      <c r="DRP15" s="116"/>
      <c r="DRQ15" s="116"/>
      <c r="DRR15" s="117"/>
      <c r="DRS15" s="117"/>
      <c r="DRT15" s="118"/>
      <c r="DRU15" s="118"/>
      <c r="DRV15" s="118"/>
      <c r="DRW15" s="116"/>
      <c r="DRX15" s="116"/>
      <c r="DRY15" s="116"/>
      <c r="DRZ15" s="117"/>
      <c r="DSA15" s="117"/>
      <c r="DSB15" s="118"/>
      <c r="DSC15" s="118"/>
      <c r="DSD15" s="118"/>
      <c r="DSE15" s="116"/>
      <c r="DSF15" s="116"/>
      <c r="DSG15" s="116"/>
      <c r="DSH15" s="117"/>
      <c r="DSI15" s="117"/>
      <c r="DSJ15" s="118"/>
      <c r="DSK15" s="118"/>
      <c r="DSL15" s="118"/>
      <c r="DSM15" s="116"/>
      <c r="DSN15" s="116"/>
      <c r="DSO15" s="116"/>
      <c r="DSP15" s="117"/>
      <c r="DSQ15" s="117"/>
      <c r="DSR15" s="118"/>
      <c r="DSS15" s="118"/>
      <c r="DST15" s="118"/>
      <c r="DSU15" s="116"/>
      <c r="DSV15" s="116"/>
      <c r="DSW15" s="116"/>
      <c r="DSX15" s="117"/>
      <c r="DSY15" s="117"/>
      <c r="DSZ15" s="118"/>
      <c r="DTA15" s="118"/>
      <c r="DTB15" s="118"/>
      <c r="DTC15" s="116"/>
      <c r="DTD15" s="116"/>
      <c r="DTE15" s="116"/>
      <c r="DTF15" s="117"/>
      <c r="DTG15" s="117"/>
      <c r="DTH15" s="118"/>
      <c r="DTI15" s="118"/>
      <c r="DTJ15" s="118"/>
      <c r="DTK15" s="116"/>
      <c r="DTL15" s="116"/>
      <c r="DTM15" s="116"/>
      <c r="DTN15" s="117"/>
      <c r="DTO15" s="117"/>
      <c r="DTP15" s="118"/>
      <c r="DTQ15" s="118"/>
      <c r="DTR15" s="118"/>
      <c r="DTS15" s="116"/>
      <c r="DTT15" s="116"/>
      <c r="DTU15" s="116"/>
      <c r="DTV15" s="117"/>
      <c r="DTW15" s="117"/>
      <c r="DTX15" s="118"/>
      <c r="DTY15" s="118"/>
      <c r="DTZ15" s="118"/>
      <c r="DUA15" s="116"/>
      <c r="DUB15" s="116"/>
      <c r="DUC15" s="116"/>
      <c r="DUD15" s="117"/>
      <c r="DUE15" s="117"/>
      <c r="DUF15" s="118"/>
      <c r="DUG15" s="118"/>
      <c r="DUH15" s="118"/>
      <c r="DUI15" s="116"/>
      <c r="DUJ15" s="116"/>
      <c r="DUK15" s="116"/>
      <c r="DUL15" s="117"/>
      <c r="DUM15" s="117"/>
      <c r="DUN15" s="118"/>
      <c r="DUO15" s="118"/>
      <c r="DUP15" s="118"/>
      <c r="DUQ15" s="116"/>
      <c r="DUR15" s="116"/>
      <c r="DUS15" s="116"/>
      <c r="DUT15" s="117"/>
      <c r="DUU15" s="117"/>
      <c r="DUV15" s="118"/>
      <c r="DUW15" s="118"/>
      <c r="DUX15" s="118"/>
      <c r="DUY15" s="116"/>
      <c r="DUZ15" s="116"/>
      <c r="DVA15" s="116"/>
      <c r="DVB15" s="117"/>
      <c r="DVC15" s="117"/>
      <c r="DVD15" s="118"/>
      <c r="DVE15" s="118"/>
      <c r="DVF15" s="118"/>
      <c r="DVG15" s="116"/>
      <c r="DVH15" s="116"/>
      <c r="DVI15" s="116"/>
      <c r="DVJ15" s="117"/>
      <c r="DVK15" s="117"/>
      <c r="DVL15" s="118"/>
      <c r="DVM15" s="118"/>
      <c r="DVN15" s="118"/>
      <c r="DVO15" s="116"/>
      <c r="DVP15" s="116"/>
      <c r="DVQ15" s="116"/>
      <c r="DVR15" s="117"/>
      <c r="DVS15" s="117"/>
      <c r="DVT15" s="118"/>
      <c r="DVU15" s="118"/>
      <c r="DVV15" s="118"/>
      <c r="DVW15" s="116"/>
      <c r="DVX15" s="116"/>
      <c r="DVY15" s="116"/>
      <c r="DVZ15" s="117"/>
      <c r="DWA15" s="117"/>
      <c r="DWB15" s="118"/>
      <c r="DWC15" s="118"/>
      <c r="DWD15" s="118"/>
      <c r="DWE15" s="116"/>
      <c r="DWF15" s="116"/>
      <c r="DWG15" s="116"/>
      <c r="DWH15" s="117"/>
      <c r="DWI15" s="117"/>
      <c r="DWJ15" s="118"/>
      <c r="DWK15" s="118"/>
      <c r="DWL15" s="118"/>
      <c r="DWM15" s="116"/>
      <c r="DWN15" s="116"/>
      <c r="DWO15" s="116"/>
      <c r="DWP15" s="117"/>
      <c r="DWQ15" s="117"/>
      <c r="DWR15" s="118"/>
      <c r="DWS15" s="118"/>
      <c r="DWT15" s="118"/>
      <c r="DWU15" s="116"/>
      <c r="DWV15" s="116"/>
      <c r="DWW15" s="116"/>
      <c r="DWX15" s="117"/>
      <c r="DWY15" s="117"/>
      <c r="DWZ15" s="118"/>
      <c r="DXA15" s="118"/>
      <c r="DXB15" s="118"/>
      <c r="DXC15" s="116"/>
      <c r="DXD15" s="116"/>
      <c r="DXE15" s="116"/>
      <c r="DXF15" s="117"/>
      <c r="DXG15" s="117"/>
      <c r="DXH15" s="118"/>
      <c r="DXI15" s="118"/>
      <c r="DXJ15" s="118"/>
      <c r="DXK15" s="116"/>
      <c r="DXL15" s="116"/>
      <c r="DXM15" s="116"/>
      <c r="DXN15" s="117"/>
      <c r="DXO15" s="117"/>
      <c r="DXP15" s="118"/>
      <c r="DXQ15" s="118"/>
      <c r="DXR15" s="118"/>
      <c r="DXS15" s="116"/>
      <c r="DXT15" s="116"/>
      <c r="DXU15" s="116"/>
      <c r="DXV15" s="117"/>
      <c r="DXW15" s="117"/>
      <c r="DXX15" s="118"/>
      <c r="DXY15" s="118"/>
      <c r="DXZ15" s="118"/>
      <c r="DYA15" s="116"/>
      <c r="DYB15" s="116"/>
      <c r="DYC15" s="116"/>
      <c r="DYD15" s="117"/>
      <c r="DYE15" s="117"/>
      <c r="DYF15" s="118"/>
      <c r="DYG15" s="118"/>
      <c r="DYH15" s="118"/>
      <c r="DYI15" s="116"/>
      <c r="DYJ15" s="116"/>
      <c r="DYK15" s="116"/>
      <c r="DYL15" s="117"/>
      <c r="DYM15" s="117"/>
      <c r="DYN15" s="118"/>
      <c r="DYO15" s="118"/>
      <c r="DYP15" s="118"/>
      <c r="DYQ15" s="116"/>
      <c r="DYR15" s="116"/>
      <c r="DYS15" s="116"/>
      <c r="DYT15" s="117"/>
      <c r="DYU15" s="117"/>
      <c r="DYV15" s="118"/>
      <c r="DYW15" s="118"/>
      <c r="DYX15" s="118"/>
      <c r="DYY15" s="116"/>
      <c r="DYZ15" s="116"/>
      <c r="DZA15" s="116"/>
      <c r="DZB15" s="117"/>
      <c r="DZC15" s="117"/>
      <c r="DZD15" s="118"/>
      <c r="DZE15" s="118"/>
      <c r="DZF15" s="118"/>
      <c r="DZG15" s="116"/>
      <c r="DZH15" s="116"/>
      <c r="DZI15" s="116"/>
      <c r="DZJ15" s="117"/>
      <c r="DZK15" s="117"/>
      <c r="DZL15" s="118"/>
      <c r="DZM15" s="118"/>
      <c r="DZN15" s="118"/>
      <c r="DZO15" s="116"/>
      <c r="DZP15" s="116"/>
      <c r="DZQ15" s="116"/>
      <c r="DZR15" s="117"/>
      <c r="DZS15" s="117"/>
      <c r="DZT15" s="118"/>
      <c r="DZU15" s="118"/>
      <c r="DZV15" s="118"/>
      <c r="DZW15" s="116"/>
      <c r="DZX15" s="116"/>
      <c r="DZY15" s="116"/>
      <c r="DZZ15" s="117"/>
      <c r="EAA15" s="117"/>
      <c r="EAB15" s="118"/>
      <c r="EAC15" s="118"/>
      <c r="EAD15" s="118"/>
      <c r="EAE15" s="342"/>
      <c r="EAF15" s="342"/>
      <c r="EAG15" s="342"/>
      <c r="EAH15" s="357"/>
      <c r="EAI15" s="357"/>
      <c r="EAJ15" s="358"/>
      <c r="EAK15" s="358"/>
      <c r="EAL15" s="358"/>
      <c r="EAM15" s="342"/>
      <c r="EAN15" s="342"/>
      <c r="EAO15" s="342"/>
      <c r="EAP15" s="357"/>
      <c r="EAQ15" s="357"/>
      <c r="EAR15" s="358"/>
      <c r="EAS15" s="358"/>
      <c r="EAT15" s="358"/>
      <c r="EAU15" s="342"/>
      <c r="EAV15" s="342"/>
      <c r="EAW15" s="342"/>
      <c r="EAX15" s="357"/>
      <c r="EAY15" s="357"/>
      <c r="EAZ15" s="358"/>
      <c r="EBA15" s="358"/>
      <c r="EBB15" s="358"/>
      <c r="EBC15" s="342"/>
      <c r="EBD15" s="342"/>
      <c r="EBE15" s="342"/>
      <c r="EBF15" s="357"/>
      <c r="EBG15" s="357"/>
      <c r="EBH15" s="358"/>
      <c r="EBI15" s="358"/>
      <c r="EBJ15" s="358"/>
      <c r="EBK15" s="342"/>
      <c r="EBL15" s="342"/>
      <c r="EBM15" s="342"/>
      <c r="EBN15" s="357"/>
      <c r="EBO15" s="357"/>
      <c r="EBP15" s="358"/>
      <c r="EBQ15" s="358"/>
      <c r="EBR15" s="358"/>
      <c r="EBS15" s="342"/>
      <c r="EBT15" s="342"/>
      <c r="EBU15" s="342"/>
      <c r="EBV15" s="357"/>
      <c r="EBW15" s="357"/>
      <c r="EBX15" s="358"/>
      <c r="EBY15" s="358"/>
      <c r="EBZ15" s="358"/>
      <c r="ECA15" s="342"/>
      <c r="ECB15" s="342"/>
      <c r="ECC15" s="342"/>
      <c r="ECD15" s="357"/>
      <c r="ECE15" s="357"/>
      <c r="ECF15" s="358"/>
      <c r="ECG15" s="358"/>
      <c r="ECH15" s="358"/>
      <c r="ECI15" s="342"/>
      <c r="ECJ15" s="342"/>
      <c r="ECK15" s="342"/>
      <c r="ECL15" s="357"/>
      <c r="ECM15" s="357"/>
      <c r="ECN15" s="358"/>
      <c r="ECO15" s="358"/>
      <c r="ECP15" s="358"/>
      <c r="ECQ15" s="342"/>
      <c r="ECR15" s="342"/>
      <c r="ECS15" s="342"/>
      <c r="ECT15" s="357"/>
      <c r="ECU15" s="357"/>
      <c r="ECV15" s="358"/>
      <c r="ECW15" s="358"/>
      <c r="ECX15" s="358"/>
      <c r="ECY15" s="342"/>
      <c r="ECZ15" s="342"/>
      <c r="EDA15" s="342"/>
      <c r="EDB15" s="357"/>
      <c r="EDC15" s="357"/>
      <c r="EDD15" s="358"/>
      <c r="EDE15" s="358"/>
      <c r="EDF15" s="358"/>
      <c r="EDG15" s="342"/>
      <c r="EDH15" s="342"/>
      <c r="EDI15" s="342"/>
      <c r="EDJ15" s="357"/>
      <c r="EDK15" s="357"/>
      <c r="EDL15" s="358"/>
      <c r="EDM15" s="358"/>
      <c r="EDN15" s="358"/>
      <c r="EDO15" s="342"/>
      <c r="EDP15" s="342"/>
      <c r="EDQ15" s="342"/>
      <c r="EDR15" s="357"/>
      <c r="EDS15" s="357"/>
      <c r="EDT15" s="358"/>
      <c r="EDU15" s="358"/>
      <c r="EDV15" s="358"/>
      <c r="EDW15" s="342"/>
      <c r="EDX15" s="342"/>
      <c r="EDY15" s="342"/>
      <c r="EDZ15" s="357"/>
      <c r="EEA15" s="357"/>
      <c r="EEB15" s="358"/>
      <c r="EEC15" s="358"/>
      <c r="EED15" s="358"/>
      <c r="EEE15" s="342"/>
      <c r="EEF15" s="342"/>
      <c r="EEG15" s="342"/>
      <c r="EEH15" s="357"/>
      <c r="EEI15" s="357"/>
      <c r="EEJ15" s="358"/>
      <c r="EEK15" s="358"/>
      <c r="EEL15" s="358"/>
      <c r="EEM15" s="342"/>
      <c r="EEN15" s="342"/>
      <c r="EEO15" s="342"/>
      <c r="EEP15" s="357"/>
      <c r="EEQ15" s="357"/>
      <c r="EER15" s="358"/>
      <c r="EES15" s="358"/>
      <c r="EET15" s="358"/>
      <c r="EEU15" s="342"/>
      <c r="EEV15" s="342"/>
      <c r="EEW15" s="342"/>
      <c r="EEX15" s="357"/>
      <c r="EEY15" s="357"/>
      <c r="EEZ15" s="358"/>
      <c r="EFA15" s="358"/>
      <c r="EFB15" s="358"/>
      <c r="EFC15" s="342"/>
      <c r="EFD15" s="342"/>
      <c r="EFE15" s="342"/>
      <c r="EFF15" s="357"/>
      <c r="EFG15" s="357"/>
      <c r="EFH15" s="358"/>
      <c r="EFI15" s="358"/>
      <c r="EFJ15" s="358"/>
      <c r="EFK15" s="342"/>
      <c r="EFL15" s="342"/>
      <c r="EFM15" s="342"/>
      <c r="EFN15" s="357"/>
      <c r="EFO15" s="357"/>
      <c r="EFP15" s="358"/>
      <c r="EFQ15" s="358"/>
      <c r="EFR15" s="358"/>
      <c r="EFS15" s="342"/>
      <c r="EFT15" s="342"/>
      <c r="EFU15" s="342"/>
      <c r="EFV15" s="357"/>
      <c r="EFW15" s="357"/>
      <c r="EFX15" s="358"/>
      <c r="EFY15" s="358"/>
      <c r="EFZ15" s="358"/>
      <c r="EGA15" s="342"/>
      <c r="EGB15" s="342"/>
      <c r="EGC15" s="342"/>
      <c r="EGD15" s="357"/>
      <c r="EGE15" s="357"/>
      <c r="EGF15" s="358"/>
      <c r="EGG15" s="358"/>
      <c r="EGH15" s="358"/>
      <c r="EGI15" s="342"/>
      <c r="EGJ15" s="342"/>
      <c r="EGK15" s="342"/>
      <c r="EGL15" s="357"/>
      <c r="EGM15" s="357"/>
      <c r="EGN15" s="358"/>
      <c r="EGO15" s="358"/>
      <c r="EGP15" s="358"/>
      <c r="EGQ15" s="342"/>
      <c r="EGR15" s="342"/>
      <c r="EGS15" s="342"/>
      <c r="EGT15" s="357"/>
      <c r="EGU15" s="357"/>
      <c r="EGV15" s="358"/>
      <c r="EGW15" s="358"/>
      <c r="EGX15" s="358"/>
      <c r="EGY15" s="342"/>
      <c r="EGZ15" s="342"/>
      <c r="EHA15" s="342"/>
      <c r="EHB15" s="357"/>
      <c r="EHC15" s="357"/>
      <c r="EHD15" s="358"/>
      <c r="EHE15" s="358"/>
      <c r="EHF15" s="358"/>
      <c r="EHG15" s="342"/>
      <c r="EHH15" s="342"/>
      <c r="EHI15" s="342"/>
      <c r="EHJ15" s="357"/>
      <c r="EHK15" s="357"/>
      <c r="EHL15" s="358"/>
      <c r="EHM15" s="358"/>
      <c r="EHN15" s="358"/>
      <c r="EHO15" s="342"/>
      <c r="EHP15" s="342"/>
      <c r="EHQ15" s="342"/>
      <c r="EHR15" s="357"/>
      <c r="EHS15" s="357"/>
      <c r="EHT15" s="358"/>
      <c r="EHU15" s="358"/>
      <c r="EHV15" s="358"/>
      <c r="EHW15" s="342"/>
      <c r="EHX15" s="342"/>
      <c r="EHY15" s="342"/>
      <c r="EHZ15" s="357"/>
      <c r="EIA15" s="357"/>
      <c r="EIB15" s="358"/>
      <c r="EIC15" s="358"/>
      <c r="EID15" s="358"/>
      <c r="EIE15" s="342"/>
      <c r="EIF15" s="342"/>
      <c r="EIG15" s="342"/>
      <c r="EIH15" s="357"/>
      <c r="EII15" s="357"/>
      <c r="EIJ15" s="358"/>
      <c r="EIK15" s="358"/>
      <c r="EIL15" s="358"/>
      <c r="EIM15" s="342"/>
      <c r="EIN15" s="342"/>
      <c r="EIO15" s="342"/>
      <c r="EIP15" s="357"/>
      <c r="EIQ15" s="357"/>
      <c r="EIR15" s="358"/>
      <c r="EIS15" s="358"/>
      <c r="EIT15" s="358"/>
      <c r="EIU15" s="342"/>
      <c r="EIV15" s="342"/>
      <c r="EIW15" s="342"/>
      <c r="EIX15" s="357"/>
      <c r="EIY15" s="357"/>
      <c r="EIZ15" s="358"/>
      <c r="EJA15" s="358"/>
      <c r="EJB15" s="358"/>
      <c r="EJC15" s="342"/>
      <c r="EJD15" s="342"/>
      <c r="EJE15" s="342"/>
      <c r="EJF15" s="357"/>
      <c r="EJG15" s="357"/>
      <c r="EJH15" s="358"/>
      <c r="EJI15" s="358"/>
      <c r="EJJ15" s="358"/>
      <c r="EJK15" s="342"/>
      <c r="EJL15" s="342"/>
      <c r="EJM15" s="342"/>
      <c r="EJN15" s="357"/>
      <c r="EJO15" s="357"/>
      <c r="EJP15" s="358"/>
      <c r="EJQ15" s="358"/>
      <c r="EJR15" s="358"/>
      <c r="EJS15" s="342"/>
      <c r="EJT15" s="342"/>
      <c r="EJU15" s="342"/>
      <c r="EJV15" s="357"/>
      <c r="EJW15" s="357"/>
      <c r="EJX15" s="358"/>
      <c r="EJY15" s="358"/>
      <c r="EJZ15" s="358"/>
      <c r="EKA15" s="342"/>
      <c r="EKB15" s="342"/>
      <c r="EKC15" s="342"/>
      <c r="EKD15" s="357"/>
      <c r="EKE15" s="357"/>
      <c r="EKF15" s="358"/>
      <c r="EKG15" s="358"/>
      <c r="EKH15" s="358"/>
      <c r="EKI15" s="342"/>
      <c r="EKJ15" s="342"/>
      <c r="EKK15" s="342"/>
      <c r="EKL15" s="357"/>
      <c r="EKM15" s="357"/>
      <c r="EKN15" s="358"/>
      <c r="EKO15" s="358"/>
      <c r="EKP15" s="358"/>
      <c r="EKQ15" s="342"/>
      <c r="EKR15" s="342"/>
      <c r="EKS15" s="342"/>
      <c r="EKT15" s="357"/>
      <c r="EKU15" s="357"/>
      <c r="EKV15" s="358"/>
      <c r="EKW15" s="358"/>
      <c r="EKX15" s="358"/>
      <c r="EKY15" s="342"/>
      <c r="EKZ15" s="342"/>
      <c r="ELA15" s="342"/>
      <c r="ELB15" s="357"/>
      <c r="ELC15" s="357"/>
      <c r="ELD15" s="358"/>
      <c r="ELE15" s="358"/>
      <c r="ELF15" s="358"/>
      <c r="ELG15" s="342"/>
      <c r="ELH15" s="342"/>
      <c r="ELI15" s="342"/>
      <c r="ELJ15" s="357"/>
      <c r="ELK15" s="357"/>
      <c r="ELL15" s="358"/>
      <c r="ELM15" s="358"/>
      <c r="ELN15" s="358"/>
      <c r="ELO15" s="342"/>
      <c r="ELP15" s="342"/>
      <c r="ELQ15" s="342"/>
      <c r="ELR15" s="357"/>
      <c r="ELS15" s="357"/>
      <c r="ELT15" s="358"/>
      <c r="ELU15" s="358"/>
      <c r="ELV15" s="358"/>
      <c r="ELW15" s="342"/>
      <c r="ELX15" s="342"/>
      <c r="ELY15" s="342"/>
      <c r="ELZ15" s="357"/>
      <c r="EMA15" s="357"/>
      <c r="EMB15" s="358"/>
      <c r="EMC15" s="358"/>
      <c r="EMD15" s="358"/>
      <c r="EME15" s="342"/>
      <c r="EMF15" s="342"/>
      <c r="EMG15" s="342"/>
      <c r="EMH15" s="357"/>
      <c r="EMI15" s="357"/>
      <c r="EMJ15" s="358"/>
      <c r="EMK15" s="358"/>
      <c r="EML15" s="358"/>
      <c r="EMM15" s="342"/>
      <c r="EMN15" s="342"/>
      <c r="EMO15" s="342"/>
      <c r="EMP15" s="357"/>
      <c r="EMQ15" s="357"/>
      <c r="EMR15" s="358"/>
      <c r="EMS15" s="358"/>
      <c r="EMT15" s="358"/>
      <c r="EMU15" s="342"/>
      <c r="EMV15" s="342"/>
      <c r="EMW15" s="342"/>
      <c r="EMX15" s="357"/>
      <c r="EMY15" s="357"/>
      <c r="EMZ15" s="358"/>
      <c r="ENA15" s="358"/>
      <c r="ENB15" s="358"/>
      <c r="ENC15" s="342"/>
      <c r="END15" s="342"/>
      <c r="ENE15" s="342"/>
      <c r="ENF15" s="357"/>
      <c r="ENG15" s="357"/>
      <c r="ENH15" s="358"/>
      <c r="ENI15" s="358"/>
      <c r="ENJ15" s="358"/>
      <c r="ENK15" s="342"/>
      <c r="ENL15" s="342"/>
      <c r="ENM15" s="342"/>
      <c r="ENN15" s="357"/>
      <c r="ENO15" s="357"/>
      <c r="ENP15" s="358"/>
      <c r="ENQ15" s="358"/>
      <c r="ENR15" s="358"/>
      <c r="ENS15" s="342"/>
      <c r="ENT15" s="342"/>
      <c r="ENU15" s="342"/>
      <c r="ENV15" s="357"/>
      <c r="ENW15" s="357"/>
      <c r="ENX15" s="358"/>
      <c r="ENY15" s="358"/>
      <c r="ENZ15" s="358"/>
      <c r="EOA15" s="342"/>
      <c r="EOB15" s="342"/>
      <c r="EOC15" s="342"/>
      <c r="EOD15" s="357"/>
      <c r="EOE15" s="357"/>
      <c r="EOF15" s="358"/>
      <c r="EOG15" s="358"/>
      <c r="EOH15" s="358"/>
      <c r="EOI15" s="342"/>
      <c r="EOJ15" s="342"/>
      <c r="EOK15" s="342"/>
      <c r="EOL15" s="357"/>
      <c r="EOM15" s="357"/>
      <c r="EON15" s="358"/>
      <c r="EOO15" s="358"/>
      <c r="EOP15" s="358"/>
      <c r="EOQ15" s="342"/>
      <c r="EOR15" s="342"/>
      <c r="EOS15" s="342"/>
      <c r="EOT15" s="357"/>
      <c r="EOU15" s="357"/>
      <c r="EOV15" s="358"/>
      <c r="EOW15" s="358"/>
      <c r="EOX15" s="358"/>
      <c r="EOY15" s="342"/>
      <c r="EOZ15" s="342"/>
      <c r="EPA15" s="342"/>
      <c r="EPB15" s="357"/>
      <c r="EPC15" s="357"/>
      <c r="EPD15" s="358"/>
      <c r="EPE15" s="358"/>
      <c r="EPF15" s="358"/>
      <c r="EPG15" s="342"/>
      <c r="EPH15" s="342"/>
      <c r="EPI15" s="342"/>
      <c r="EPJ15" s="357"/>
      <c r="EPK15" s="357"/>
      <c r="EPL15" s="358"/>
      <c r="EPM15" s="358"/>
      <c r="EPN15" s="358"/>
      <c r="EPO15" s="342"/>
      <c r="EPP15" s="342"/>
      <c r="EPQ15" s="342"/>
      <c r="EPR15" s="357"/>
      <c r="EPS15" s="357"/>
      <c r="EPT15" s="358"/>
      <c r="EPU15" s="358"/>
      <c r="EPV15" s="358"/>
      <c r="EPW15" s="342"/>
      <c r="EPX15" s="342"/>
      <c r="EPY15" s="342"/>
      <c r="EPZ15" s="357"/>
      <c r="EQA15" s="357"/>
      <c r="EQB15" s="358"/>
      <c r="EQC15" s="358"/>
      <c r="EQD15" s="358"/>
      <c r="EQE15" s="342"/>
      <c r="EQF15" s="342"/>
      <c r="EQG15" s="342"/>
      <c r="EQH15" s="357"/>
      <c r="EQI15" s="357"/>
      <c r="EQJ15" s="358"/>
      <c r="EQK15" s="358"/>
      <c r="EQL15" s="358"/>
      <c r="EQM15" s="342"/>
      <c r="EQN15" s="342"/>
      <c r="EQO15" s="342"/>
      <c r="EQP15" s="357"/>
      <c r="EQQ15" s="357"/>
      <c r="EQR15" s="358"/>
      <c r="EQS15" s="358"/>
      <c r="EQT15" s="358"/>
      <c r="EQU15" s="342"/>
      <c r="EQV15" s="342"/>
      <c r="EQW15" s="342"/>
      <c r="EQX15" s="357"/>
      <c r="EQY15" s="357"/>
      <c r="EQZ15" s="358"/>
      <c r="ERA15" s="358"/>
      <c r="ERB15" s="358"/>
      <c r="ERC15" s="342"/>
      <c r="ERD15" s="342"/>
      <c r="ERE15" s="342"/>
      <c r="ERF15" s="357"/>
      <c r="ERG15" s="357"/>
      <c r="ERH15" s="358"/>
      <c r="ERI15" s="358"/>
      <c r="ERJ15" s="358"/>
      <c r="ERK15" s="342"/>
      <c r="ERL15" s="342"/>
      <c r="ERM15" s="342"/>
      <c r="ERN15" s="357"/>
      <c r="ERO15" s="357"/>
      <c r="ERP15" s="358"/>
      <c r="ERQ15" s="358"/>
      <c r="ERR15" s="358"/>
      <c r="ERS15" s="342"/>
      <c r="ERT15" s="342"/>
      <c r="ERU15" s="342"/>
      <c r="ERV15" s="357"/>
      <c r="ERW15" s="357"/>
      <c r="ERX15" s="358"/>
      <c r="ERY15" s="358"/>
      <c r="ERZ15" s="358"/>
      <c r="ESA15" s="342"/>
      <c r="ESB15" s="342"/>
      <c r="ESC15" s="342"/>
      <c r="ESD15" s="357"/>
      <c r="ESE15" s="357"/>
      <c r="ESF15" s="358"/>
      <c r="ESG15" s="358"/>
      <c r="ESH15" s="358"/>
      <c r="ESI15" s="342"/>
      <c r="ESJ15" s="342"/>
      <c r="ESK15" s="342"/>
      <c r="ESL15" s="357"/>
      <c r="ESM15" s="357"/>
      <c r="ESN15" s="358"/>
      <c r="ESO15" s="358"/>
      <c r="ESP15" s="358"/>
      <c r="ESQ15" s="342"/>
      <c r="ESR15" s="342"/>
      <c r="ESS15" s="342"/>
      <c r="EST15" s="357"/>
      <c r="ESU15" s="357"/>
      <c r="ESV15" s="358"/>
      <c r="ESW15" s="358"/>
      <c r="ESX15" s="358"/>
      <c r="ESY15" s="342"/>
      <c r="ESZ15" s="342"/>
      <c r="ETA15" s="342"/>
      <c r="ETB15" s="357"/>
      <c r="ETC15" s="357"/>
      <c r="ETD15" s="358"/>
      <c r="ETE15" s="358"/>
      <c r="ETF15" s="358"/>
      <c r="ETG15" s="342"/>
      <c r="ETH15" s="342"/>
      <c r="ETI15" s="342"/>
      <c r="ETJ15" s="357"/>
      <c r="ETK15" s="357"/>
      <c r="ETL15" s="358"/>
      <c r="ETM15" s="358"/>
      <c r="ETN15" s="358"/>
      <c r="ETO15" s="342"/>
      <c r="ETP15" s="342"/>
      <c r="ETQ15" s="342"/>
      <c r="ETR15" s="357"/>
      <c r="ETS15" s="357"/>
      <c r="ETT15" s="358"/>
      <c r="ETU15" s="358"/>
      <c r="ETV15" s="358"/>
      <c r="ETW15" s="342"/>
      <c r="ETX15" s="342"/>
      <c r="ETY15" s="342"/>
      <c r="ETZ15" s="357"/>
      <c r="EUA15" s="357"/>
      <c r="EUB15" s="358"/>
      <c r="EUC15" s="358"/>
      <c r="EUD15" s="358"/>
      <c r="EUE15" s="342"/>
      <c r="EUF15" s="342"/>
      <c r="EUG15" s="342"/>
      <c r="EUH15" s="357"/>
      <c r="EUI15" s="357"/>
      <c r="EUJ15" s="358"/>
      <c r="EUK15" s="358"/>
      <c r="EUL15" s="358"/>
      <c r="EUM15" s="342"/>
      <c r="EUN15" s="342"/>
      <c r="EUO15" s="342"/>
      <c r="EUP15" s="357"/>
      <c r="EUQ15" s="357"/>
      <c r="EUR15" s="358"/>
      <c r="EUS15" s="358"/>
      <c r="EUT15" s="358"/>
      <c r="EUU15" s="342"/>
      <c r="EUV15" s="342"/>
      <c r="EUW15" s="342"/>
      <c r="EUX15" s="357"/>
      <c r="EUY15" s="357"/>
      <c r="EUZ15" s="358"/>
      <c r="EVA15" s="358"/>
      <c r="EVB15" s="358"/>
      <c r="EVC15" s="342"/>
      <c r="EVD15" s="342"/>
      <c r="EVE15" s="342"/>
      <c r="EVF15" s="357"/>
      <c r="EVG15" s="357"/>
      <c r="EVH15" s="358"/>
      <c r="EVI15" s="358"/>
      <c r="EVJ15" s="358"/>
      <c r="EVK15" s="342"/>
      <c r="EVL15" s="342"/>
      <c r="EVM15" s="342"/>
      <c r="EVN15" s="357"/>
      <c r="EVO15" s="357"/>
      <c r="EVP15" s="358"/>
      <c r="EVQ15" s="358"/>
      <c r="EVR15" s="358"/>
      <c r="EVS15" s="342"/>
      <c r="EVT15" s="342"/>
      <c r="EVU15" s="342"/>
      <c r="EVV15" s="357"/>
      <c r="EVW15" s="357"/>
      <c r="EVX15" s="358"/>
      <c r="EVY15" s="358"/>
      <c r="EVZ15" s="358"/>
      <c r="EWA15" s="342"/>
      <c r="EWB15" s="342"/>
      <c r="EWC15" s="342"/>
      <c r="EWD15" s="357"/>
      <c r="EWE15" s="357"/>
      <c r="EWF15" s="358"/>
      <c r="EWG15" s="358"/>
      <c r="EWH15" s="358"/>
      <c r="EWI15" s="342"/>
      <c r="EWJ15" s="342"/>
      <c r="EWK15" s="342"/>
      <c r="EWL15" s="357"/>
      <c r="EWM15" s="357"/>
      <c r="EWN15" s="358"/>
      <c r="EWO15" s="358"/>
      <c r="EWP15" s="358"/>
      <c r="EWQ15" s="342"/>
      <c r="EWR15" s="342"/>
      <c r="EWS15" s="342"/>
      <c r="EWT15" s="357"/>
      <c r="EWU15" s="357"/>
      <c r="EWV15" s="358"/>
      <c r="EWW15" s="358"/>
      <c r="EWX15" s="358"/>
      <c r="EWY15" s="342"/>
      <c r="EWZ15" s="342"/>
      <c r="EXA15" s="342"/>
      <c r="EXB15" s="357"/>
      <c r="EXC15" s="357"/>
      <c r="EXD15" s="358"/>
      <c r="EXE15" s="358"/>
      <c r="EXF15" s="358"/>
      <c r="EXG15" s="342"/>
      <c r="EXH15" s="342"/>
      <c r="EXI15" s="342"/>
      <c r="EXJ15" s="357"/>
      <c r="EXK15" s="357"/>
      <c r="EXL15" s="358"/>
      <c r="EXM15" s="358"/>
      <c r="EXN15" s="358"/>
      <c r="EXO15" s="342"/>
      <c r="EXP15" s="342"/>
      <c r="EXQ15" s="342"/>
      <c r="EXR15" s="357"/>
      <c r="EXS15" s="357"/>
      <c r="EXT15" s="358"/>
      <c r="EXU15" s="358"/>
      <c r="EXV15" s="358"/>
      <c r="EXW15" s="342"/>
      <c r="EXX15" s="342"/>
      <c r="EXY15" s="342"/>
      <c r="EXZ15" s="357"/>
      <c r="EYA15" s="357"/>
      <c r="EYB15" s="358"/>
      <c r="EYC15" s="358"/>
      <c r="EYD15" s="358"/>
      <c r="EYE15" s="342"/>
      <c r="EYF15" s="342"/>
      <c r="EYG15" s="342"/>
      <c r="EYH15" s="357"/>
      <c r="EYI15" s="357"/>
      <c r="EYJ15" s="358"/>
      <c r="EYK15" s="358"/>
      <c r="EYL15" s="358"/>
      <c r="EYM15" s="342"/>
      <c r="EYN15" s="342"/>
      <c r="EYO15" s="342"/>
      <c r="EYP15" s="357"/>
      <c r="EYQ15" s="357"/>
      <c r="EYR15" s="358"/>
      <c r="EYS15" s="358"/>
      <c r="EYT15" s="358"/>
      <c r="EYU15" s="342"/>
      <c r="EYV15" s="342"/>
      <c r="EYW15" s="342"/>
      <c r="EYX15" s="357"/>
      <c r="EYY15" s="357"/>
      <c r="EYZ15" s="358"/>
      <c r="EZA15" s="358"/>
      <c r="EZB15" s="358"/>
      <c r="EZC15" s="342"/>
      <c r="EZD15" s="342"/>
      <c r="EZE15" s="342"/>
      <c r="EZF15" s="357"/>
      <c r="EZG15" s="357"/>
      <c r="EZH15" s="358"/>
      <c r="EZI15" s="358"/>
      <c r="EZJ15" s="358"/>
      <c r="EZK15" s="342"/>
      <c r="EZL15" s="342"/>
      <c r="EZM15" s="342"/>
      <c r="EZN15" s="357"/>
      <c r="EZO15" s="357"/>
      <c r="EZP15" s="358"/>
      <c r="EZQ15" s="358"/>
      <c r="EZR15" s="358"/>
      <c r="EZS15" s="342"/>
      <c r="EZT15" s="342"/>
      <c r="EZU15" s="342"/>
      <c r="EZV15" s="357"/>
      <c r="EZW15" s="357"/>
      <c r="EZX15" s="358"/>
      <c r="EZY15" s="358"/>
      <c r="EZZ15" s="358"/>
      <c r="FAA15" s="342"/>
      <c r="FAB15" s="342"/>
      <c r="FAC15" s="342"/>
      <c r="FAD15" s="357"/>
      <c r="FAE15" s="357"/>
      <c r="FAF15" s="358"/>
      <c r="FAG15" s="358"/>
      <c r="FAH15" s="358"/>
      <c r="FAI15" s="342"/>
      <c r="FAJ15" s="342"/>
      <c r="FAK15" s="342"/>
      <c r="FAL15" s="357"/>
      <c r="FAM15" s="357"/>
      <c r="FAN15" s="358"/>
      <c r="FAO15" s="358"/>
      <c r="FAP15" s="358"/>
      <c r="FAQ15" s="342"/>
      <c r="FAR15" s="342"/>
      <c r="FAS15" s="342"/>
      <c r="FAT15" s="357"/>
      <c r="FAU15" s="357"/>
      <c r="FAV15" s="358"/>
      <c r="FAW15" s="358"/>
      <c r="FAX15" s="358"/>
      <c r="FAY15" s="342"/>
      <c r="FAZ15" s="342"/>
      <c r="FBA15" s="342"/>
      <c r="FBB15" s="357"/>
      <c r="FBC15" s="357"/>
      <c r="FBD15" s="358"/>
      <c r="FBE15" s="358"/>
      <c r="FBF15" s="358"/>
      <c r="FBG15" s="342"/>
      <c r="FBH15" s="342"/>
      <c r="FBI15" s="342"/>
      <c r="FBJ15" s="357"/>
      <c r="FBK15" s="357"/>
      <c r="FBL15" s="358"/>
      <c r="FBM15" s="358"/>
      <c r="FBN15" s="358"/>
      <c r="FBO15" s="342"/>
      <c r="FBP15" s="342"/>
      <c r="FBQ15" s="342"/>
      <c r="FBR15" s="357"/>
      <c r="FBS15" s="357"/>
      <c r="FBT15" s="358"/>
      <c r="FBU15" s="358"/>
      <c r="FBV15" s="358"/>
      <c r="FBW15" s="342"/>
      <c r="FBX15" s="342"/>
      <c r="FBY15" s="342"/>
      <c r="FBZ15" s="357"/>
      <c r="FCA15" s="357"/>
      <c r="FCB15" s="358"/>
      <c r="FCC15" s="358"/>
      <c r="FCD15" s="358"/>
      <c r="FCE15" s="342"/>
      <c r="FCF15" s="342"/>
      <c r="FCG15" s="342"/>
      <c r="FCH15" s="357"/>
      <c r="FCI15" s="357"/>
      <c r="FCJ15" s="358"/>
      <c r="FCK15" s="358"/>
      <c r="FCL15" s="358"/>
      <c r="FCM15" s="342"/>
      <c r="FCN15" s="342"/>
      <c r="FCO15" s="342"/>
      <c r="FCP15" s="357"/>
      <c r="FCQ15" s="357"/>
      <c r="FCR15" s="358"/>
      <c r="FCS15" s="358"/>
      <c r="FCT15" s="358"/>
      <c r="FCU15" s="342"/>
      <c r="FCV15" s="342"/>
      <c r="FCW15" s="342"/>
      <c r="FCX15" s="357"/>
      <c r="FCY15" s="357"/>
      <c r="FCZ15" s="358"/>
      <c r="FDA15" s="358"/>
      <c r="FDB15" s="358"/>
      <c r="FDC15" s="342"/>
      <c r="FDD15" s="342"/>
      <c r="FDE15" s="342"/>
      <c r="FDF15" s="357"/>
      <c r="FDG15" s="357"/>
      <c r="FDH15" s="358"/>
      <c r="FDI15" s="358"/>
      <c r="FDJ15" s="358"/>
      <c r="FDK15" s="342"/>
      <c r="FDL15" s="342"/>
      <c r="FDM15" s="342"/>
      <c r="FDN15" s="357"/>
      <c r="FDO15" s="357"/>
      <c r="FDP15" s="358"/>
      <c r="FDQ15" s="358"/>
      <c r="FDR15" s="358"/>
      <c r="FDS15" s="342"/>
      <c r="FDT15" s="342"/>
      <c r="FDU15" s="342"/>
      <c r="FDV15" s="357"/>
      <c r="FDW15" s="357"/>
      <c r="FDX15" s="358"/>
      <c r="FDY15" s="358"/>
      <c r="FDZ15" s="358"/>
      <c r="FEA15" s="342"/>
      <c r="FEB15" s="342"/>
      <c r="FEC15" s="342"/>
      <c r="FED15" s="357"/>
      <c r="FEE15" s="357"/>
      <c r="FEF15" s="358"/>
      <c r="FEG15" s="358"/>
      <c r="FEH15" s="358"/>
      <c r="FEI15" s="342"/>
      <c r="FEJ15" s="342"/>
      <c r="FEK15" s="342"/>
      <c r="FEL15" s="357"/>
      <c r="FEM15" s="357"/>
      <c r="FEN15" s="358"/>
      <c r="FEO15" s="358"/>
      <c r="FEP15" s="358"/>
      <c r="FEQ15" s="342"/>
      <c r="FER15" s="342"/>
      <c r="FES15" s="342"/>
      <c r="FET15" s="357"/>
      <c r="FEU15" s="357"/>
      <c r="FEV15" s="358"/>
      <c r="FEW15" s="358"/>
      <c r="FEX15" s="358"/>
      <c r="FEY15" s="342"/>
      <c r="FEZ15" s="342"/>
      <c r="FFA15" s="342"/>
      <c r="FFB15" s="357"/>
      <c r="FFC15" s="357"/>
      <c r="FFD15" s="358"/>
      <c r="FFE15" s="358"/>
      <c r="FFF15" s="358"/>
      <c r="FFG15" s="342"/>
      <c r="FFH15" s="342"/>
      <c r="FFI15" s="342"/>
      <c r="FFJ15" s="357"/>
      <c r="FFK15" s="357"/>
      <c r="FFL15" s="358"/>
      <c r="FFM15" s="358"/>
      <c r="FFN15" s="358"/>
      <c r="FFO15" s="342"/>
      <c r="FFP15" s="342"/>
      <c r="FFQ15" s="342"/>
      <c r="FFR15" s="357"/>
      <c r="FFS15" s="357"/>
      <c r="FFT15" s="358"/>
      <c r="FFU15" s="358"/>
      <c r="FFV15" s="358"/>
      <c r="FFW15" s="342"/>
      <c r="FFX15" s="342"/>
      <c r="FFY15" s="342"/>
      <c r="FFZ15" s="357"/>
      <c r="FGA15" s="357"/>
      <c r="FGB15" s="358"/>
      <c r="FGC15" s="358"/>
      <c r="FGD15" s="358"/>
      <c r="FGE15" s="342"/>
      <c r="FGF15" s="342"/>
      <c r="FGG15" s="342"/>
      <c r="FGH15" s="357"/>
      <c r="FGI15" s="357"/>
      <c r="FGJ15" s="358"/>
      <c r="FGK15" s="358"/>
      <c r="FGL15" s="358"/>
      <c r="FGM15" s="342"/>
      <c r="FGN15" s="342"/>
      <c r="FGO15" s="342"/>
      <c r="FGP15" s="357"/>
      <c r="FGQ15" s="357"/>
      <c r="FGR15" s="358"/>
      <c r="FGS15" s="358"/>
      <c r="FGT15" s="358"/>
      <c r="FGU15" s="342"/>
      <c r="FGV15" s="342"/>
      <c r="FGW15" s="342"/>
      <c r="FGX15" s="357"/>
      <c r="FGY15" s="357"/>
      <c r="FGZ15" s="358"/>
      <c r="FHA15" s="358"/>
      <c r="FHB15" s="358"/>
      <c r="FHC15" s="342"/>
      <c r="FHD15" s="342"/>
      <c r="FHE15" s="342"/>
      <c r="FHF15" s="357"/>
      <c r="FHG15" s="357"/>
      <c r="FHH15" s="358"/>
      <c r="FHI15" s="358"/>
      <c r="FHJ15" s="358"/>
      <c r="FHK15" s="342"/>
      <c r="FHL15" s="342"/>
      <c r="FHM15" s="342"/>
      <c r="FHN15" s="357"/>
      <c r="FHO15" s="357"/>
      <c r="FHP15" s="358"/>
      <c r="FHQ15" s="358"/>
      <c r="FHR15" s="358"/>
      <c r="FHS15" s="342"/>
      <c r="FHT15" s="342"/>
      <c r="FHU15" s="342"/>
      <c r="FHV15" s="357"/>
      <c r="FHW15" s="357"/>
      <c r="FHX15" s="358"/>
      <c r="FHY15" s="358"/>
      <c r="FHZ15" s="358"/>
      <c r="FIA15" s="342"/>
      <c r="FIB15" s="342"/>
      <c r="FIC15" s="342"/>
      <c r="FID15" s="357"/>
      <c r="FIE15" s="357"/>
      <c r="FIF15" s="358"/>
      <c r="FIG15" s="358"/>
      <c r="FIH15" s="358"/>
      <c r="FII15" s="342"/>
      <c r="FIJ15" s="342"/>
      <c r="FIK15" s="342"/>
      <c r="FIL15" s="357"/>
      <c r="FIM15" s="357"/>
      <c r="FIN15" s="358"/>
      <c r="FIO15" s="358"/>
      <c r="FIP15" s="358"/>
      <c r="FIQ15" s="342"/>
      <c r="FIR15" s="342"/>
      <c r="FIS15" s="342"/>
      <c r="FIT15" s="357"/>
      <c r="FIU15" s="357"/>
      <c r="FIV15" s="358"/>
      <c r="FIW15" s="358"/>
      <c r="FIX15" s="358"/>
      <c r="FIY15" s="342"/>
      <c r="FIZ15" s="342"/>
      <c r="FJA15" s="342"/>
      <c r="FJB15" s="357"/>
      <c r="FJC15" s="357"/>
      <c r="FJD15" s="358"/>
      <c r="FJE15" s="358"/>
      <c r="FJF15" s="358"/>
      <c r="FJG15" s="342"/>
      <c r="FJH15" s="342"/>
      <c r="FJI15" s="342"/>
      <c r="FJJ15" s="357"/>
      <c r="FJK15" s="357"/>
      <c r="FJL15" s="358"/>
      <c r="FJM15" s="358"/>
      <c r="FJN15" s="358"/>
      <c r="FJO15" s="342"/>
      <c r="FJP15" s="342"/>
      <c r="FJQ15" s="342"/>
      <c r="FJR15" s="357"/>
      <c r="FJS15" s="357"/>
      <c r="FJT15" s="358"/>
      <c r="FJU15" s="358"/>
      <c r="FJV15" s="358"/>
      <c r="FJW15" s="342"/>
      <c r="FJX15" s="342"/>
      <c r="FJY15" s="342"/>
      <c r="FJZ15" s="357"/>
      <c r="FKA15" s="357"/>
      <c r="FKB15" s="358"/>
      <c r="FKC15" s="358"/>
      <c r="FKD15" s="358"/>
      <c r="FKE15" s="342"/>
      <c r="FKF15" s="342"/>
      <c r="FKG15" s="342"/>
      <c r="FKH15" s="357"/>
      <c r="FKI15" s="357"/>
      <c r="FKJ15" s="358"/>
      <c r="FKK15" s="358"/>
      <c r="FKL15" s="358"/>
      <c r="FKM15" s="342"/>
      <c r="FKN15" s="342"/>
      <c r="FKO15" s="342"/>
      <c r="FKP15" s="357"/>
      <c r="FKQ15" s="357"/>
      <c r="FKR15" s="358"/>
      <c r="FKS15" s="358"/>
      <c r="FKT15" s="358"/>
      <c r="FKU15" s="342"/>
      <c r="FKV15" s="342"/>
      <c r="FKW15" s="342"/>
      <c r="FKX15" s="357"/>
      <c r="FKY15" s="357"/>
      <c r="FKZ15" s="358"/>
      <c r="FLA15" s="358"/>
      <c r="FLB15" s="358"/>
      <c r="FLC15" s="342"/>
      <c r="FLD15" s="342"/>
      <c r="FLE15" s="342"/>
      <c r="FLF15" s="357"/>
      <c r="FLG15" s="357"/>
      <c r="FLH15" s="358"/>
      <c r="FLI15" s="358"/>
      <c r="FLJ15" s="358"/>
      <c r="FLK15" s="342"/>
      <c r="FLL15" s="342"/>
      <c r="FLM15" s="342"/>
      <c r="FLN15" s="357"/>
      <c r="FLO15" s="357"/>
      <c r="FLP15" s="358"/>
      <c r="FLQ15" s="358"/>
      <c r="FLR15" s="358"/>
      <c r="FLS15" s="342"/>
      <c r="FLT15" s="342"/>
      <c r="FLU15" s="342"/>
      <c r="FLV15" s="357"/>
      <c r="FLW15" s="357"/>
      <c r="FLX15" s="358"/>
      <c r="FLY15" s="358"/>
      <c r="FLZ15" s="358"/>
      <c r="FMA15" s="342"/>
      <c r="FMB15" s="342"/>
      <c r="FMC15" s="342"/>
      <c r="FMD15" s="357"/>
      <c r="FME15" s="357"/>
      <c r="FMF15" s="358"/>
      <c r="FMG15" s="358"/>
      <c r="FMH15" s="358"/>
      <c r="FMI15" s="342"/>
      <c r="FMJ15" s="342"/>
      <c r="FMK15" s="342"/>
      <c r="FML15" s="357"/>
      <c r="FMM15" s="357"/>
      <c r="FMN15" s="358"/>
      <c r="FMO15" s="358"/>
      <c r="FMP15" s="358"/>
      <c r="FMQ15" s="342"/>
      <c r="FMR15" s="342"/>
      <c r="FMS15" s="342"/>
      <c r="FMT15" s="357"/>
      <c r="FMU15" s="357"/>
      <c r="FMV15" s="358"/>
      <c r="FMW15" s="358"/>
      <c r="FMX15" s="358"/>
      <c r="FMY15" s="342"/>
      <c r="FMZ15" s="342"/>
      <c r="FNA15" s="342"/>
      <c r="FNB15" s="357"/>
      <c r="FNC15" s="357"/>
      <c r="FND15" s="358"/>
      <c r="FNE15" s="358"/>
      <c r="FNF15" s="358"/>
      <c r="FNG15" s="342"/>
      <c r="FNH15" s="342"/>
      <c r="FNI15" s="342"/>
      <c r="FNJ15" s="357"/>
      <c r="FNK15" s="357"/>
      <c r="FNL15" s="358"/>
      <c r="FNM15" s="358"/>
      <c r="FNN15" s="358"/>
      <c r="FNO15" s="342"/>
      <c r="FNP15" s="342"/>
      <c r="FNQ15" s="342"/>
      <c r="FNR15" s="357"/>
      <c r="FNS15" s="357"/>
      <c r="FNT15" s="358"/>
      <c r="FNU15" s="358"/>
      <c r="FNV15" s="358"/>
      <c r="FNW15" s="342"/>
      <c r="FNX15" s="342"/>
      <c r="FNY15" s="342"/>
      <c r="FNZ15" s="357"/>
      <c r="FOA15" s="357"/>
      <c r="FOB15" s="358"/>
      <c r="FOC15" s="358"/>
      <c r="FOD15" s="358"/>
      <c r="FOE15" s="342"/>
      <c r="FOF15" s="342"/>
      <c r="FOG15" s="342"/>
      <c r="FOH15" s="357"/>
      <c r="FOI15" s="357"/>
      <c r="FOJ15" s="358"/>
      <c r="FOK15" s="358"/>
      <c r="FOL15" s="358"/>
      <c r="FOM15" s="342"/>
      <c r="FON15" s="342"/>
      <c r="FOO15" s="342"/>
      <c r="FOP15" s="357"/>
      <c r="FOQ15" s="357"/>
      <c r="FOR15" s="358"/>
      <c r="FOS15" s="358"/>
      <c r="FOT15" s="358"/>
      <c r="FOU15" s="342"/>
      <c r="FOV15" s="342"/>
      <c r="FOW15" s="342"/>
      <c r="FOX15" s="357"/>
      <c r="FOY15" s="357"/>
      <c r="FOZ15" s="358"/>
      <c r="FPA15" s="358"/>
      <c r="FPB15" s="358"/>
      <c r="FPC15" s="342"/>
      <c r="FPD15" s="342"/>
      <c r="FPE15" s="342"/>
      <c r="FPF15" s="357"/>
      <c r="FPG15" s="357"/>
      <c r="FPH15" s="358"/>
      <c r="FPI15" s="358"/>
      <c r="FPJ15" s="358"/>
      <c r="FPK15" s="342"/>
      <c r="FPL15" s="342"/>
      <c r="FPM15" s="342"/>
      <c r="FPN15" s="357"/>
      <c r="FPO15" s="357"/>
      <c r="FPP15" s="358"/>
      <c r="FPQ15" s="358"/>
      <c r="FPR15" s="358"/>
      <c r="FPS15" s="342"/>
      <c r="FPT15" s="342"/>
      <c r="FPU15" s="342"/>
      <c r="FPV15" s="357"/>
      <c r="FPW15" s="357"/>
      <c r="FPX15" s="358"/>
      <c r="FPY15" s="358"/>
      <c r="FPZ15" s="358"/>
      <c r="FQA15" s="342"/>
      <c r="FQB15" s="342"/>
      <c r="FQC15" s="342"/>
      <c r="FQD15" s="357"/>
      <c r="FQE15" s="357"/>
      <c r="FQF15" s="358"/>
      <c r="FQG15" s="358"/>
      <c r="FQH15" s="358"/>
      <c r="FQI15" s="342"/>
      <c r="FQJ15" s="342"/>
      <c r="FQK15" s="342"/>
      <c r="FQL15" s="357"/>
      <c r="FQM15" s="357"/>
      <c r="FQN15" s="358"/>
      <c r="FQO15" s="358"/>
      <c r="FQP15" s="358"/>
      <c r="FQQ15" s="342"/>
      <c r="FQR15" s="342"/>
      <c r="FQS15" s="342"/>
      <c r="FQT15" s="357"/>
      <c r="FQU15" s="357"/>
      <c r="FQV15" s="358"/>
      <c r="FQW15" s="358"/>
      <c r="FQX15" s="358"/>
      <c r="FQY15" s="342"/>
      <c r="FQZ15" s="342"/>
      <c r="FRA15" s="342"/>
      <c r="FRB15" s="357"/>
      <c r="FRC15" s="357"/>
      <c r="FRD15" s="358"/>
      <c r="FRE15" s="358"/>
      <c r="FRF15" s="358"/>
      <c r="FRG15" s="342"/>
      <c r="FRH15" s="342"/>
      <c r="FRI15" s="342"/>
      <c r="FRJ15" s="357"/>
      <c r="FRK15" s="357"/>
      <c r="FRL15" s="358"/>
      <c r="FRM15" s="358"/>
      <c r="FRN15" s="358"/>
      <c r="FRO15" s="342"/>
      <c r="FRP15" s="342"/>
      <c r="FRQ15" s="342"/>
      <c r="FRR15" s="357"/>
      <c r="FRS15" s="357"/>
      <c r="FRT15" s="358"/>
      <c r="FRU15" s="358"/>
      <c r="FRV15" s="358"/>
      <c r="FRW15" s="342"/>
      <c r="FRX15" s="342"/>
      <c r="FRY15" s="342"/>
      <c r="FRZ15" s="357"/>
      <c r="FSA15" s="357"/>
      <c r="FSB15" s="358"/>
      <c r="FSC15" s="358"/>
      <c r="FSD15" s="358"/>
      <c r="FSE15" s="342"/>
      <c r="FSF15" s="342"/>
      <c r="FSG15" s="342"/>
      <c r="FSH15" s="357"/>
      <c r="FSI15" s="357"/>
      <c r="FSJ15" s="358"/>
      <c r="FSK15" s="358"/>
      <c r="FSL15" s="358"/>
      <c r="FSM15" s="342"/>
      <c r="FSN15" s="342"/>
      <c r="FSO15" s="342"/>
      <c r="FSP15" s="357"/>
      <c r="FSQ15" s="357"/>
      <c r="FSR15" s="358"/>
      <c r="FSS15" s="358"/>
      <c r="FST15" s="358"/>
      <c r="FSU15" s="342"/>
      <c r="FSV15" s="342"/>
      <c r="FSW15" s="342"/>
      <c r="FSX15" s="357"/>
      <c r="FSY15" s="357"/>
      <c r="FSZ15" s="358"/>
      <c r="FTA15" s="358"/>
      <c r="FTB15" s="358"/>
      <c r="FTC15" s="342"/>
      <c r="FTD15" s="342"/>
      <c r="FTE15" s="342"/>
      <c r="FTF15" s="357"/>
      <c r="FTG15" s="357"/>
      <c r="FTH15" s="358"/>
      <c r="FTI15" s="358"/>
      <c r="FTJ15" s="358"/>
      <c r="FTK15" s="342"/>
      <c r="FTL15" s="342"/>
      <c r="FTM15" s="342"/>
      <c r="FTN15" s="357"/>
      <c r="FTO15" s="357"/>
      <c r="FTP15" s="358"/>
      <c r="FTQ15" s="358"/>
      <c r="FTR15" s="358"/>
      <c r="FTS15" s="342"/>
      <c r="FTT15" s="342"/>
      <c r="FTU15" s="342"/>
      <c r="FTV15" s="357"/>
      <c r="FTW15" s="357"/>
      <c r="FTX15" s="358"/>
      <c r="FTY15" s="358"/>
      <c r="FTZ15" s="358"/>
      <c r="FUA15" s="342"/>
      <c r="FUB15" s="342"/>
      <c r="FUC15" s="342"/>
      <c r="FUD15" s="357"/>
      <c r="FUE15" s="357"/>
      <c r="FUF15" s="358"/>
      <c r="FUG15" s="358"/>
      <c r="FUH15" s="358"/>
      <c r="FUI15" s="342"/>
      <c r="FUJ15" s="342"/>
      <c r="FUK15" s="342"/>
      <c r="FUL15" s="357"/>
      <c r="FUM15" s="357"/>
      <c r="FUN15" s="358"/>
      <c r="FUO15" s="358"/>
      <c r="FUP15" s="358"/>
      <c r="FUQ15" s="342"/>
      <c r="FUR15" s="342"/>
      <c r="FUS15" s="342"/>
      <c r="FUT15" s="357"/>
      <c r="FUU15" s="357"/>
      <c r="FUV15" s="358"/>
      <c r="FUW15" s="358"/>
      <c r="FUX15" s="358"/>
      <c r="FUY15" s="342"/>
      <c r="FUZ15" s="342"/>
      <c r="FVA15" s="342"/>
      <c r="FVB15" s="357"/>
      <c r="FVC15" s="357"/>
      <c r="FVD15" s="358"/>
      <c r="FVE15" s="358"/>
      <c r="FVF15" s="358"/>
      <c r="FVG15" s="342"/>
      <c r="FVH15" s="342"/>
      <c r="FVI15" s="342"/>
      <c r="FVJ15" s="357"/>
      <c r="FVK15" s="357"/>
      <c r="FVL15" s="358"/>
      <c r="FVM15" s="358"/>
      <c r="FVN15" s="358"/>
      <c r="FVO15" s="342"/>
      <c r="FVP15" s="342"/>
      <c r="FVQ15" s="342"/>
      <c r="FVR15" s="357"/>
      <c r="FVS15" s="357"/>
      <c r="FVT15" s="358"/>
      <c r="FVU15" s="358"/>
      <c r="FVV15" s="358"/>
      <c r="FVW15" s="342"/>
      <c r="FVX15" s="342"/>
      <c r="FVY15" s="342"/>
      <c r="FVZ15" s="357"/>
      <c r="FWA15" s="357"/>
      <c r="FWB15" s="358"/>
      <c r="FWC15" s="358"/>
      <c r="FWD15" s="358"/>
      <c r="FWE15" s="342"/>
      <c r="FWF15" s="342"/>
      <c r="FWG15" s="342"/>
      <c r="FWH15" s="357"/>
      <c r="FWI15" s="357"/>
      <c r="FWJ15" s="358"/>
      <c r="FWK15" s="358"/>
      <c r="FWL15" s="358"/>
      <c r="FWM15" s="342"/>
      <c r="FWN15" s="342"/>
      <c r="FWO15" s="342"/>
      <c r="FWP15" s="357"/>
      <c r="FWQ15" s="357"/>
      <c r="FWR15" s="358"/>
      <c r="FWS15" s="358"/>
      <c r="FWT15" s="358"/>
      <c r="FWU15" s="342"/>
      <c r="FWV15" s="342"/>
      <c r="FWW15" s="342"/>
      <c r="FWX15" s="357"/>
      <c r="FWY15" s="357"/>
      <c r="FWZ15" s="358"/>
      <c r="FXA15" s="358"/>
      <c r="FXB15" s="358"/>
      <c r="FXC15" s="342"/>
      <c r="FXD15" s="342"/>
      <c r="FXE15" s="342"/>
      <c r="FXF15" s="357"/>
      <c r="FXG15" s="357"/>
      <c r="FXH15" s="358"/>
      <c r="FXI15" s="358"/>
      <c r="FXJ15" s="358"/>
      <c r="FXK15" s="342"/>
      <c r="FXL15" s="342"/>
      <c r="FXM15" s="342"/>
      <c r="FXN15" s="357"/>
      <c r="FXO15" s="357"/>
      <c r="FXP15" s="358"/>
      <c r="FXQ15" s="358"/>
      <c r="FXR15" s="358"/>
      <c r="FXS15" s="342"/>
      <c r="FXT15" s="342"/>
      <c r="FXU15" s="342"/>
      <c r="FXV15" s="357"/>
      <c r="FXW15" s="357"/>
      <c r="FXX15" s="358"/>
      <c r="FXY15" s="358"/>
      <c r="FXZ15" s="358"/>
      <c r="FYA15" s="342"/>
      <c r="FYB15" s="342"/>
      <c r="FYC15" s="342"/>
      <c r="FYD15" s="357"/>
      <c r="FYE15" s="357"/>
      <c r="FYF15" s="358"/>
      <c r="FYG15" s="358"/>
      <c r="FYH15" s="358"/>
      <c r="FYI15" s="342"/>
      <c r="FYJ15" s="342"/>
      <c r="FYK15" s="342"/>
      <c r="FYL15" s="357"/>
      <c r="FYM15" s="357"/>
      <c r="FYN15" s="358"/>
      <c r="FYO15" s="358"/>
      <c r="FYP15" s="358"/>
      <c r="FYQ15" s="342"/>
      <c r="FYR15" s="342"/>
      <c r="FYS15" s="342"/>
      <c r="FYT15" s="357"/>
      <c r="FYU15" s="357"/>
      <c r="FYV15" s="358"/>
      <c r="FYW15" s="358"/>
      <c r="FYX15" s="358"/>
      <c r="FYY15" s="342"/>
      <c r="FYZ15" s="342"/>
      <c r="FZA15" s="342"/>
      <c r="FZB15" s="357"/>
      <c r="FZC15" s="357"/>
      <c r="FZD15" s="358"/>
      <c r="FZE15" s="358"/>
      <c r="FZF15" s="358"/>
      <c r="FZG15" s="342"/>
      <c r="FZH15" s="342"/>
      <c r="FZI15" s="342"/>
      <c r="FZJ15" s="357"/>
      <c r="FZK15" s="357"/>
      <c r="FZL15" s="358"/>
      <c r="FZM15" s="358"/>
      <c r="FZN15" s="358"/>
      <c r="FZO15" s="342"/>
      <c r="FZP15" s="342"/>
      <c r="FZQ15" s="342"/>
      <c r="FZR15" s="357"/>
      <c r="FZS15" s="357"/>
      <c r="FZT15" s="358"/>
      <c r="FZU15" s="358"/>
      <c r="FZV15" s="358"/>
      <c r="FZW15" s="342"/>
      <c r="FZX15" s="342"/>
      <c r="FZY15" s="342"/>
      <c r="FZZ15" s="357"/>
      <c r="GAA15" s="357"/>
      <c r="GAB15" s="358"/>
      <c r="GAC15" s="358"/>
      <c r="GAD15" s="358"/>
      <c r="GAE15" s="342"/>
      <c r="GAF15" s="342"/>
      <c r="GAG15" s="342"/>
      <c r="GAH15" s="357"/>
      <c r="GAI15" s="357"/>
      <c r="GAJ15" s="358"/>
      <c r="GAK15" s="358"/>
      <c r="GAL15" s="358"/>
      <c r="GAM15" s="342"/>
      <c r="GAN15" s="342"/>
      <c r="GAO15" s="342"/>
      <c r="GAP15" s="357"/>
      <c r="GAQ15" s="357"/>
      <c r="GAR15" s="358"/>
      <c r="GAS15" s="358"/>
      <c r="GAT15" s="358"/>
      <c r="GAU15" s="342"/>
      <c r="GAV15" s="342"/>
      <c r="GAW15" s="342"/>
      <c r="GAX15" s="357"/>
      <c r="GAY15" s="357"/>
      <c r="GAZ15" s="358"/>
      <c r="GBA15" s="358"/>
      <c r="GBB15" s="358"/>
      <c r="GBC15" s="342"/>
      <c r="GBD15" s="342"/>
      <c r="GBE15" s="342"/>
      <c r="GBF15" s="357"/>
      <c r="GBG15" s="357"/>
      <c r="GBH15" s="358"/>
      <c r="GBI15" s="358"/>
      <c r="GBJ15" s="358"/>
      <c r="GBK15" s="342"/>
      <c r="GBL15" s="342"/>
      <c r="GBM15" s="342"/>
      <c r="GBN15" s="357"/>
      <c r="GBO15" s="357"/>
      <c r="GBP15" s="358"/>
      <c r="GBQ15" s="358"/>
      <c r="GBR15" s="358"/>
      <c r="GBS15" s="342"/>
      <c r="GBT15" s="342"/>
      <c r="GBU15" s="342"/>
      <c r="GBV15" s="357"/>
      <c r="GBW15" s="357"/>
      <c r="GBX15" s="358"/>
      <c r="GBY15" s="358"/>
      <c r="GBZ15" s="358"/>
      <c r="GCA15" s="342"/>
      <c r="GCB15" s="342"/>
      <c r="GCC15" s="342"/>
      <c r="GCD15" s="357"/>
      <c r="GCE15" s="357"/>
      <c r="GCF15" s="358"/>
      <c r="GCG15" s="358"/>
      <c r="GCH15" s="358"/>
      <c r="GCI15" s="342"/>
      <c r="GCJ15" s="342"/>
      <c r="GCK15" s="342"/>
      <c r="GCL15" s="357"/>
      <c r="GCM15" s="357"/>
      <c r="GCN15" s="358"/>
      <c r="GCO15" s="358"/>
      <c r="GCP15" s="358"/>
      <c r="GCQ15" s="342"/>
      <c r="GCR15" s="342"/>
      <c r="GCS15" s="342"/>
      <c r="GCT15" s="357"/>
      <c r="GCU15" s="357"/>
      <c r="GCV15" s="358"/>
      <c r="GCW15" s="358"/>
      <c r="GCX15" s="358"/>
      <c r="GCY15" s="342"/>
      <c r="GCZ15" s="342"/>
      <c r="GDA15" s="342"/>
      <c r="GDB15" s="357"/>
      <c r="GDC15" s="357"/>
      <c r="GDD15" s="358"/>
      <c r="GDE15" s="358"/>
      <c r="GDF15" s="358"/>
      <c r="GDG15" s="342"/>
      <c r="GDH15" s="342"/>
      <c r="GDI15" s="342"/>
      <c r="GDJ15" s="357"/>
      <c r="GDK15" s="357"/>
      <c r="GDL15" s="358"/>
      <c r="GDM15" s="358"/>
      <c r="GDN15" s="358"/>
      <c r="GDO15" s="342"/>
      <c r="GDP15" s="342"/>
      <c r="GDQ15" s="342"/>
      <c r="GDR15" s="357"/>
      <c r="GDS15" s="357"/>
      <c r="GDT15" s="358"/>
      <c r="GDU15" s="358"/>
      <c r="GDV15" s="358"/>
      <c r="GDW15" s="342"/>
      <c r="GDX15" s="342"/>
      <c r="GDY15" s="342"/>
      <c r="GDZ15" s="357"/>
      <c r="GEA15" s="357"/>
      <c r="GEB15" s="358"/>
      <c r="GEC15" s="358"/>
      <c r="GED15" s="358"/>
      <c r="GEE15" s="342"/>
      <c r="GEF15" s="342"/>
      <c r="GEG15" s="342"/>
      <c r="GEH15" s="357"/>
      <c r="GEI15" s="357"/>
      <c r="GEJ15" s="358"/>
      <c r="GEK15" s="358"/>
      <c r="GEL15" s="358"/>
      <c r="GEM15" s="342"/>
      <c r="GEN15" s="342"/>
      <c r="GEO15" s="342"/>
      <c r="GEP15" s="357"/>
      <c r="GEQ15" s="357"/>
      <c r="GER15" s="358"/>
      <c r="GES15" s="358"/>
      <c r="GET15" s="358"/>
      <c r="GEU15" s="342"/>
      <c r="GEV15" s="342"/>
      <c r="GEW15" s="342"/>
      <c r="GEX15" s="357"/>
      <c r="GEY15" s="357"/>
      <c r="GEZ15" s="358"/>
      <c r="GFA15" s="358"/>
      <c r="GFB15" s="358"/>
      <c r="GFC15" s="342"/>
      <c r="GFD15" s="342"/>
      <c r="GFE15" s="342"/>
      <c r="GFF15" s="357"/>
      <c r="GFG15" s="357"/>
      <c r="GFH15" s="358"/>
      <c r="GFI15" s="358"/>
      <c r="GFJ15" s="358"/>
      <c r="GFK15" s="342"/>
      <c r="GFL15" s="342"/>
      <c r="GFM15" s="342"/>
      <c r="GFN15" s="357"/>
      <c r="GFO15" s="357"/>
      <c r="GFP15" s="358"/>
      <c r="GFQ15" s="358"/>
      <c r="GFR15" s="358"/>
      <c r="GFS15" s="342"/>
      <c r="GFT15" s="342"/>
      <c r="GFU15" s="342"/>
      <c r="GFV15" s="357"/>
      <c r="GFW15" s="357"/>
      <c r="GFX15" s="358"/>
      <c r="GFY15" s="358"/>
      <c r="GFZ15" s="358"/>
      <c r="GGA15" s="342"/>
      <c r="GGB15" s="342"/>
      <c r="GGC15" s="342"/>
      <c r="GGD15" s="357"/>
      <c r="GGE15" s="357"/>
      <c r="GGF15" s="358"/>
      <c r="GGG15" s="358"/>
      <c r="GGH15" s="358"/>
      <c r="GGI15" s="342"/>
      <c r="GGJ15" s="342"/>
      <c r="GGK15" s="342"/>
      <c r="GGL15" s="357"/>
      <c r="GGM15" s="357"/>
      <c r="GGN15" s="358"/>
      <c r="GGO15" s="358"/>
      <c r="GGP15" s="358"/>
      <c r="GGQ15" s="342"/>
      <c r="GGR15" s="342"/>
      <c r="GGS15" s="342"/>
      <c r="GGT15" s="357"/>
      <c r="GGU15" s="357"/>
      <c r="GGV15" s="358"/>
      <c r="GGW15" s="358"/>
      <c r="GGX15" s="358"/>
      <c r="GGY15" s="342"/>
      <c r="GGZ15" s="342"/>
      <c r="GHA15" s="342"/>
      <c r="GHB15" s="357"/>
      <c r="GHC15" s="357"/>
      <c r="GHD15" s="358"/>
      <c r="GHE15" s="358"/>
      <c r="GHF15" s="358"/>
      <c r="GHG15" s="342"/>
      <c r="GHH15" s="342"/>
      <c r="GHI15" s="342"/>
      <c r="GHJ15" s="357"/>
      <c r="GHK15" s="357"/>
      <c r="GHL15" s="358"/>
      <c r="GHM15" s="358"/>
      <c r="GHN15" s="358"/>
      <c r="GHO15" s="342"/>
      <c r="GHP15" s="342"/>
      <c r="GHQ15" s="342"/>
      <c r="GHR15" s="357"/>
      <c r="GHS15" s="357"/>
      <c r="GHT15" s="358"/>
      <c r="GHU15" s="358"/>
      <c r="GHV15" s="358"/>
      <c r="GHW15" s="342"/>
      <c r="GHX15" s="342"/>
      <c r="GHY15" s="342"/>
      <c r="GHZ15" s="357"/>
      <c r="GIA15" s="357"/>
      <c r="GIB15" s="358"/>
      <c r="GIC15" s="358"/>
      <c r="GID15" s="358"/>
      <c r="GIE15" s="342"/>
      <c r="GIF15" s="342"/>
      <c r="GIG15" s="342"/>
      <c r="GIH15" s="357"/>
      <c r="GII15" s="357"/>
      <c r="GIJ15" s="358"/>
      <c r="GIK15" s="358"/>
      <c r="GIL15" s="358"/>
      <c r="GIM15" s="342"/>
      <c r="GIN15" s="342"/>
      <c r="GIO15" s="342"/>
      <c r="GIP15" s="357"/>
      <c r="GIQ15" s="357"/>
      <c r="GIR15" s="358"/>
      <c r="GIS15" s="358"/>
      <c r="GIT15" s="358"/>
      <c r="GIU15" s="342"/>
      <c r="GIV15" s="342"/>
      <c r="GIW15" s="342"/>
      <c r="GIX15" s="357"/>
      <c r="GIY15" s="357"/>
      <c r="GIZ15" s="358"/>
      <c r="GJA15" s="358"/>
      <c r="GJB15" s="358"/>
      <c r="GJC15" s="342"/>
      <c r="GJD15" s="342"/>
      <c r="GJE15" s="342"/>
      <c r="GJF15" s="357"/>
      <c r="GJG15" s="357"/>
      <c r="GJH15" s="358"/>
      <c r="GJI15" s="358"/>
      <c r="GJJ15" s="358"/>
      <c r="GJK15" s="342"/>
      <c r="GJL15" s="342"/>
      <c r="GJM15" s="342"/>
      <c r="GJN15" s="357"/>
      <c r="GJO15" s="357"/>
      <c r="GJP15" s="358"/>
      <c r="GJQ15" s="358"/>
      <c r="GJR15" s="358"/>
      <c r="GJS15" s="342"/>
      <c r="GJT15" s="342"/>
      <c r="GJU15" s="342"/>
      <c r="GJV15" s="357"/>
      <c r="GJW15" s="357"/>
      <c r="GJX15" s="358"/>
      <c r="GJY15" s="358"/>
      <c r="GJZ15" s="358"/>
      <c r="GKA15" s="342"/>
      <c r="GKB15" s="342"/>
      <c r="GKC15" s="342"/>
      <c r="GKD15" s="357"/>
      <c r="GKE15" s="357"/>
      <c r="GKF15" s="358"/>
      <c r="GKG15" s="358"/>
      <c r="GKH15" s="358"/>
      <c r="GKI15" s="342"/>
      <c r="GKJ15" s="342"/>
      <c r="GKK15" s="342"/>
      <c r="GKL15" s="357"/>
      <c r="GKM15" s="357"/>
      <c r="GKN15" s="358"/>
      <c r="GKO15" s="358"/>
      <c r="GKP15" s="358"/>
      <c r="GKQ15" s="342"/>
      <c r="GKR15" s="342"/>
      <c r="GKS15" s="342"/>
      <c r="GKT15" s="357"/>
      <c r="GKU15" s="357"/>
      <c r="GKV15" s="358"/>
      <c r="GKW15" s="358"/>
      <c r="GKX15" s="358"/>
      <c r="GKY15" s="342"/>
      <c r="GKZ15" s="342"/>
      <c r="GLA15" s="342"/>
      <c r="GLB15" s="357"/>
      <c r="GLC15" s="357"/>
      <c r="GLD15" s="358"/>
      <c r="GLE15" s="358"/>
      <c r="GLF15" s="358"/>
      <c r="GLG15" s="342"/>
      <c r="GLH15" s="342"/>
      <c r="GLI15" s="342"/>
      <c r="GLJ15" s="357"/>
      <c r="GLK15" s="357"/>
      <c r="GLL15" s="358"/>
      <c r="GLM15" s="358"/>
      <c r="GLN15" s="358"/>
      <c r="GLO15" s="342"/>
      <c r="GLP15" s="342"/>
      <c r="GLQ15" s="342"/>
      <c r="GLR15" s="357"/>
      <c r="GLS15" s="357"/>
      <c r="GLT15" s="358"/>
      <c r="GLU15" s="358"/>
      <c r="GLV15" s="358"/>
      <c r="GLW15" s="342"/>
      <c r="GLX15" s="342"/>
      <c r="GLY15" s="342"/>
      <c r="GLZ15" s="357"/>
      <c r="GMA15" s="357"/>
      <c r="GMB15" s="358"/>
      <c r="GMC15" s="358"/>
      <c r="GMD15" s="358"/>
      <c r="GME15" s="342"/>
      <c r="GMF15" s="342"/>
      <c r="GMG15" s="342"/>
      <c r="GMH15" s="357"/>
      <c r="GMI15" s="357"/>
      <c r="GMJ15" s="358"/>
      <c r="GMK15" s="358"/>
      <c r="GML15" s="358"/>
      <c r="GMM15" s="342"/>
      <c r="GMN15" s="342"/>
      <c r="GMO15" s="342"/>
      <c r="GMP15" s="357"/>
      <c r="GMQ15" s="357"/>
      <c r="GMR15" s="358"/>
      <c r="GMS15" s="358"/>
      <c r="GMT15" s="358"/>
      <c r="GMU15" s="342"/>
      <c r="GMV15" s="342"/>
      <c r="GMW15" s="342"/>
      <c r="GMX15" s="357"/>
      <c r="GMY15" s="357"/>
      <c r="GMZ15" s="358"/>
      <c r="GNA15" s="358"/>
      <c r="GNB15" s="358"/>
      <c r="GNC15" s="342"/>
      <c r="GND15" s="342"/>
      <c r="GNE15" s="342"/>
      <c r="GNF15" s="357"/>
      <c r="GNG15" s="357"/>
      <c r="GNH15" s="358"/>
      <c r="GNI15" s="358"/>
      <c r="GNJ15" s="358"/>
      <c r="GNK15" s="342"/>
      <c r="GNL15" s="342"/>
      <c r="GNM15" s="342"/>
      <c r="GNN15" s="357"/>
      <c r="GNO15" s="357"/>
      <c r="GNP15" s="358"/>
      <c r="GNQ15" s="358"/>
      <c r="GNR15" s="358"/>
      <c r="GNS15" s="342"/>
      <c r="GNT15" s="342"/>
      <c r="GNU15" s="342"/>
      <c r="GNV15" s="357"/>
      <c r="GNW15" s="357"/>
      <c r="GNX15" s="358"/>
      <c r="GNY15" s="358"/>
      <c r="GNZ15" s="358"/>
      <c r="GOA15" s="342"/>
      <c r="GOB15" s="342"/>
      <c r="GOC15" s="342"/>
      <c r="GOD15" s="357"/>
      <c r="GOE15" s="357"/>
      <c r="GOF15" s="358"/>
      <c r="GOG15" s="358"/>
      <c r="GOH15" s="358"/>
      <c r="GOI15" s="342"/>
      <c r="GOJ15" s="342"/>
      <c r="GOK15" s="342"/>
      <c r="GOL15" s="357"/>
      <c r="GOM15" s="357"/>
      <c r="GON15" s="358"/>
      <c r="GOO15" s="358"/>
      <c r="GOP15" s="358"/>
      <c r="GOQ15" s="342"/>
      <c r="GOR15" s="342"/>
      <c r="GOS15" s="342"/>
      <c r="GOT15" s="357"/>
      <c r="GOU15" s="357"/>
      <c r="GOV15" s="358"/>
      <c r="GOW15" s="358"/>
      <c r="GOX15" s="358"/>
      <c r="GOY15" s="342"/>
      <c r="GOZ15" s="342"/>
      <c r="GPA15" s="342"/>
      <c r="GPB15" s="357"/>
      <c r="GPC15" s="357"/>
      <c r="GPD15" s="358"/>
      <c r="GPE15" s="358"/>
      <c r="GPF15" s="358"/>
      <c r="GPG15" s="342"/>
      <c r="GPH15" s="342"/>
      <c r="GPI15" s="342"/>
      <c r="GPJ15" s="357"/>
      <c r="GPK15" s="357"/>
      <c r="GPL15" s="358"/>
      <c r="GPM15" s="358"/>
      <c r="GPN15" s="358"/>
      <c r="GPO15" s="342"/>
      <c r="GPP15" s="342"/>
      <c r="GPQ15" s="342"/>
      <c r="GPR15" s="357"/>
      <c r="GPS15" s="357"/>
      <c r="GPT15" s="358"/>
      <c r="GPU15" s="358"/>
      <c r="GPV15" s="358"/>
      <c r="GPW15" s="342"/>
      <c r="GPX15" s="342"/>
      <c r="GPY15" s="342"/>
      <c r="GPZ15" s="357"/>
      <c r="GQA15" s="357"/>
      <c r="GQB15" s="358"/>
      <c r="GQC15" s="358"/>
      <c r="GQD15" s="358"/>
      <c r="GQE15" s="342"/>
      <c r="GQF15" s="342"/>
      <c r="GQG15" s="342"/>
      <c r="GQH15" s="357"/>
      <c r="GQI15" s="357"/>
      <c r="GQJ15" s="358"/>
      <c r="GQK15" s="358"/>
      <c r="GQL15" s="358"/>
      <c r="GQM15" s="342"/>
      <c r="GQN15" s="342"/>
      <c r="GQO15" s="342"/>
      <c r="GQP15" s="357"/>
      <c r="GQQ15" s="357"/>
      <c r="GQR15" s="358"/>
      <c r="GQS15" s="358"/>
      <c r="GQT15" s="358"/>
      <c r="GQU15" s="342"/>
      <c r="GQV15" s="342"/>
      <c r="GQW15" s="342"/>
      <c r="GQX15" s="357"/>
      <c r="GQY15" s="357"/>
      <c r="GQZ15" s="358"/>
      <c r="GRA15" s="358"/>
      <c r="GRB15" s="358"/>
      <c r="GRC15" s="342"/>
      <c r="GRD15" s="342"/>
      <c r="GRE15" s="342"/>
      <c r="GRF15" s="357"/>
      <c r="GRG15" s="357"/>
      <c r="GRH15" s="358"/>
      <c r="GRI15" s="358"/>
      <c r="GRJ15" s="358"/>
      <c r="GRK15" s="342"/>
      <c r="GRL15" s="342"/>
      <c r="GRM15" s="342"/>
      <c r="GRN15" s="357"/>
      <c r="GRO15" s="357"/>
      <c r="GRP15" s="358"/>
      <c r="GRQ15" s="358"/>
      <c r="GRR15" s="358"/>
      <c r="GRS15" s="342"/>
      <c r="GRT15" s="342"/>
      <c r="GRU15" s="342"/>
      <c r="GRV15" s="357"/>
      <c r="GRW15" s="357"/>
      <c r="GRX15" s="358"/>
      <c r="GRY15" s="358"/>
      <c r="GRZ15" s="358"/>
      <c r="GSA15" s="342"/>
      <c r="GSB15" s="342"/>
      <c r="GSC15" s="342"/>
      <c r="GSD15" s="357"/>
      <c r="GSE15" s="357"/>
      <c r="GSF15" s="358"/>
      <c r="GSG15" s="358"/>
      <c r="GSH15" s="358"/>
      <c r="GSI15" s="342"/>
      <c r="GSJ15" s="342"/>
      <c r="GSK15" s="342"/>
      <c r="GSL15" s="357"/>
      <c r="GSM15" s="357"/>
      <c r="GSN15" s="358"/>
      <c r="GSO15" s="358"/>
      <c r="GSP15" s="358"/>
      <c r="GSQ15" s="342"/>
      <c r="GSR15" s="342"/>
      <c r="GSS15" s="342"/>
      <c r="GST15" s="357"/>
      <c r="GSU15" s="357"/>
      <c r="GSV15" s="358"/>
      <c r="GSW15" s="358"/>
      <c r="GSX15" s="358"/>
      <c r="GSY15" s="342"/>
      <c r="GSZ15" s="342"/>
      <c r="GTA15" s="342"/>
      <c r="GTB15" s="357"/>
      <c r="GTC15" s="357"/>
      <c r="GTD15" s="358"/>
      <c r="GTE15" s="358"/>
      <c r="GTF15" s="358"/>
      <c r="GTG15" s="342"/>
      <c r="GTH15" s="342"/>
      <c r="GTI15" s="342"/>
      <c r="GTJ15" s="357"/>
      <c r="GTK15" s="357"/>
      <c r="GTL15" s="358"/>
      <c r="GTM15" s="358"/>
      <c r="GTN15" s="358"/>
      <c r="GTO15" s="342"/>
      <c r="GTP15" s="342"/>
      <c r="GTQ15" s="342"/>
      <c r="GTR15" s="357"/>
      <c r="GTS15" s="357"/>
      <c r="GTT15" s="358"/>
      <c r="GTU15" s="358"/>
      <c r="GTV15" s="358"/>
      <c r="GTW15" s="342"/>
      <c r="GTX15" s="342"/>
      <c r="GTY15" s="342"/>
      <c r="GTZ15" s="357"/>
      <c r="GUA15" s="357"/>
      <c r="GUB15" s="358"/>
      <c r="GUC15" s="358"/>
      <c r="GUD15" s="358"/>
      <c r="GUE15" s="342"/>
      <c r="GUF15" s="342"/>
      <c r="GUG15" s="342"/>
      <c r="GUH15" s="357"/>
      <c r="GUI15" s="357"/>
      <c r="GUJ15" s="358"/>
      <c r="GUK15" s="358"/>
      <c r="GUL15" s="358"/>
      <c r="GUM15" s="342"/>
      <c r="GUN15" s="342"/>
      <c r="GUO15" s="342"/>
      <c r="GUP15" s="357"/>
      <c r="GUQ15" s="357"/>
      <c r="GUR15" s="358"/>
      <c r="GUS15" s="358"/>
      <c r="GUT15" s="358"/>
      <c r="GUU15" s="342"/>
      <c r="GUV15" s="342"/>
      <c r="GUW15" s="342"/>
      <c r="GUX15" s="357"/>
      <c r="GUY15" s="357"/>
      <c r="GUZ15" s="358"/>
      <c r="GVA15" s="358"/>
      <c r="GVB15" s="358"/>
      <c r="GVC15" s="342"/>
      <c r="GVD15" s="342"/>
      <c r="GVE15" s="342"/>
      <c r="GVF15" s="357"/>
      <c r="GVG15" s="357"/>
      <c r="GVH15" s="358"/>
      <c r="GVI15" s="358"/>
      <c r="GVJ15" s="358"/>
      <c r="GVK15" s="342"/>
      <c r="GVL15" s="342"/>
      <c r="GVM15" s="342"/>
      <c r="GVN15" s="357"/>
      <c r="GVO15" s="357"/>
      <c r="GVP15" s="358"/>
      <c r="GVQ15" s="358"/>
      <c r="GVR15" s="358"/>
      <c r="GVS15" s="342"/>
      <c r="GVT15" s="342"/>
      <c r="GVU15" s="342"/>
      <c r="GVV15" s="357"/>
      <c r="GVW15" s="357"/>
      <c r="GVX15" s="358"/>
      <c r="GVY15" s="358"/>
      <c r="GVZ15" s="358"/>
      <c r="GWA15" s="342"/>
      <c r="GWB15" s="342"/>
      <c r="GWC15" s="342"/>
      <c r="GWD15" s="357"/>
      <c r="GWE15" s="357"/>
      <c r="GWF15" s="358"/>
      <c r="GWG15" s="358"/>
      <c r="GWH15" s="358"/>
      <c r="GWI15" s="342"/>
      <c r="GWJ15" s="342"/>
      <c r="GWK15" s="342"/>
      <c r="GWL15" s="357"/>
      <c r="GWM15" s="357"/>
      <c r="GWN15" s="358"/>
      <c r="GWO15" s="358"/>
      <c r="GWP15" s="358"/>
      <c r="GWQ15" s="342"/>
      <c r="GWR15" s="342"/>
      <c r="GWS15" s="342"/>
      <c r="GWT15" s="357"/>
      <c r="GWU15" s="357"/>
      <c r="GWV15" s="358"/>
      <c r="GWW15" s="358"/>
      <c r="GWX15" s="358"/>
      <c r="GWY15" s="342"/>
      <c r="GWZ15" s="342"/>
      <c r="GXA15" s="342"/>
      <c r="GXB15" s="357"/>
      <c r="GXC15" s="357"/>
      <c r="GXD15" s="358"/>
      <c r="GXE15" s="358"/>
      <c r="GXF15" s="358"/>
      <c r="GXG15" s="342"/>
      <c r="GXH15" s="342"/>
      <c r="GXI15" s="342"/>
      <c r="GXJ15" s="357"/>
      <c r="GXK15" s="357"/>
      <c r="GXL15" s="358"/>
      <c r="GXM15" s="358"/>
      <c r="GXN15" s="358"/>
      <c r="GXO15" s="342"/>
      <c r="GXP15" s="342"/>
      <c r="GXQ15" s="342"/>
      <c r="GXR15" s="357"/>
      <c r="GXS15" s="357"/>
      <c r="GXT15" s="358"/>
      <c r="GXU15" s="358"/>
      <c r="GXV15" s="358"/>
      <c r="GXW15" s="342"/>
      <c r="GXX15" s="342"/>
      <c r="GXY15" s="342"/>
      <c r="GXZ15" s="357"/>
      <c r="GYA15" s="357"/>
      <c r="GYB15" s="358"/>
      <c r="GYC15" s="358"/>
      <c r="GYD15" s="358"/>
      <c r="GYE15" s="342"/>
      <c r="GYF15" s="342"/>
      <c r="GYG15" s="342"/>
      <c r="GYH15" s="357"/>
      <c r="GYI15" s="357"/>
      <c r="GYJ15" s="358"/>
      <c r="GYK15" s="358"/>
      <c r="GYL15" s="358"/>
      <c r="GYM15" s="342"/>
      <c r="GYN15" s="342"/>
      <c r="GYO15" s="342"/>
      <c r="GYP15" s="357"/>
      <c r="GYQ15" s="357"/>
      <c r="GYR15" s="358"/>
      <c r="GYS15" s="358"/>
      <c r="GYT15" s="358"/>
      <c r="GYU15" s="342"/>
      <c r="GYV15" s="342"/>
      <c r="GYW15" s="342"/>
      <c r="GYX15" s="357"/>
      <c r="GYY15" s="357"/>
      <c r="GYZ15" s="358"/>
      <c r="GZA15" s="358"/>
      <c r="GZB15" s="358"/>
      <c r="GZC15" s="342"/>
      <c r="GZD15" s="342"/>
      <c r="GZE15" s="342"/>
      <c r="GZF15" s="357"/>
      <c r="GZG15" s="357"/>
      <c r="GZH15" s="358"/>
      <c r="GZI15" s="358"/>
      <c r="GZJ15" s="358"/>
      <c r="GZK15" s="342"/>
      <c r="GZL15" s="342"/>
      <c r="GZM15" s="342"/>
      <c r="GZN15" s="357"/>
      <c r="GZO15" s="357"/>
      <c r="GZP15" s="358"/>
      <c r="GZQ15" s="358"/>
      <c r="GZR15" s="358"/>
      <c r="GZS15" s="342"/>
      <c r="GZT15" s="342"/>
      <c r="GZU15" s="342"/>
      <c r="GZV15" s="357"/>
      <c r="GZW15" s="357"/>
      <c r="GZX15" s="358"/>
      <c r="GZY15" s="358"/>
      <c r="GZZ15" s="358"/>
      <c r="HAA15" s="342"/>
      <c r="HAB15" s="342"/>
      <c r="HAC15" s="342"/>
      <c r="HAD15" s="357"/>
      <c r="HAE15" s="357"/>
      <c r="HAF15" s="358"/>
      <c r="HAG15" s="358"/>
      <c r="HAH15" s="358"/>
      <c r="HAI15" s="342"/>
      <c r="HAJ15" s="342"/>
      <c r="HAK15" s="342"/>
      <c r="HAL15" s="357"/>
      <c r="HAM15" s="357"/>
      <c r="HAN15" s="358"/>
      <c r="HAO15" s="358"/>
      <c r="HAP15" s="358"/>
      <c r="HAQ15" s="342"/>
      <c r="HAR15" s="342"/>
      <c r="HAS15" s="342"/>
      <c r="HAT15" s="357"/>
      <c r="HAU15" s="357"/>
      <c r="HAV15" s="358"/>
      <c r="HAW15" s="358"/>
      <c r="HAX15" s="358"/>
      <c r="HAY15" s="342"/>
      <c r="HAZ15" s="342"/>
      <c r="HBA15" s="342"/>
      <c r="HBB15" s="357"/>
      <c r="HBC15" s="357"/>
      <c r="HBD15" s="358"/>
      <c r="HBE15" s="358"/>
      <c r="HBF15" s="358"/>
      <c r="HBG15" s="342"/>
      <c r="HBH15" s="342"/>
      <c r="HBI15" s="342"/>
      <c r="HBJ15" s="357"/>
      <c r="HBK15" s="357"/>
      <c r="HBL15" s="358"/>
      <c r="HBM15" s="358"/>
      <c r="HBN15" s="358"/>
      <c r="HBO15" s="342"/>
      <c r="HBP15" s="342"/>
      <c r="HBQ15" s="342"/>
      <c r="HBR15" s="357"/>
      <c r="HBS15" s="357"/>
      <c r="HBT15" s="358"/>
      <c r="HBU15" s="358"/>
      <c r="HBV15" s="358"/>
      <c r="HBW15" s="342"/>
      <c r="HBX15" s="342"/>
      <c r="HBY15" s="342"/>
      <c r="HBZ15" s="357"/>
      <c r="HCA15" s="357"/>
      <c r="HCB15" s="358"/>
      <c r="HCC15" s="358"/>
      <c r="HCD15" s="358"/>
      <c r="HCE15" s="342"/>
      <c r="HCF15" s="342"/>
      <c r="HCG15" s="342"/>
      <c r="HCH15" s="357"/>
      <c r="HCI15" s="357"/>
      <c r="HCJ15" s="358"/>
      <c r="HCK15" s="358"/>
      <c r="HCL15" s="358"/>
      <c r="HCM15" s="342"/>
      <c r="HCN15" s="342"/>
      <c r="HCO15" s="342"/>
      <c r="HCP15" s="357"/>
      <c r="HCQ15" s="357"/>
      <c r="HCR15" s="358"/>
      <c r="HCS15" s="358"/>
      <c r="HCT15" s="358"/>
      <c r="HCU15" s="342"/>
      <c r="HCV15" s="342"/>
      <c r="HCW15" s="342"/>
      <c r="HCX15" s="357"/>
      <c r="HCY15" s="357"/>
      <c r="HCZ15" s="358"/>
      <c r="HDA15" s="358"/>
      <c r="HDB15" s="358"/>
      <c r="HDC15" s="342"/>
      <c r="HDD15" s="342"/>
      <c r="HDE15" s="342"/>
      <c r="HDF15" s="357"/>
      <c r="HDG15" s="357"/>
      <c r="HDH15" s="358"/>
      <c r="HDI15" s="358"/>
      <c r="HDJ15" s="358"/>
      <c r="HDK15" s="342"/>
      <c r="HDL15" s="342"/>
      <c r="HDM15" s="342"/>
      <c r="HDN15" s="357"/>
      <c r="HDO15" s="357"/>
      <c r="HDP15" s="358"/>
      <c r="HDQ15" s="358"/>
      <c r="HDR15" s="358"/>
      <c r="HDS15" s="342"/>
      <c r="HDT15" s="342"/>
      <c r="HDU15" s="342"/>
      <c r="HDV15" s="357"/>
      <c r="HDW15" s="357"/>
      <c r="HDX15" s="358"/>
      <c r="HDY15" s="358"/>
      <c r="HDZ15" s="358"/>
      <c r="HEA15" s="342"/>
      <c r="HEB15" s="342"/>
      <c r="HEC15" s="342"/>
      <c r="HED15" s="357"/>
      <c r="HEE15" s="357"/>
      <c r="HEF15" s="358"/>
      <c r="HEG15" s="358"/>
      <c r="HEH15" s="358"/>
      <c r="HEI15" s="342"/>
      <c r="HEJ15" s="342"/>
      <c r="HEK15" s="342"/>
      <c r="HEL15" s="357"/>
      <c r="HEM15" s="357"/>
      <c r="HEN15" s="358"/>
      <c r="HEO15" s="358"/>
      <c r="HEP15" s="358"/>
      <c r="HEQ15" s="342"/>
      <c r="HER15" s="342"/>
      <c r="HES15" s="342"/>
      <c r="HET15" s="357"/>
      <c r="HEU15" s="357"/>
      <c r="HEV15" s="358"/>
      <c r="HEW15" s="358"/>
      <c r="HEX15" s="358"/>
      <c r="HEY15" s="342"/>
      <c r="HEZ15" s="342"/>
      <c r="HFA15" s="342"/>
      <c r="HFB15" s="357"/>
      <c r="HFC15" s="357"/>
      <c r="HFD15" s="358"/>
      <c r="HFE15" s="358"/>
      <c r="HFF15" s="358"/>
      <c r="HFG15" s="342"/>
      <c r="HFH15" s="342"/>
      <c r="HFI15" s="342"/>
      <c r="HFJ15" s="357"/>
      <c r="HFK15" s="357"/>
      <c r="HFL15" s="358"/>
      <c r="HFM15" s="358"/>
      <c r="HFN15" s="358"/>
      <c r="HFO15" s="342"/>
      <c r="HFP15" s="342"/>
      <c r="HFQ15" s="342"/>
      <c r="HFR15" s="357"/>
      <c r="HFS15" s="357"/>
      <c r="HFT15" s="358"/>
      <c r="HFU15" s="358"/>
      <c r="HFV15" s="358"/>
      <c r="HFW15" s="342"/>
      <c r="HFX15" s="342"/>
      <c r="HFY15" s="342"/>
      <c r="HFZ15" s="357"/>
      <c r="HGA15" s="357"/>
      <c r="HGB15" s="358"/>
      <c r="HGC15" s="358"/>
      <c r="HGD15" s="358"/>
      <c r="HGE15" s="342"/>
      <c r="HGF15" s="342"/>
      <c r="HGG15" s="342"/>
      <c r="HGH15" s="357"/>
      <c r="HGI15" s="357"/>
      <c r="HGJ15" s="358"/>
      <c r="HGK15" s="358"/>
      <c r="HGL15" s="358"/>
      <c r="HGM15" s="342"/>
      <c r="HGN15" s="342"/>
      <c r="HGO15" s="342"/>
      <c r="HGP15" s="357"/>
      <c r="HGQ15" s="357"/>
      <c r="HGR15" s="358"/>
      <c r="HGS15" s="358"/>
      <c r="HGT15" s="358"/>
      <c r="HGU15" s="342"/>
      <c r="HGV15" s="342"/>
      <c r="HGW15" s="342"/>
      <c r="HGX15" s="357"/>
      <c r="HGY15" s="357"/>
      <c r="HGZ15" s="358"/>
      <c r="HHA15" s="358"/>
      <c r="HHB15" s="358"/>
      <c r="HHC15" s="342"/>
      <c r="HHD15" s="342"/>
      <c r="HHE15" s="342"/>
      <c r="HHF15" s="357"/>
      <c r="HHG15" s="357"/>
      <c r="HHH15" s="358"/>
      <c r="HHI15" s="358"/>
      <c r="HHJ15" s="358"/>
      <c r="HHK15" s="342"/>
      <c r="HHL15" s="342"/>
      <c r="HHM15" s="342"/>
      <c r="HHN15" s="357"/>
      <c r="HHO15" s="357"/>
      <c r="HHP15" s="358"/>
      <c r="HHQ15" s="358"/>
      <c r="HHR15" s="358"/>
      <c r="HHS15" s="342"/>
      <c r="HHT15" s="342"/>
      <c r="HHU15" s="342"/>
      <c r="HHV15" s="357"/>
      <c r="HHW15" s="357"/>
      <c r="HHX15" s="358"/>
      <c r="HHY15" s="358"/>
      <c r="HHZ15" s="358"/>
      <c r="HIA15" s="342"/>
      <c r="HIB15" s="342"/>
      <c r="HIC15" s="342"/>
      <c r="HID15" s="357"/>
      <c r="HIE15" s="357"/>
      <c r="HIF15" s="358"/>
      <c r="HIG15" s="358"/>
      <c r="HIH15" s="358"/>
      <c r="HII15" s="342"/>
      <c r="HIJ15" s="342"/>
      <c r="HIK15" s="342"/>
      <c r="HIL15" s="357"/>
      <c r="HIM15" s="357"/>
      <c r="HIN15" s="358"/>
      <c r="HIO15" s="358"/>
      <c r="HIP15" s="358"/>
      <c r="HIQ15" s="342"/>
      <c r="HIR15" s="342"/>
      <c r="HIS15" s="342"/>
      <c r="HIT15" s="357"/>
      <c r="HIU15" s="357"/>
      <c r="HIV15" s="358"/>
      <c r="HIW15" s="358"/>
      <c r="HIX15" s="358"/>
      <c r="HIY15" s="342"/>
      <c r="HIZ15" s="342"/>
      <c r="HJA15" s="342"/>
      <c r="HJB15" s="357"/>
      <c r="HJC15" s="357"/>
      <c r="HJD15" s="358"/>
      <c r="HJE15" s="358"/>
      <c r="HJF15" s="358"/>
      <c r="HJG15" s="342"/>
      <c r="HJH15" s="342"/>
      <c r="HJI15" s="342"/>
      <c r="HJJ15" s="357"/>
      <c r="HJK15" s="357"/>
      <c r="HJL15" s="358"/>
      <c r="HJM15" s="358"/>
      <c r="HJN15" s="358"/>
      <c r="HJO15" s="342"/>
      <c r="HJP15" s="342"/>
      <c r="HJQ15" s="342"/>
      <c r="HJR15" s="357"/>
      <c r="HJS15" s="357"/>
      <c r="HJT15" s="358"/>
      <c r="HJU15" s="358"/>
      <c r="HJV15" s="358"/>
      <c r="HJW15" s="342"/>
      <c r="HJX15" s="342"/>
      <c r="HJY15" s="342"/>
      <c r="HJZ15" s="357"/>
      <c r="HKA15" s="357"/>
      <c r="HKB15" s="358"/>
      <c r="HKC15" s="358"/>
      <c r="HKD15" s="358"/>
      <c r="HKE15" s="342"/>
      <c r="HKF15" s="342"/>
      <c r="HKG15" s="342"/>
      <c r="HKH15" s="357"/>
      <c r="HKI15" s="357"/>
      <c r="HKJ15" s="358"/>
      <c r="HKK15" s="358"/>
      <c r="HKL15" s="358"/>
      <c r="HKM15" s="342"/>
      <c r="HKN15" s="342"/>
      <c r="HKO15" s="342"/>
      <c r="HKP15" s="357"/>
      <c r="HKQ15" s="357"/>
      <c r="HKR15" s="358"/>
      <c r="HKS15" s="358"/>
      <c r="HKT15" s="358"/>
      <c r="HKU15" s="342"/>
      <c r="HKV15" s="342"/>
      <c r="HKW15" s="342"/>
      <c r="HKX15" s="357"/>
      <c r="HKY15" s="357"/>
      <c r="HKZ15" s="358"/>
      <c r="HLA15" s="358"/>
      <c r="HLB15" s="358"/>
      <c r="HLC15" s="342"/>
      <c r="HLD15" s="342"/>
      <c r="HLE15" s="342"/>
      <c r="HLF15" s="357"/>
      <c r="HLG15" s="357"/>
      <c r="HLH15" s="358"/>
      <c r="HLI15" s="358"/>
      <c r="HLJ15" s="358"/>
      <c r="HLK15" s="342"/>
      <c r="HLL15" s="342"/>
      <c r="HLM15" s="342"/>
      <c r="HLN15" s="357"/>
      <c r="HLO15" s="357"/>
      <c r="HLP15" s="358"/>
      <c r="HLQ15" s="358"/>
      <c r="HLR15" s="358"/>
      <c r="HLS15" s="342"/>
      <c r="HLT15" s="342"/>
      <c r="HLU15" s="342"/>
      <c r="HLV15" s="357"/>
      <c r="HLW15" s="357"/>
      <c r="HLX15" s="358"/>
      <c r="HLY15" s="358"/>
      <c r="HLZ15" s="358"/>
      <c r="HMA15" s="342"/>
      <c r="HMB15" s="342"/>
      <c r="HMC15" s="342"/>
      <c r="HMD15" s="357"/>
      <c r="HME15" s="357"/>
      <c r="HMF15" s="358"/>
      <c r="HMG15" s="358"/>
      <c r="HMH15" s="358"/>
      <c r="HMI15" s="342"/>
      <c r="HMJ15" s="342"/>
      <c r="HMK15" s="342"/>
      <c r="HML15" s="357"/>
      <c r="HMM15" s="357"/>
      <c r="HMN15" s="358"/>
      <c r="HMO15" s="358"/>
      <c r="HMP15" s="358"/>
      <c r="HMQ15" s="342"/>
      <c r="HMR15" s="342"/>
      <c r="HMS15" s="342"/>
      <c r="HMT15" s="357"/>
      <c r="HMU15" s="357"/>
      <c r="HMV15" s="358"/>
      <c r="HMW15" s="358"/>
      <c r="HMX15" s="358"/>
      <c r="HMY15" s="342"/>
      <c r="HMZ15" s="342"/>
      <c r="HNA15" s="342"/>
      <c r="HNB15" s="357"/>
      <c r="HNC15" s="357"/>
      <c r="HND15" s="358"/>
      <c r="HNE15" s="358"/>
      <c r="HNF15" s="358"/>
      <c r="HNG15" s="342"/>
      <c r="HNH15" s="342"/>
      <c r="HNI15" s="342"/>
      <c r="HNJ15" s="357"/>
      <c r="HNK15" s="357"/>
      <c r="HNL15" s="358"/>
      <c r="HNM15" s="358"/>
      <c r="HNN15" s="358"/>
      <c r="HNO15" s="342"/>
      <c r="HNP15" s="342"/>
      <c r="HNQ15" s="342"/>
      <c r="HNR15" s="357"/>
      <c r="HNS15" s="357"/>
      <c r="HNT15" s="358"/>
      <c r="HNU15" s="358"/>
      <c r="HNV15" s="358"/>
      <c r="HNW15" s="342"/>
      <c r="HNX15" s="342"/>
      <c r="HNY15" s="342"/>
      <c r="HNZ15" s="357"/>
      <c r="HOA15" s="357"/>
      <c r="HOB15" s="358"/>
      <c r="HOC15" s="358"/>
      <c r="HOD15" s="358"/>
      <c r="HOE15" s="342"/>
      <c r="HOF15" s="342"/>
      <c r="HOG15" s="342"/>
      <c r="HOH15" s="357"/>
      <c r="HOI15" s="357"/>
      <c r="HOJ15" s="358"/>
      <c r="HOK15" s="358"/>
      <c r="HOL15" s="358"/>
      <c r="HOM15" s="342"/>
      <c r="HON15" s="342"/>
      <c r="HOO15" s="342"/>
      <c r="HOP15" s="357"/>
      <c r="HOQ15" s="357"/>
      <c r="HOR15" s="358"/>
      <c r="HOS15" s="358"/>
      <c r="HOT15" s="358"/>
      <c r="HOU15" s="342"/>
      <c r="HOV15" s="342"/>
      <c r="HOW15" s="342"/>
      <c r="HOX15" s="357"/>
      <c r="HOY15" s="357"/>
      <c r="HOZ15" s="358"/>
      <c r="HPA15" s="358"/>
      <c r="HPB15" s="358"/>
      <c r="HPC15" s="342"/>
      <c r="HPD15" s="342"/>
      <c r="HPE15" s="342"/>
      <c r="HPF15" s="357"/>
      <c r="HPG15" s="357"/>
      <c r="HPH15" s="358"/>
      <c r="HPI15" s="358"/>
      <c r="HPJ15" s="358"/>
      <c r="HPK15" s="342"/>
      <c r="HPL15" s="342"/>
      <c r="HPM15" s="342"/>
      <c r="HPN15" s="357"/>
      <c r="HPO15" s="357"/>
      <c r="HPP15" s="358"/>
      <c r="HPQ15" s="358"/>
      <c r="HPR15" s="358"/>
      <c r="HPS15" s="342"/>
      <c r="HPT15" s="342"/>
      <c r="HPU15" s="342"/>
      <c r="HPV15" s="357"/>
      <c r="HPW15" s="357"/>
      <c r="HPX15" s="358"/>
      <c r="HPY15" s="358"/>
      <c r="HPZ15" s="358"/>
      <c r="HQA15" s="342"/>
      <c r="HQB15" s="342"/>
      <c r="HQC15" s="342"/>
      <c r="HQD15" s="357"/>
      <c r="HQE15" s="357"/>
      <c r="HQF15" s="358"/>
      <c r="HQG15" s="358"/>
      <c r="HQH15" s="358"/>
      <c r="HQI15" s="342"/>
      <c r="HQJ15" s="342"/>
      <c r="HQK15" s="342"/>
      <c r="HQL15" s="357"/>
      <c r="HQM15" s="357"/>
      <c r="HQN15" s="358"/>
      <c r="HQO15" s="358"/>
      <c r="HQP15" s="358"/>
      <c r="HQQ15" s="342"/>
      <c r="HQR15" s="342"/>
      <c r="HQS15" s="342"/>
      <c r="HQT15" s="357"/>
      <c r="HQU15" s="357"/>
      <c r="HQV15" s="358"/>
      <c r="HQW15" s="358"/>
      <c r="HQX15" s="358"/>
      <c r="HQY15" s="342"/>
      <c r="HQZ15" s="342"/>
      <c r="HRA15" s="342"/>
      <c r="HRB15" s="357"/>
      <c r="HRC15" s="357"/>
      <c r="HRD15" s="358"/>
      <c r="HRE15" s="358"/>
      <c r="HRF15" s="358"/>
      <c r="HRG15" s="342"/>
      <c r="HRH15" s="342"/>
      <c r="HRI15" s="342"/>
      <c r="HRJ15" s="357"/>
      <c r="HRK15" s="357"/>
      <c r="HRL15" s="358"/>
      <c r="HRM15" s="358"/>
      <c r="HRN15" s="358"/>
      <c r="HRO15" s="342"/>
      <c r="HRP15" s="342"/>
      <c r="HRQ15" s="342"/>
      <c r="HRR15" s="357"/>
      <c r="HRS15" s="357"/>
      <c r="HRT15" s="358"/>
      <c r="HRU15" s="358"/>
      <c r="HRV15" s="358"/>
      <c r="HRW15" s="342"/>
      <c r="HRX15" s="342"/>
      <c r="HRY15" s="342"/>
      <c r="HRZ15" s="357"/>
      <c r="HSA15" s="357"/>
      <c r="HSB15" s="358"/>
      <c r="HSC15" s="358"/>
      <c r="HSD15" s="358"/>
      <c r="HSE15" s="342"/>
      <c r="HSF15" s="342"/>
      <c r="HSG15" s="342"/>
      <c r="HSH15" s="357"/>
      <c r="HSI15" s="357"/>
      <c r="HSJ15" s="358"/>
      <c r="HSK15" s="358"/>
      <c r="HSL15" s="358"/>
      <c r="HSM15" s="342"/>
      <c r="HSN15" s="342"/>
      <c r="HSO15" s="342"/>
      <c r="HSP15" s="357"/>
      <c r="HSQ15" s="357"/>
      <c r="HSR15" s="358"/>
      <c r="HSS15" s="358"/>
      <c r="HST15" s="358"/>
      <c r="HSU15" s="342"/>
      <c r="HSV15" s="342"/>
      <c r="HSW15" s="342"/>
      <c r="HSX15" s="357"/>
      <c r="HSY15" s="357"/>
      <c r="HSZ15" s="358"/>
      <c r="HTA15" s="358"/>
      <c r="HTB15" s="358"/>
      <c r="HTC15" s="342"/>
      <c r="HTD15" s="342"/>
      <c r="HTE15" s="342"/>
      <c r="HTF15" s="357"/>
      <c r="HTG15" s="357"/>
      <c r="HTH15" s="358"/>
      <c r="HTI15" s="358"/>
      <c r="HTJ15" s="358"/>
      <c r="HTK15" s="342"/>
      <c r="HTL15" s="342"/>
      <c r="HTM15" s="342"/>
      <c r="HTN15" s="357"/>
      <c r="HTO15" s="357"/>
      <c r="HTP15" s="358"/>
      <c r="HTQ15" s="358"/>
      <c r="HTR15" s="358"/>
      <c r="HTS15" s="342"/>
      <c r="HTT15" s="342"/>
      <c r="HTU15" s="342"/>
      <c r="HTV15" s="357"/>
      <c r="HTW15" s="357"/>
      <c r="HTX15" s="358"/>
      <c r="HTY15" s="358"/>
      <c r="HTZ15" s="358"/>
      <c r="HUA15" s="342"/>
      <c r="HUB15" s="342"/>
      <c r="HUC15" s="342"/>
      <c r="HUD15" s="357"/>
      <c r="HUE15" s="357"/>
      <c r="HUF15" s="358"/>
      <c r="HUG15" s="358"/>
      <c r="HUH15" s="358"/>
      <c r="HUI15" s="342"/>
      <c r="HUJ15" s="342"/>
      <c r="HUK15" s="342"/>
      <c r="HUL15" s="357"/>
      <c r="HUM15" s="357"/>
      <c r="HUN15" s="358"/>
      <c r="HUO15" s="358"/>
      <c r="HUP15" s="358"/>
      <c r="HUQ15" s="342"/>
      <c r="HUR15" s="342"/>
      <c r="HUS15" s="342"/>
      <c r="HUT15" s="357"/>
      <c r="HUU15" s="357"/>
      <c r="HUV15" s="358"/>
      <c r="HUW15" s="358"/>
      <c r="HUX15" s="358"/>
      <c r="HUY15" s="342"/>
      <c r="HUZ15" s="342"/>
      <c r="HVA15" s="342"/>
      <c r="HVB15" s="357"/>
      <c r="HVC15" s="357"/>
      <c r="HVD15" s="358"/>
      <c r="HVE15" s="358"/>
      <c r="HVF15" s="358"/>
      <c r="HVG15" s="342"/>
      <c r="HVH15" s="342"/>
      <c r="HVI15" s="342"/>
      <c r="HVJ15" s="357"/>
      <c r="HVK15" s="357"/>
      <c r="HVL15" s="358"/>
      <c r="HVM15" s="358"/>
      <c r="HVN15" s="358"/>
      <c r="HVO15" s="342"/>
      <c r="HVP15" s="342"/>
      <c r="HVQ15" s="342"/>
      <c r="HVR15" s="357"/>
      <c r="HVS15" s="357"/>
      <c r="HVT15" s="358"/>
      <c r="HVU15" s="358"/>
      <c r="HVV15" s="358"/>
      <c r="HVW15" s="342"/>
      <c r="HVX15" s="342"/>
      <c r="HVY15" s="342"/>
      <c r="HVZ15" s="357"/>
      <c r="HWA15" s="357"/>
      <c r="HWB15" s="358"/>
      <c r="HWC15" s="358"/>
      <c r="HWD15" s="358"/>
      <c r="HWE15" s="342"/>
      <c r="HWF15" s="342"/>
      <c r="HWG15" s="342"/>
      <c r="HWH15" s="357"/>
      <c r="HWI15" s="357"/>
      <c r="HWJ15" s="358"/>
      <c r="HWK15" s="358"/>
      <c r="HWL15" s="358"/>
      <c r="HWM15" s="342"/>
      <c r="HWN15" s="342"/>
      <c r="HWO15" s="342"/>
      <c r="HWP15" s="357"/>
      <c r="HWQ15" s="357"/>
      <c r="HWR15" s="358"/>
      <c r="HWS15" s="358"/>
      <c r="HWT15" s="358"/>
      <c r="HWU15" s="342"/>
      <c r="HWV15" s="342"/>
      <c r="HWW15" s="342"/>
      <c r="HWX15" s="357"/>
      <c r="HWY15" s="357"/>
      <c r="HWZ15" s="358"/>
      <c r="HXA15" s="358"/>
      <c r="HXB15" s="358"/>
      <c r="HXC15" s="342"/>
      <c r="HXD15" s="342"/>
      <c r="HXE15" s="342"/>
      <c r="HXF15" s="357"/>
      <c r="HXG15" s="357"/>
      <c r="HXH15" s="358"/>
      <c r="HXI15" s="358"/>
      <c r="HXJ15" s="358"/>
      <c r="HXK15" s="342"/>
      <c r="HXL15" s="342"/>
      <c r="HXM15" s="342"/>
      <c r="HXN15" s="357"/>
      <c r="HXO15" s="357"/>
      <c r="HXP15" s="358"/>
      <c r="HXQ15" s="358"/>
      <c r="HXR15" s="358"/>
      <c r="HXS15" s="342"/>
      <c r="HXT15" s="342"/>
      <c r="HXU15" s="342"/>
      <c r="HXV15" s="357"/>
      <c r="HXW15" s="357"/>
      <c r="HXX15" s="358"/>
      <c r="HXY15" s="358"/>
      <c r="HXZ15" s="358"/>
      <c r="HYA15" s="342"/>
      <c r="HYB15" s="342"/>
      <c r="HYC15" s="342"/>
      <c r="HYD15" s="357"/>
      <c r="HYE15" s="357"/>
      <c r="HYF15" s="358"/>
      <c r="HYG15" s="358"/>
      <c r="HYH15" s="358"/>
      <c r="HYI15" s="342"/>
      <c r="HYJ15" s="342"/>
      <c r="HYK15" s="342"/>
      <c r="HYL15" s="357"/>
      <c r="HYM15" s="357"/>
      <c r="HYN15" s="358"/>
      <c r="HYO15" s="358"/>
      <c r="HYP15" s="358"/>
      <c r="HYQ15" s="342"/>
      <c r="HYR15" s="342"/>
      <c r="HYS15" s="342"/>
      <c r="HYT15" s="357"/>
      <c r="HYU15" s="357"/>
      <c r="HYV15" s="358"/>
      <c r="HYW15" s="358"/>
      <c r="HYX15" s="358"/>
      <c r="HYY15" s="342"/>
      <c r="HYZ15" s="342"/>
      <c r="HZA15" s="342"/>
      <c r="HZB15" s="357"/>
      <c r="HZC15" s="357"/>
      <c r="HZD15" s="358"/>
      <c r="HZE15" s="358"/>
      <c r="HZF15" s="358"/>
      <c r="HZG15" s="342"/>
      <c r="HZH15" s="342"/>
      <c r="HZI15" s="342"/>
      <c r="HZJ15" s="357"/>
      <c r="HZK15" s="357"/>
      <c r="HZL15" s="358"/>
      <c r="HZM15" s="358"/>
      <c r="HZN15" s="358"/>
      <c r="HZO15" s="342"/>
      <c r="HZP15" s="342"/>
      <c r="HZQ15" s="342"/>
      <c r="HZR15" s="357"/>
      <c r="HZS15" s="357"/>
      <c r="HZT15" s="358"/>
      <c r="HZU15" s="358"/>
      <c r="HZV15" s="358"/>
      <c r="HZW15" s="342"/>
      <c r="HZX15" s="342"/>
      <c r="HZY15" s="342"/>
      <c r="HZZ15" s="357"/>
      <c r="IAA15" s="357"/>
      <c r="IAB15" s="358"/>
      <c r="IAC15" s="358"/>
      <c r="IAD15" s="358"/>
      <c r="IAE15" s="342"/>
      <c r="IAF15" s="342"/>
      <c r="IAG15" s="342"/>
      <c r="IAH15" s="357"/>
      <c r="IAI15" s="357"/>
      <c r="IAJ15" s="358"/>
      <c r="IAK15" s="358"/>
      <c r="IAL15" s="358"/>
      <c r="IAM15" s="342"/>
      <c r="IAN15" s="342"/>
      <c r="IAO15" s="342"/>
      <c r="IAP15" s="357"/>
      <c r="IAQ15" s="357"/>
      <c r="IAR15" s="358"/>
      <c r="IAS15" s="358"/>
      <c r="IAT15" s="358"/>
      <c r="IAU15" s="342"/>
      <c r="IAV15" s="342"/>
      <c r="IAW15" s="342"/>
      <c r="IAX15" s="357"/>
      <c r="IAY15" s="357"/>
      <c r="IAZ15" s="358"/>
      <c r="IBA15" s="358"/>
      <c r="IBB15" s="358"/>
      <c r="IBC15" s="342"/>
      <c r="IBD15" s="342"/>
      <c r="IBE15" s="342"/>
      <c r="IBF15" s="357"/>
      <c r="IBG15" s="357"/>
      <c r="IBH15" s="358"/>
      <c r="IBI15" s="358"/>
      <c r="IBJ15" s="358"/>
      <c r="IBK15" s="342"/>
      <c r="IBL15" s="342"/>
      <c r="IBM15" s="342"/>
      <c r="IBN15" s="357"/>
      <c r="IBO15" s="357"/>
      <c r="IBP15" s="358"/>
      <c r="IBQ15" s="358"/>
      <c r="IBR15" s="358"/>
      <c r="IBS15" s="342"/>
      <c r="IBT15" s="342"/>
      <c r="IBU15" s="342"/>
      <c r="IBV15" s="357"/>
      <c r="IBW15" s="357"/>
      <c r="IBX15" s="358"/>
      <c r="IBY15" s="358"/>
      <c r="IBZ15" s="358"/>
      <c r="ICA15" s="342"/>
      <c r="ICB15" s="342"/>
      <c r="ICC15" s="342"/>
      <c r="ICD15" s="357"/>
      <c r="ICE15" s="357"/>
      <c r="ICF15" s="358"/>
      <c r="ICG15" s="358"/>
      <c r="ICH15" s="358"/>
      <c r="ICI15" s="342"/>
      <c r="ICJ15" s="342"/>
      <c r="ICK15" s="342"/>
      <c r="ICL15" s="357"/>
      <c r="ICM15" s="357"/>
      <c r="ICN15" s="358"/>
      <c r="ICO15" s="358"/>
      <c r="ICP15" s="358"/>
      <c r="ICQ15" s="342"/>
      <c r="ICR15" s="342"/>
      <c r="ICS15" s="342"/>
      <c r="ICT15" s="357"/>
      <c r="ICU15" s="357"/>
      <c r="ICV15" s="358"/>
      <c r="ICW15" s="358"/>
      <c r="ICX15" s="358"/>
      <c r="ICY15" s="342"/>
      <c r="ICZ15" s="342"/>
      <c r="IDA15" s="342"/>
      <c r="IDB15" s="357"/>
      <c r="IDC15" s="357"/>
      <c r="IDD15" s="358"/>
      <c r="IDE15" s="358"/>
      <c r="IDF15" s="358"/>
      <c r="IDG15" s="342"/>
      <c r="IDH15" s="342"/>
      <c r="IDI15" s="342"/>
      <c r="IDJ15" s="357"/>
      <c r="IDK15" s="357"/>
      <c r="IDL15" s="358"/>
      <c r="IDM15" s="358"/>
      <c r="IDN15" s="358"/>
      <c r="IDO15" s="342"/>
      <c r="IDP15" s="342"/>
      <c r="IDQ15" s="342"/>
      <c r="IDR15" s="357"/>
      <c r="IDS15" s="357"/>
      <c r="IDT15" s="358"/>
      <c r="IDU15" s="358"/>
      <c r="IDV15" s="358"/>
      <c r="IDW15" s="342"/>
      <c r="IDX15" s="342"/>
      <c r="IDY15" s="342"/>
      <c r="IDZ15" s="357"/>
      <c r="IEA15" s="357"/>
      <c r="IEB15" s="358"/>
      <c r="IEC15" s="358"/>
      <c r="IED15" s="358"/>
      <c r="IEE15" s="342"/>
      <c r="IEF15" s="342"/>
      <c r="IEG15" s="342"/>
      <c r="IEH15" s="357"/>
      <c r="IEI15" s="357"/>
      <c r="IEJ15" s="358"/>
      <c r="IEK15" s="358"/>
      <c r="IEL15" s="358"/>
      <c r="IEM15" s="342"/>
      <c r="IEN15" s="342"/>
      <c r="IEO15" s="342"/>
      <c r="IEP15" s="357"/>
      <c r="IEQ15" s="357"/>
      <c r="IER15" s="358"/>
      <c r="IES15" s="358"/>
      <c r="IET15" s="358"/>
      <c r="IEU15" s="342"/>
      <c r="IEV15" s="342"/>
      <c r="IEW15" s="342"/>
      <c r="IEX15" s="357"/>
      <c r="IEY15" s="357"/>
      <c r="IEZ15" s="358"/>
      <c r="IFA15" s="358"/>
      <c r="IFB15" s="358"/>
      <c r="IFC15" s="342"/>
      <c r="IFD15" s="342"/>
      <c r="IFE15" s="342"/>
      <c r="IFF15" s="357"/>
      <c r="IFG15" s="357"/>
      <c r="IFH15" s="358"/>
      <c r="IFI15" s="358"/>
      <c r="IFJ15" s="358"/>
      <c r="IFK15" s="342"/>
      <c r="IFL15" s="342"/>
      <c r="IFM15" s="342"/>
      <c r="IFN15" s="357"/>
      <c r="IFO15" s="357"/>
      <c r="IFP15" s="358"/>
      <c r="IFQ15" s="358"/>
      <c r="IFR15" s="358"/>
      <c r="IFS15" s="342"/>
      <c r="IFT15" s="342"/>
      <c r="IFU15" s="342"/>
      <c r="IFV15" s="357"/>
      <c r="IFW15" s="357"/>
      <c r="IFX15" s="358"/>
      <c r="IFY15" s="358"/>
      <c r="IFZ15" s="358"/>
      <c r="IGA15" s="342"/>
      <c r="IGB15" s="342"/>
      <c r="IGC15" s="342"/>
      <c r="IGD15" s="357"/>
      <c r="IGE15" s="357"/>
      <c r="IGF15" s="358"/>
      <c r="IGG15" s="358"/>
      <c r="IGH15" s="358"/>
      <c r="IGI15" s="342"/>
      <c r="IGJ15" s="342"/>
      <c r="IGK15" s="342"/>
      <c r="IGL15" s="357"/>
      <c r="IGM15" s="357"/>
      <c r="IGN15" s="358"/>
      <c r="IGO15" s="358"/>
      <c r="IGP15" s="358"/>
      <c r="IGQ15" s="342"/>
      <c r="IGR15" s="342"/>
      <c r="IGS15" s="342"/>
      <c r="IGT15" s="357"/>
      <c r="IGU15" s="357"/>
      <c r="IGV15" s="358"/>
      <c r="IGW15" s="358"/>
      <c r="IGX15" s="358"/>
      <c r="IGY15" s="342"/>
      <c r="IGZ15" s="342"/>
      <c r="IHA15" s="342"/>
      <c r="IHB15" s="357"/>
      <c r="IHC15" s="357"/>
      <c r="IHD15" s="358"/>
      <c r="IHE15" s="358"/>
      <c r="IHF15" s="358"/>
      <c r="IHG15" s="342"/>
      <c r="IHH15" s="342"/>
      <c r="IHI15" s="342"/>
      <c r="IHJ15" s="343"/>
      <c r="IHK15" s="343"/>
      <c r="IHL15" s="344"/>
      <c r="IHM15" s="344"/>
      <c r="IHN15" s="344"/>
      <c r="IHO15" s="342"/>
      <c r="IHP15" s="342"/>
      <c r="IHQ15" s="342"/>
      <c r="IHR15" s="343"/>
      <c r="IHS15" s="343"/>
      <c r="IHT15" s="344"/>
      <c r="IHU15" s="344"/>
      <c r="IHV15" s="344"/>
      <c r="IHW15" s="342"/>
      <c r="IHX15" s="342"/>
      <c r="IHY15" s="342"/>
      <c r="IHZ15" s="343"/>
      <c r="IIA15" s="343"/>
      <c r="IIB15" s="344"/>
      <c r="IIC15" s="344"/>
      <c r="IID15" s="344"/>
      <c r="IIE15" s="342"/>
      <c r="IIF15" s="342"/>
      <c r="IIG15" s="342"/>
      <c r="IIH15" s="343"/>
      <c r="III15" s="343"/>
      <c r="IIJ15" s="344"/>
      <c r="IIK15" s="344"/>
      <c r="IIL15" s="344"/>
      <c r="IIM15" s="342"/>
      <c r="IIN15" s="342"/>
      <c r="IIO15" s="342"/>
      <c r="IIP15" s="343"/>
      <c r="IIQ15" s="343"/>
      <c r="IIR15" s="344"/>
      <c r="IIS15" s="344"/>
      <c r="IIT15" s="344"/>
      <c r="IIU15" s="342"/>
      <c r="IIV15" s="342"/>
      <c r="IIW15" s="342"/>
      <c r="IIX15" s="343"/>
      <c r="IIY15" s="343"/>
      <c r="IIZ15" s="344"/>
      <c r="IJA15" s="344"/>
      <c r="IJB15" s="344"/>
      <c r="IJC15" s="342"/>
      <c r="IJD15" s="342"/>
      <c r="IJE15" s="342"/>
      <c r="IJF15" s="343"/>
      <c r="IJG15" s="343"/>
      <c r="IJH15" s="344"/>
      <c r="IJI15" s="344"/>
      <c r="IJJ15" s="344"/>
      <c r="IJK15" s="342"/>
      <c r="IJL15" s="342"/>
      <c r="IJM15" s="342"/>
      <c r="IJN15" s="343"/>
      <c r="IJO15" s="343"/>
      <c r="IJP15" s="344"/>
      <c r="IJQ15" s="344"/>
      <c r="IJR15" s="344"/>
      <c r="IJS15" s="342"/>
      <c r="IJT15" s="342"/>
      <c r="IJU15" s="342"/>
      <c r="IJV15" s="357"/>
      <c r="IJW15" s="357"/>
      <c r="IJX15" s="358"/>
      <c r="IJY15" s="358"/>
      <c r="IJZ15" s="358"/>
      <c r="IKA15" s="342"/>
      <c r="IKB15" s="342"/>
      <c r="IKC15" s="342"/>
      <c r="IKD15" s="343"/>
      <c r="IKE15" s="343"/>
      <c r="IKF15" s="344"/>
      <c r="IKG15" s="344"/>
      <c r="IKH15" s="344"/>
      <c r="IKI15" s="342"/>
      <c r="IKJ15" s="342"/>
      <c r="IKK15" s="342"/>
      <c r="IKL15" s="357"/>
      <c r="IKM15" s="357"/>
      <c r="IKN15" s="358"/>
      <c r="IKO15" s="358"/>
      <c r="IKP15" s="358"/>
      <c r="IKQ15" s="342"/>
      <c r="IKR15" s="342"/>
      <c r="IKS15" s="342"/>
      <c r="IKT15" s="357"/>
      <c r="IKU15" s="357"/>
      <c r="IKV15" s="344"/>
      <c r="IKW15" s="344"/>
      <c r="IKX15" s="344"/>
      <c r="IKY15" s="342"/>
      <c r="IKZ15" s="342"/>
      <c r="ILA15" s="342"/>
      <c r="ILB15" s="343"/>
      <c r="ILC15" s="343"/>
      <c r="ILD15" s="344"/>
      <c r="ILE15" s="344"/>
      <c r="ILF15" s="344"/>
      <c r="ILG15" s="342"/>
      <c r="ILH15" s="342"/>
      <c r="ILI15" s="342"/>
      <c r="ILJ15" s="343"/>
      <c r="ILK15" s="343"/>
      <c r="ILL15" s="344"/>
      <c r="ILM15" s="344"/>
      <c r="ILN15" s="344"/>
      <c r="ILO15" s="342"/>
      <c r="ILP15" s="342"/>
      <c r="ILQ15" s="342"/>
      <c r="ILR15" s="343"/>
      <c r="ILS15" s="343"/>
      <c r="ILT15" s="344"/>
      <c r="ILU15" s="344"/>
      <c r="ILV15" s="344"/>
      <c r="ILW15" s="342"/>
      <c r="ILX15" s="342"/>
      <c r="ILY15" s="342"/>
      <c r="ILZ15" s="343"/>
      <c r="IMA15" s="343"/>
      <c r="IMB15" s="344"/>
      <c r="IMC15" s="344"/>
      <c r="IMD15" s="344"/>
      <c r="IME15" s="342"/>
      <c r="IMF15" s="342"/>
      <c r="IMG15" s="342"/>
      <c r="IMH15" s="343"/>
      <c r="IMI15" s="343"/>
      <c r="IMJ15" s="344"/>
      <c r="IMK15" s="344"/>
      <c r="IML15" s="344"/>
      <c r="IMM15" s="342"/>
      <c r="IMN15" s="342"/>
      <c r="IMO15" s="342"/>
      <c r="IMP15" s="343"/>
      <c r="IMQ15" s="343"/>
      <c r="IMR15" s="344"/>
      <c r="IMS15" s="344"/>
      <c r="IMT15" s="344"/>
      <c r="IMU15" s="342"/>
      <c r="IMV15" s="342"/>
      <c r="IMW15" s="342"/>
      <c r="IMX15" s="343"/>
      <c r="IMY15" s="343"/>
      <c r="IMZ15" s="344"/>
      <c r="INA15" s="344"/>
      <c r="INB15" s="344"/>
      <c r="INC15" s="342"/>
      <c r="IND15" s="342"/>
      <c r="INE15" s="342"/>
      <c r="INF15" s="343"/>
      <c r="ING15" s="343"/>
      <c r="INH15" s="344"/>
      <c r="INI15" s="344"/>
      <c r="INJ15" s="344"/>
      <c r="INK15" s="342"/>
      <c r="INL15" s="342"/>
      <c r="INM15" s="342"/>
      <c r="INN15" s="343"/>
      <c r="INO15" s="343"/>
      <c r="INP15" s="344"/>
      <c r="INQ15" s="344"/>
      <c r="INR15" s="344"/>
      <c r="INS15" s="342"/>
      <c r="INT15" s="342"/>
      <c r="INU15" s="342"/>
      <c r="INV15" s="343"/>
      <c r="INW15" s="343"/>
      <c r="INX15" s="344"/>
      <c r="INY15" s="344"/>
      <c r="INZ15" s="344"/>
      <c r="IOA15" s="342"/>
      <c r="IOB15" s="342"/>
      <c r="IOC15" s="342"/>
      <c r="IOD15" s="343"/>
      <c r="IOE15" s="343"/>
      <c r="IOF15" s="344"/>
      <c r="IOG15" s="344"/>
      <c r="IOH15" s="344"/>
      <c r="IOI15" s="342"/>
      <c r="IOJ15" s="342"/>
      <c r="IOK15" s="342"/>
      <c r="IOL15" s="343"/>
      <c r="IOM15" s="343"/>
      <c r="ION15" s="344"/>
      <c r="IOO15" s="344"/>
      <c r="IOP15" s="344"/>
      <c r="IOQ15" s="342"/>
      <c r="IOR15" s="342"/>
      <c r="IOS15" s="342"/>
      <c r="IOT15" s="343"/>
      <c r="IOU15" s="343"/>
      <c r="IOV15" s="344"/>
      <c r="IOW15" s="344"/>
      <c r="IOX15" s="344"/>
      <c r="IOY15" s="342"/>
      <c r="IOZ15" s="342"/>
      <c r="IPA15" s="342"/>
      <c r="IPB15" s="343"/>
      <c r="IPC15" s="343"/>
      <c r="IPD15" s="344"/>
      <c r="IPE15" s="344"/>
      <c r="IPF15" s="344"/>
      <c r="IPG15" s="342"/>
      <c r="IPH15" s="342"/>
      <c r="IPI15" s="342"/>
      <c r="IPJ15" s="343"/>
      <c r="IPK15" s="343"/>
      <c r="IPL15" s="344"/>
      <c r="IPM15" s="344"/>
      <c r="IPN15" s="344"/>
      <c r="IPO15" s="342"/>
      <c r="IPP15" s="342"/>
      <c r="IPQ15" s="342"/>
      <c r="IPR15" s="343"/>
      <c r="IPS15" s="343"/>
      <c r="IPT15" s="344"/>
      <c r="IPU15" s="344"/>
      <c r="IPV15" s="344"/>
      <c r="IPW15" s="342"/>
      <c r="IPX15" s="342"/>
      <c r="IPY15" s="342"/>
      <c r="IPZ15" s="343"/>
      <c r="IQA15" s="343"/>
      <c r="IQB15" s="344"/>
      <c r="IQC15" s="344"/>
      <c r="IQD15" s="344"/>
      <c r="IQE15" s="342"/>
      <c r="IQF15" s="342"/>
      <c r="IQG15" s="342"/>
      <c r="IQH15" s="343"/>
      <c r="IQI15" s="343"/>
      <c r="IQJ15" s="344"/>
      <c r="IQK15" s="344"/>
      <c r="IQL15" s="344"/>
      <c r="IQM15" s="342"/>
      <c r="IQN15" s="342"/>
      <c r="IQO15" s="342"/>
      <c r="IQP15" s="343"/>
      <c r="IQQ15" s="343"/>
      <c r="IQR15" s="344"/>
      <c r="IQS15" s="344"/>
      <c r="IQT15" s="344"/>
      <c r="IQU15" s="342"/>
      <c r="IQV15" s="342"/>
      <c r="IQW15" s="342"/>
      <c r="IQX15" s="343"/>
      <c r="IQY15" s="343"/>
      <c r="IQZ15" s="344"/>
      <c r="IRA15" s="344"/>
      <c r="IRB15" s="344"/>
      <c r="IRC15" s="342"/>
      <c r="IRD15" s="342"/>
      <c r="IRE15" s="342"/>
      <c r="IRF15" s="343"/>
      <c r="IRG15" s="343"/>
      <c r="IRH15" s="344"/>
      <c r="IRI15" s="344"/>
      <c r="IRJ15" s="344"/>
      <c r="IRK15" s="342"/>
      <c r="IRL15" s="342"/>
      <c r="IRM15" s="342"/>
      <c r="IRN15" s="343"/>
      <c r="IRO15" s="343"/>
      <c r="IRP15" s="344"/>
      <c r="IRQ15" s="344"/>
      <c r="IRR15" s="344"/>
      <c r="IRS15" s="342"/>
      <c r="IRT15" s="342"/>
      <c r="IRU15" s="342"/>
      <c r="IRV15" s="343"/>
      <c r="IRW15" s="343"/>
      <c r="IRX15" s="344"/>
      <c r="IRY15" s="344"/>
      <c r="IRZ15" s="344"/>
      <c r="ISA15" s="342"/>
      <c r="ISB15" s="342"/>
      <c r="ISC15" s="342"/>
      <c r="ISD15" s="343"/>
      <c r="ISE15" s="343"/>
      <c r="ISF15" s="344"/>
      <c r="ISG15" s="344"/>
      <c r="ISH15" s="344"/>
      <c r="ISI15" s="342"/>
      <c r="ISJ15" s="342"/>
      <c r="ISK15" s="342"/>
      <c r="ISL15" s="343"/>
      <c r="ISM15" s="343"/>
      <c r="ISN15" s="344"/>
      <c r="ISO15" s="344"/>
      <c r="ISP15" s="344"/>
      <c r="ISQ15" s="342"/>
      <c r="ISR15" s="342"/>
      <c r="ISS15" s="342"/>
      <c r="IST15" s="343"/>
      <c r="ISU15" s="343"/>
      <c r="ISV15" s="344"/>
      <c r="ISW15" s="344"/>
      <c r="ISX15" s="344"/>
      <c r="ISY15" s="342"/>
      <c r="ISZ15" s="342"/>
      <c r="ITA15" s="342"/>
      <c r="ITB15" s="343"/>
      <c r="ITC15" s="343"/>
      <c r="ITD15" s="344"/>
      <c r="ITE15" s="344"/>
      <c r="ITF15" s="344"/>
      <c r="ITG15" s="342"/>
      <c r="ITH15" s="342"/>
      <c r="ITI15" s="342"/>
      <c r="ITJ15" s="343"/>
      <c r="ITK15" s="343"/>
      <c r="ITL15" s="344"/>
      <c r="ITM15" s="344"/>
      <c r="ITN15" s="344"/>
      <c r="ITO15" s="342"/>
      <c r="ITP15" s="342"/>
      <c r="ITQ15" s="342"/>
      <c r="ITR15" s="343"/>
      <c r="ITS15" s="343"/>
      <c r="ITT15" s="344"/>
      <c r="ITU15" s="344"/>
      <c r="ITV15" s="344"/>
      <c r="ITW15" s="342"/>
      <c r="ITX15" s="342"/>
      <c r="ITY15" s="342"/>
      <c r="ITZ15" s="343"/>
      <c r="IUA15" s="343"/>
      <c r="IUB15" s="344"/>
      <c r="IUC15" s="344"/>
      <c r="IUD15" s="344"/>
      <c r="IUE15" s="342"/>
      <c r="IUF15" s="342"/>
      <c r="IUG15" s="342"/>
      <c r="IUH15" s="343"/>
      <c r="IUI15" s="343"/>
      <c r="IUJ15" s="344"/>
      <c r="IUK15" s="344"/>
      <c r="IUL15" s="344"/>
      <c r="IUM15" s="342"/>
      <c r="IUN15" s="342"/>
      <c r="IUO15" s="342"/>
      <c r="IUP15" s="343"/>
      <c r="IUQ15" s="343"/>
      <c r="IUR15" s="344"/>
      <c r="IUS15" s="344"/>
      <c r="IUT15" s="344"/>
      <c r="IUU15" s="342"/>
      <c r="IUV15" s="342"/>
      <c r="IUW15" s="342"/>
      <c r="IUX15" s="343"/>
      <c r="IUY15" s="343"/>
      <c r="IUZ15" s="344"/>
      <c r="IVA15" s="344"/>
      <c r="IVB15" s="344"/>
      <c r="IVC15" s="342"/>
      <c r="IVD15" s="342"/>
      <c r="IVE15" s="342"/>
      <c r="IVF15" s="343"/>
      <c r="IVG15" s="343"/>
      <c r="IVH15" s="344"/>
      <c r="IVI15" s="344"/>
      <c r="IVJ15" s="344"/>
      <c r="IVK15" s="342"/>
      <c r="IVL15" s="342"/>
      <c r="IVM15" s="342"/>
      <c r="IVN15" s="343"/>
      <c r="IVO15" s="343"/>
      <c r="IVP15" s="344"/>
      <c r="IVQ15" s="344"/>
      <c r="IVR15" s="344"/>
      <c r="IVS15" s="342"/>
      <c r="IVT15" s="342"/>
      <c r="IVU15" s="342"/>
      <c r="IVV15" s="343"/>
      <c r="IVW15" s="343"/>
      <c r="IVX15" s="344"/>
      <c r="IVY15" s="344"/>
      <c r="IVZ15" s="344"/>
      <c r="IWA15" s="342"/>
      <c r="IWB15" s="342"/>
      <c r="IWC15" s="342"/>
      <c r="IWD15" s="343"/>
      <c r="IWE15" s="343"/>
      <c r="IWF15" s="344"/>
      <c r="IWG15" s="344"/>
      <c r="IWH15" s="344"/>
      <c r="IWI15" s="342"/>
      <c r="IWJ15" s="342"/>
      <c r="IWK15" s="342"/>
      <c r="IWL15" s="343"/>
      <c r="IWM15" s="343"/>
      <c r="IWN15" s="344"/>
      <c r="IWO15" s="344"/>
      <c r="IWP15" s="344"/>
      <c r="IWQ15" s="342"/>
      <c r="IWR15" s="342"/>
      <c r="IWS15" s="342"/>
      <c r="IWT15" s="343"/>
      <c r="IWU15" s="343"/>
      <c r="IWV15" s="344"/>
      <c r="IWW15" s="344"/>
      <c r="IWX15" s="344"/>
      <c r="IWY15" s="342"/>
      <c r="IWZ15" s="342"/>
      <c r="IXA15" s="342"/>
      <c r="IXB15" s="343"/>
      <c r="IXC15" s="343"/>
      <c r="IXD15" s="344"/>
      <c r="IXE15" s="344"/>
      <c r="IXF15" s="344"/>
      <c r="IXG15" s="342"/>
      <c r="IXH15" s="342"/>
      <c r="IXI15" s="342"/>
      <c r="IXJ15" s="343"/>
      <c r="IXK15" s="343"/>
      <c r="IXL15" s="344"/>
      <c r="IXM15" s="344"/>
      <c r="IXN15" s="344"/>
      <c r="IXO15" s="342"/>
      <c r="IXP15" s="342"/>
      <c r="IXQ15" s="342"/>
      <c r="IXR15" s="343"/>
      <c r="IXS15" s="343"/>
      <c r="IXT15" s="344"/>
      <c r="IXU15" s="344"/>
      <c r="IXV15" s="344"/>
      <c r="IXW15" s="342"/>
      <c r="IXX15" s="342"/>
      <c r="IXY15" s="342"/>
      <c r="IXZ15" s="343"/>
      <c r="IYA15" s="343"/>
      <c r="IYB15" s="344"/>
      <c r="IYC15" s="344"/>
      <c r="IYD15" s="344"/>
      <c r="IYE15" s="342"/>
      <c r="IYF15" s="342"/>
      <c r="IYG15" s="342"/>
      <c r="IYH15" s="343"/>
      <c r="IYI15" s="343"/>
      <c r="IYJ15" s="344"/>
      <c r="IYK15" s="344"/>
      <c r="IYL15" s="344"/>
      <c r="IYM15" s="342"/>
      <c r="IYN15" s="342"/>
      <c r="IYO15" s="342"/>
      <c r="IYP15" s="343"/>
      <c r="IYQ15" s="343"/>
      <c r="IYR15" s="344"/>
      <c r="IYS15" s="344"/>
      <c r="IYT15" s="344"/>
      <c r="IYU15" s="342"/>
      <c r="IYV15" s="342"/>
      <c r="IYW15" s="342"/>
      <c r="IYX15" s="343"/>
      <c r="IYY15" s="343"/>
      <c r="IYZ15" s="344"/>
      <c r="IZA15" s="344"/>
      <c r="IZB15" s="344"/>
      <c r="IZC15" s="342"/>
      <c r="IZD15" s="342"/>
      <c r="IZE15" s="342"/>
      <c r="IZF15" s="343"/>
      <c r="IZG15" s="343"/>
      <c r="IZH15" s="344"/>
      <c r="IZI15" s="344"/>
      <c r="IZJ15" s="344"/>
      <c r="IZK15" s="342"/>
      <c r="IZL15" s="342"/>
      <c r="IZM15" s="342"/>
      <c r="IZN15" s="343"/>
      <c r="IZO15" s="343"/>
      <c r="IZP15" s="344"/>
      <c r="IZQ15" s="344"/>
      <c r="IZR15" s="344"/>
      <c r="IZS15" s="342"/>
      <c r="IZT15" s="342"/>
      <c r="IZU15" s="342"/>
      <c r="IZV15" s="343"/>
      <c r="IZW15" s="343"/>
      <c r="IZX15" s="344"/>
      <c r="IZY15" s="344"/>
      <c r="IZZ15" s="344"/>
      <c r="JAA15" s="342"/>
      <c r="JAB15" s="342"/>
      <c r="JAC15" s="342"/>
      <c r="JAD15" s="343"/>
      <c r="JAE15" s="343"/>
      <c r="JAF15" s="344"/>
      <c r="JAG15" s="344"/>
      <c r="JAH15" s="344"/>
      <c r="JAI15" s="342"/>
      <c r="JAJ15" s="342"/>
      <c r="JAK15" s="342"/>
      <c r="JAL15" s="343"/>
      <c r="JAM15" s="343"/>
      <c r="JAN15" s="344"/>
      <c r="JAO15" s="344"/>
      <c r="JAP15" s="344"/>
      <c r="JAQ15" s="342"/>
      <c r="JAR15" s="342"/>
      <c r="JAS15" s="342"/>
      <c r="JAT15" s="343"/>
      <c r="JAU15" s="343"/>
      <c r="JAV15" s="344"/>
      <c r="JAW15" s="344"/>
      <c r="JAX15" s="344"/>
      <c r="JAY15" s="342"/>
      <c r="JAZ15" s="342"/>
      <c r="JBA15" s="342"/>
      <c r="JBB15" s="343"/>
      <c r="JBC15" s="343"/>
      <c r="JBD15" s="344"/>
      <c r="JBE15" s="344"/>
      <c r="JBF15" s="344"/>
      <c r="JBG15" s="342"/>
      <c r="JBH15" s="342"/>
      <c r="JBI15" s="342"/>
      <c r="JBJ15" s="343"/>
      <c r="JBK15" s="343"/>
      <c r="JBL15" s="344"/>
      <c r="JBM15" s="344"/>
      <c r="JBN15" s="344"/>
      <c r="JBO15" s="342"/>
      <c r="JBP15" s="342"/>
      <c r="JBQ15" s="342"/>
      <c r="JBR15" s="343"/>
      <c r="JBS15" s="343"/>
      <c r="JBT15" s="344"/>
      <c r="JBU15" s="344"/>
      <c r="JBV15" s="344"/>
      <c r="JBW15" s="342"/>
      <c r="JBX15" s="342"/>
      <c r="JBY15" s="342"/>
      <c r="JBZ15" s="343"/>
      <c r="JCA15" s="343"/>
      <c r="JCB15" s="344"/>
      <c r="JCC15" s="344"/>
      <c r="JCD15" s="344"/>
      <c r="JCE15" s="342"/>
      <c r="JCF15" s="342"/>
      <c r="JCG15" s="342"/>
      <c r="JCH15" s="343"/>
      <c r="JCI15" s="343"/>
      <c r="JCJ15" s="344"/>
      <c r="JCK15" s="344"/>
      <c r="JCL15" s="344"/>
      <c r="JCM15" s="342"/>
      <c r="JCN15" s="342"/>
      <c r="JCO15" s="342"/>
      <c r="JCP15" s="343"/>
      <c r="JCQ15" s="343"/>
      <c r="JCR15" s="344"/>
      <c r="JCS15" s="344"/>
      <c r="JCT15" s="344"/>
      <c r="JCU15" s="342"/>
      <c r="JCV15" s="342"/>
      <c r="JCW15" s="342"/>
      <c r="JCX15" s="343"/>
      <c r="JCY15" s="343"/>
      <c r="JCZ15" s="344"/>
      <c r="JDA15" s="344"/>
      <c r="JDB15" s="344"/>
      <c r="JDC15" s="342"/>
      <c r="JDD15" s="342"/>
      <c r="JDE15" s="342"/>
      <c r="JDF15" s="343"/>
      <c r="JDG15" s="343"/>
      <c r="JDH15" s="344"/>
      <c r="JDI15" s="344"/>
      <c r="JDJ15" s="344"/>
      <c r="JDK15" s="342"/>
      <c r="JDL15" s="342"/>
      <c r="JDM15" s="342"/>
      <c r="JDN15" s="343"/>
      <c r="JDO15" s="343"/>
      <c r="JDP15" s="344"/>
      <c r="JDQ15" s="344"/>
      <c r="JDR15" s="344"/>
      <c r="JDS15" s="342"/>
      <c r="JDT15" s="342"/>
      <c r="JDU15" s="342"/>
      <c r="JDV15" s="343"/>
      <c r="JDW15" s="343"/>
      <c r="JDX15" s="344"/>
      <c r="JDY15" s="344"/>
      <c r="JDZ15" s="344"/>
      <c r="JEA15" s="342"/>
      <c r="JEB15" s="342"/>
      <c r="JEC15" s="342"/>
      <c r="JED15" s="343"/>
      <c r="JEE15" s="343"/>
      <c r="JEF15" s="344"/>
      <c r="JEG15" s="344"/>
      <c r="JEH15" s="344"/>
      <c r="JEI15" s="342"/>
      <c r="JEJ15" s="342"/>
      <c r="JEK15" s="342"/>
      <c r="JEL15" s="343"/>
      <c r="JEM15" s="343"/>
      <c r="JEN15" s="344"/>
      <c r="JEO15" s="344"/>
      <c r="JEP15" s="344"/>
      <c r="JEQ15" s="342"/>
      <c r="JER15" s="342"/>
      <c r="JES15" s="342"/>
      <c r="JET15" s="343"/>
      <c r="JEU15" s="343"/>
      <c r="JEV15" s="344"/>
      <c r="JEW15" s="344"/>
      <c r="JEX15" s="344"/>
      <c r="JEY15" s="342"/>
      <c r="JEZ15" s="342"/>
      <c r="JFA15" s="342"/>
      <c r="JFB15" s="343"/>
      <c r="JFC15" s="343"/>
      <c r="JFD15" s="344"/>
      <c r="JFE15" s="344"/>
      <c r="JFF15" s="344"/>
      <c r="JFG15" s="342"/>
      <c r="JFH15" s="342"/>
      <c r="JFI15" s="342"/>
      <c r="JFJ15" s="343"/>
      <c r="JFK15" s="343"/>
      <c r="JFL15" s="344"/>
      <c r="JFM15" s="344"/>
      <c r="JFN15" s="344"/>
      <c r="JFO15" s="342"/>
      <c r="JFP15" s="342"/>
      <c r="JFQ15" s="342"/>
      <c r="JFR15" s="343"/>
      <c r="JFS15" s="343"/>
      <c r="JFT15" s="344"/>
      <c r="JFU15" s="344"/>
      <c r="JFV15" s="344"/>
      <c r="JFW15" s="342"/>
      <c r="JFX15" s="342"/>
      <c r="JFY15" s="342"/>
      <c r="JFZ15" s="343"/>
      <c r="JGA15" s="343"/>
      <c r="JGB15" s="344"/>
      <c r="JGC15" s="344"/>
      <c r="JGD15" s="344"/>
      <c r="JGE15" s="342"/>
      <c r="JGF15" s="342"/>
      <c r="JGG15" s="342"/>
      <c r="JGH15" s="343"/>
      <c r="JGI15" s="343"/>
      <c r="JGJ15" s="344"/>
      <c r="JGK15" s="344"/>
      <c r="JGL15" s="344"/>
      <c r="JGM15" s="342"/>
      <c r="JGN15" s="342"/>
      <c r="JGO15" s="342"/>
      <c r="JGP15" s="343"/>
      <c r="JGQ15" s="343"/>
      <c r="JGR15" s="344"/>
      <c r="JGS15" s="344"/>
      <c r="JGT15" s="344"/>
      <c r="JGU15" s="342"/>
      <c r="JGV15" s="342"/>
      <c r="JGW15" s="342"/>
      <c r="JGX15" s="343"/>
      <c r="JGY15" s="343"/>
      <c r="JGZ15" s="344"/>
      <c r="JHA15" s="344"/>
      <c r="JHB15" s="344"/>
      <c r="JHC15" s="342"/>
      <c r="JHD15" s="342"/>
      <c r="JHE15" s="342"/>
      <c r="JHF15" s="343"/>
      <c r="JHG15" s="343"/>
      <c r="JHH15" s="344"/>
      <c r="JHI15" s="344"/>
      <c r="JHJ15" s="344"/>
      <c r="JHK15" s="342"/>
      <c r="JHL15" s="342"/>
      <c r="JHM15" s="342"/>
      <c r="JHN15" s="343"/>
      <c r="JHO15" s="343"/>
      <c r="JHP15" s="344"/>
      <c r="JHQ15" s="344"/>
      <c r="JHR15" s="344"/>
      <c r="JHS15" s="342"/>
      <c r="JHT15" s="342"/>
      <c r="JHU15" s="342"/>
      <c r="JHV15" s="343"/>
      <c r="JHW15" s="343"/>
      <c r="JHX15" s="344"/>
      <c r="JHY15" s="344"/>
      <c r="JHZ15" s="344"/>
      <c r="JIA15" s="342"/>
      <c r="JIB15" s="342"/>
      <c r="JIC15" s="342"/>
      <c r="JID15" s="343"/>
      <c r="JIE15" s="343"/>
      <c r="JIF15" s="344"/>
      <c r="JIG15" s="344"/>
      <c r="JIH15" s="344"/>
      <c r="JII15" s="342"/>
      <c r="JIJ15" s="342"/>
      <c r="JIK15" s="342"/>
      <c r="JIL15" s="343"/>
      <c r="JIM15" s="343"/>
      <c r="JIN15" s="344"/>
      <c r="JIO15" s="344"/>
      <c r="JIP15" s="344"/>
      <c r="JIQ15" s="342"/>
      <c r="JIR15" s="342"/>
      <c r="JIS15" s="342"/>
      <c r="JIT15" s="343"/>
      <c r="JIU15" s="343"/>
      <c r="JIV15" s="344"/>
      <c r="JIW15" s="344"/>
      <c r="JIX15" s="344"/>
      <c r="JIY15" s="342"/>
      <c r="JIZ15" s="342"/>
      <c r="JJA15" s="342"/>
      <c r="JJB15" s="343"/>
      <c r="JJC15" s="343"/>
      <c r="JJD15" s="344"/>
      <c r="JJE15" s="344"/>
      <c r="JJF15" s="344"/>
      <c r="JJG15" s="342"/>
      <c r="JJH15" s="342"/>
      <c r="JJI15" s="342"/>
      <c r="JJJ15" s="343"/>
      <c r="JJK15" s="343"/>
      <c r="JJL15" s="344"/>
      <c r="JJM15" s="344"/>
      <c r="JJN15" s="344"/>
      <c r="JJO15" s="342"/>
      <c r="JJP15" s="342"/>
      <c r="JJQ15" s="342"/>
      <c r="JJR15" s="343"/>
      <c r="JJS15" s="343"/>
      <c r="JJT15" s="344"/>
      <c r="JJU15" s="344"/>
      <c r="JJV15" s="344"/>
      <c r="JJW15" s="342"/>
      <c r="JJX15" s="342"/>
      <c r="JJY15" s="342"/>
      <c r="JJZ15" s="343"/>
      <c r="JKA15" s="343"/>
      <c r="JKB15" s="344"/>
      <c r="JKC15" s="344"/>
      <c r="JKD15" s="344"/>
      <c r="JKE15" s="342"/>
      <c r="JKF15" s="342"/>
      <c r="JKG15" s="342"/>
      <c r="JKH15" s="343"/>
      <c r="JKI15" s="343"/>
      <c r="JKJ15" s="344"/>
      <c r="JKK15" s="344"/>
      <c r="JKL15" s="344"/>
      <c r="JKM15" s="342"/>
      <c r="JKN15" s="342"/>
      <c r="JKO15" s="342"/>
      <c r="JKP15" s="343"/>
      <c r="JKQ15" s="343"/>
      <c r="JKR15" s="344"/>
      <c r="JKS15" s="344"/>
      <c r="JKT15" s="344"/>
      <c r="JKU15" s="342"/>
      <c r="JKV15" s="342"/>
      <c r="JKW15" s="342"/>
      <c r="JKX15" s="343"/>
      <c r="JKY15" s="343"/>
      <c r="JKZ15" s="344"/>
      <c r="JLA15" s="344"/>
      <c r="JLB15" s="344"/>
      <c r="JLC15" s="342"/>
      <c r="JLD15" s="342"/>
      <c r="JLE15" s="342"/>
      <c r="JLF15" s="343"/>
      <c r="JLG15" s="343"/>
      <c r="JLH15" s="344"/>
      <c r="JLI15" s="344"/>
      <c r="JLJ15" s="344"/>
      <c r="JLK15" s="342"/>
      <c r="JLL15" s="342"/>
      <c r="JLM15" s="342"/>
      <c r="JLN15" s="343"/>
      <c r="JLO15" s="343"/>
      <c r="JLP15" s="344"/>
      <c r="JLQ15" s="344"/>
      <c r="JLR15" s="344"/>
      <c r="JLS15" s="342"/>
      <c r="JLT15" s="342"/>
      <c r="JLU15" s="342"/>
      <c r="JLV15" s="343"/>
      <c r="JLW15" s="343"/>
      <c r="JLX15" s="344"/>
      <c r="JLY15" s="344"/>
      <c r="JLZ15" s="344"/>
      <c r="JMA15" s="342"/>
      <c r="JMB15" s="342"/>
      <c r="JMC15" s="342"/>
      <c r="JMD15" s="343"/>
      <c r="JME15" s="343"/>
      <c r="JMF15" s="344"/>
      <c r="JMG15" s="344"/>
      <c r="JMH15" s="344"/>
      <c r="JMI15" s="342"/>
      <c r="JMJ15" s="342"/>
      <c r="JMK15" s="342"/>
      <c r="JML15" s="343"/>
      <c r="JMM15" s="343"/>
      <c r="JMN15" s="344"/>
      <c r="JMO15" s="344"/>
      <c r="JMP15" s="344"/>
      <c r="JMQ15" s="342"/>
      <c r="JMR15" s="342"/>
      <c r="JMS15" s="342"/>
      <c r="JMT15" s="343"/>
      <c r="JMU15" s="343"/>
      <c r="JMV15" s="344"/>
      <c r="JMW15" s="344"/>
      <c r="JMX15" s="344"/>
      <c r="JMY15" s="342"/>
      <c r="JMZ15" s="342"/>
      <c r="JNA15" s="342"/>
      <c r="JNB15" s="343"/>
      <c r="JNC15" s="343"/>
      <c r="JND15" s="344"/>
      <c r="JNE15" s="344"/>
      <c r="JNF15" s="344"/>
      <c r="JNG15" s="342"/>
      <c r="JNH15" s="342"/>
      <c r="JNI15" s="342"/>
      <c r="JNJ15" s="343"/>
      <c r="JNK15" s="343"/>
      <c r="JNL15" s="344"/>
      <c r="JNM15" s="344"/>
      <c r="JNN15" s="344"/>
      <c r="JNO15" s="342"/>
      <c r="JNP15" s="342"/>
      <c r="JNQ15" s="342"/>
      <c r="JNR15" s="343"/>
      <c r="JNS15" s="343"/>
      <c r="JNT15" s="344"/>
      <c r="JNU15" s="344"/>
      <c r="JNV15" s="344"/>
      <c r="JNW15" s="342"/>
      <c r="JNX15" s="342"/>
      <c r="JNY15" s="342"/>
      <c r="JNZ15" s="343"/>
      <c r="JOA15" s="343"/>
      <c r="JOB15" s="344"/>
      <c r="JOC15" s="344"/>
      <c r="JOD15" s="344"/>
      <c r="JOE15" s="342"/>
      <c r="JOF15" s="342"/>
      <c r="JOG15" s="342"/>
      <c r="JOH15" s="343"/>
      <c r="JOI15" s="343"/>
      <c r="JOJ15" s="344"/>
      <c r="JOK15" s="344"/>
      <c r="JOL15" s="344"/>
      <c r="JOM15" s="342"/>
      <c r="JON15" s="342"/>
      <c r="JOO15" s="342"/>
      <c r="JOP15" s="343"/>
      <c r="JOQ15" s="343"/>
      <c r="JOR15" s="344"/>
      <c r="JOS15" s="344"/>
      <c r="JOT15" s="344"/>
      <c r="JOU15" s="342"/>
      <c r="JOV15" s="342"/>
      <c r="JOW15" s="342"/>
      <c r="JOX15" s="343"/>
      <c r="JOY15" s="343"/>
      <c r="JOZ15" s="344"/>
      <c r="JPA15" s="344"/>
      <c r="JPB15" s="344"/>
      <c r="JPC15" s="342"/>
      <c r="JPD15" s="342"/>
      <c r="JPE15" s="342"/>
      <c r="JPF15" s="343"/>
      <c r="JPG15" s="343"/>
      <c r="JPH15" s="344"/>
      <c r="JPI15" s="344"/>
      <c r="JPJ15" s="344"/>
      <c r="JPK15" s="342"/>
      <c r="JPL15" s="342"/>
      <c r="JPM15" s="342"/>
      <c r="JPN15" s="343"/>
      <c r="JPO15" s="343"/>
      <c r="JPP15" s="344"/>
      <c r="JPQ15" s="344"/>
      <c r="JPR15" s="344"/>
      <c r="JPS15" s="342"/>
      <c r="JPT15" s="342"/>
      <c r="JPU15" s="342"/>
      <c r="JPV15" s="343"/>
      <c r="JPW15" s="343"/>
      <c r="JPX15" s="344"/>
      <c r="JPY15" s="344"/>
      <c r="JPZ15" s="344"/>
      <c r="JQA15" s="342"/>
      <c r="JQB15" s="342"/>
      <c r="JQC15" s="342"/>
      <c r="JQD15" s="343"/>
      <c r="JQE15" s="343"/>
      <c r="JQF15" s="344"/>
      <c r="JQG15" s="344"/>
      <c r="JQH15" s="344"/>
      <c r="JQI15" s="342"/>
      <c r="JQJ15" s="342"/>
      <c r="JQK15" s="342"/>
      <c r="JQL15" s="343"/>
      <c r="JQM15" s="343"/>
      <c r="JQN15" s="344"/>
      <c r="JQO15" s="344"/>
      <c r="JQP15" s="344"/>
      <c r="JQQ15" s="342"/>
      <c r="JQR15" s="342"/>
      <c r="JQS15" s="342"/>
      <c r="JQT15" s="343"/>
      <c r="JQU15" s="343"/>
      <c r="JQV15" s="344"/>
      <c r="JQW15" s="344"/>
      <c r="JQX15" s="344"/>
      <c r="JQY15" s="342"/>
      <c r="JQZ15" s="342"/>
      <c r="JRA15" s="342"/>
      <c r="JRB15" s="343"/>
      <c r="JRC15" s="343"/>
      <c r="JRD15" s="344"/>
      <c r="JRE15" s="344"/>
      <c r="JRF15" s="344"/>
      <c r="JRG15" s="342"/>
      <c r="JRH15" s="342"/>
      <c r="JRI15" s="342"/>
      <c r="JRJ15" s="343"/>
      <c r="JRK15" s="343"/>
      <c r="JRL15" s="344"/>
      <c r="JRM15" s="344"/>
      <c r="JRN15" s="344"/>
      <c r="JRO15" s="342"/>
      <c r="JRP15" s="342"/>
      <c r="JRQ15" s="342"/>
      <c r="JRR15" s="343"/>
      <c r="JRS15" s="343"/>
      <c r="JRT15" s="344"/>
      <c r="JRU15" s="344"/>
      <c r="JRV15" s="344"/>
      <c r="JRW15" s="342"/>
      <c r="JRX15" s="342"/>
      <c r="JRY15" s="342"/>
      <c r="JRZ15" s="343"/>
      <c r="JSA15" s="343"/>
      <c r="JSB15" s="344"/>
      <c r="JSC15" s="344"/>
      <c r="JSD15" s="344"/>
      <c r="JSE15" s="342"/>
      <c r="JSF15" s="342"/>
      <c r="JSG15" s="342"/>
      <c r="JSH15" s="343"/>
      <c r="JSI15" s="343"/>
      <c r="JSJ15" s="344"/>
      <c r="JSK15" s="344"/>
      <c r="JSL15" s="344"/>
      <c r="JSM15" s="342"/>
      <c r="JSN15" s="342"/>
      <c r="JSO15" s="342"/>
      <c r="JSP15" s="343"/>
      <c r="JSQ15" s="343"/>
      <c r="JSR15" s="344"/>
      <c r="JSS15" s="344"/>
      <c r="JST15" s="344"/>
      <c r="JSU15" s="342"/>
      <c r="JSV15" s="342"/>
      <c r="JSW15" s="342"/>
      <c r="JSX15" s="343"/>
      <c r="JSY15" s="343"/>
      <c r="JSZ15" s="344"/>
      <c r="JTA15" s="344"/>
      <c r="JTB15" s="344"/>
      <c r="JTC15" s="342"/>
      <c r="JTD15" s="342"/>
      <c r="JTE15" s="342"/>
      <c r="JTF15" s="343"/>
      <c r="JTG15" s="343"/>
      <c r="JTH15" s="344"/>
      <c r="JTI15" s="344"/>
      <c r="JTJ15" s="344"/>
      <c r="JTK15" s="342"/>
      <c r="JTL15" s="342"/>
      <c r="JTM15" s="342"/>
      <c r="JTN15" s="343"/>
      <c r="JTO15" s="343"/>
      <c r="JTP15" s="344"/>
      <c r="JTQ15" s="344"/>
      <c r="JTR15" s="344"/>
      <c r="JTS15" s="342"/>
      <c r="JTT15" s="342"/>
      <c r="JTU15" s="342"/>
      <c r="JTV15" s="343"/>
      <c r="JTW15" s="343"/>
      <c r="JTX15" s="344"/>
      <c r="JTY15" s="344"/>
      <c r="JTZ15" s="344"/>
      <c r="JUA15" s="342"/>
      <c r="JUB15" s="342"/>
      <c r="JUC15" s="342"/>
      <c r="JUD15" s="343"/>
      <c r="JUE15" s="343"/>
      <c r="JUF15" s="344"/>
      <c r="JUG15" s="344"/>
      <c r="JUH15" s="344"/>
      <c r="JUI15" s="342"/>
      <c r="JUJ15" s="342"/>
      <c r="JUK15" s="342"/>
      <c r="JUL15" s="343"/>
      <c r="JUM15" s="343"/>
      <c r="JUN15" s="344"/>
      <c r="JUO15" s="344"/>
      <c r="JUP15" s="344"/>
      <c r="JUQ15" s="342"/>
      <c r="JUR15" s="342"/>
      <c r="JUS15" s="342"/>
      <c r="JUT15" s="343"/>
      <c r="JUU15" s="343"/>
      <c r="JUV15" s="344"/>
      <c r="JUW15" s="344"/>
      <c r="JUX15" s="344"/>
      <c r="JUY15" s="342"/>
      <c r="JUZ15" s="342"/>
      <c r="JVA15" s="342"/>
      <c r="JVB15" s="343"/>
      <c r="JVC15" s="343"/>
      <c r="JVD15" s="344"/>
      <c r="JVE15" s="344"/>
      <c r="JVF15" s="344"/>
      <c r="JVG15" s="342"/>
      <c r="JVH15" s="342"/>
      <c r="JVI15" s="342"/>
      <c r="JVJ15" s="343"/>
      <c r="JVK15" s="343"/>
      <c r="JVL15" s="344"/>
      <c r="JVM15" s="344"/>
      <c r="JVN15" s="344"/>
      <c r="JVO15" s="342"/>
      <c r="JVP15" s="342"/>
      <c r="JVQ15" s="342"/>
      <c r="JVR15" s="343"/>
      <c r="JVS15" s="343"/>
      <c r="JVT15" s="344"/>
      <c r="JVU15" s="344"/>
      <c r="JVV15" s="344"/>
      <c r="JVW15" s="342"/>
      <c r="JVX15" s="342"/>
      <c r="JVY15" s="342"/>
      <c r="JVZ15" s="343"/>
      <c r="JWA15" s="343"/>
      <c r="JWB15" s="344"/>
      <c r="JWC15" s="344"/>
      <c r="JWD15" s="344"/>
      <c r="JWE15" s="342"/>
      <c r="JWF15" s="342"/>
      <c r="JWG15" s="342"/>
      <c r="JWH15" s="343"/>
      <c r="JWI15" s="343"/>
      <c r="JWJ15" s="344"/>
      <c r="JWK15" s="344"/>
      <c r="JWL15" s="344"/>
      <c r="JWM15" s="342"/>
      <c r="JWN15" s="342"/>
      <c r="JWO15" s="342"/>
      <c r="JWP15" s="343"/>
      <c r="JWQ15" s="343"/>
      <c r="JWR15" s="344"/>
      <c r="JWS15" s="344"/>
      <c r="JWT15" s="344"/>
      <c r="JWU15" s="342"/>
      <c r="JWV15" s="342"/>
      <c r="JWW15" s="342"/>
      <c r="JWX15" s="343"/>
      <c r="JWY15" s="343"/>
      <c r="JWZ15" s="344"/>
      <c r="JXA15" s="344"/>
      <c r="JXB15" s="344"/>
      <c r="JXC15" s="342"/>
      <c r="JXD15" s="342"/>
      <c r="JXE15" s="342"/>
      <c r="JXF15" s="343"/>
      <c r="JXG15" s="343"/>
      <c r="JXH15" s="344"/>
      <c r="JXI15" s="344"/>
      <c r="JXJ15" s="344"/>
      <c r="JXK15" s="342"/>
      <c r="JXL15" s="342"/>
      <c r="JXM15" s="342"/>
      <c r="JXN15" s="343"/>
      <c r="JXO15" s="343"/>
      <c r="JXP15" s="344"/>
      <c r="JXQ15" s="344"/>
      <c r="JXR15" s="344"/>
      <c r="JXS15" s="342"/>
      <c r="JXT15" s="342"/>
      <c r="JXU15" s="342"/>
      <c r="JXV15" s="343"/>
      <c r="JXW15" s="343"/>
      <c r="JXX15" s="344"/>
      <c r="JXY15" s="344"/>
      <c r="JXZ15" s="344"/>
      <c r="JYA15" s="342"/>
      <c r="JYB15" s="342"/>
      <c r="JYC15" s="342"/>
      <c r="JYD15" s="343"/>
      <c r="JYE15" s="343"/>
      <c r="JYF15" s="344"/>
      <c r="JYG15" s="344"/>
      <c r="JYH15" s="344"/>
      <c r="JYI15" s="342"/>
      <c r="JYJ15" s="342"/>
      <c r="JYK15" s="342"/>
      <c r="JYL15" s="343"/>
      <c r="JYM15" s="343"/>
      <c r="JYN15" s="344"/>
      <c r="JYO15" s="344"/>
      <c r="JYP15" s="344"/>
      <c r="JYQ15" s="342"/>
      <c r="JYR15" s="342"/>
      <c r="JYS15" s="342"/>
      <c r="JYT15" s="343"/>
      <c r="JYU15" s="343"/>
      <c r="JYV15" s="344"/>
      <c r="JYW15" s="344"/>
      <c r="JYX15" s="344"/>
      <c r="JYY15" s="342"/>
      <c r="JYZ15" s="342"/>
      <c r="JZA15" s="342"/>
      <c r="JZB15" s="343"/>
      <c r="JZC15" s="343"/>
      <c r="JZD15" s="344"/>
      <c r="JZE15" s="344"/>
      <c r="JZF15" s="344"/>
      <c r="JZG15" s="342"/>
      <c r="JZH15" s="342"/>
      <c r="JZI15" s="342"/>
      <c r="JZJ15" s="343"/>
      <c r="JZK15" s="343"/>
      <c r="JZL15" s="344"/>
      <c r="JZM15" s="344"/>
      <c r="JZN15" s="344"/>
      <c r="JZO15" s="342"/>
      <c r="JZP15" s="342"/>
      <c r="JZQ15" s="342"/>
      <c r="JZR15" s="343"/>
      <c r="JZS15" s="343"/>
      <c r="JZT15" s="344"/>
      <c r="JZU15" s="344"/>
      <c r="JZV15" s="344"/>
      <c r="JZW15" s="342"/>
      <c r="JZX15" s="342"/>
      <c r="JZY15" s="342"/>
      <c r="JZZ15" s="343"/>
      <c r="KAA15" s="343"/>
      <c r="KAB15" s="344"/>
      <c r="KAC15" s="344"/>
      <c r="KAD15" s="344"/>
      <c r="KAE15" s="342"/>
      <c r="KAF15" s="342"/>
      <c r="KAG15" s="342"/>
      <c r="KAH15" s="343"/>
      <c r="KAI15" s="343"/>
      <c r="KAJ15" s="344"/>
      <c r="KAK15" s="344"/>
      <c r="KAL15" s="344"/>
      <c r="KAM15" s="342"/>
      <c r="KAN15" s="342"/>
      <c r="KAO15" s="342"/>
      <c r="KAP15" s="343"/>
      <c r="KAQ15" s="343"/>
      <c r="KAR15" s="344"/>
      <c r="KAS15" s="344"/>
      <c r="KAT15" s="344"/>
      <c r="KAU15" s="342"/>
      <c r="KAV15" s="342"/>
      <c r="KAW15" s="342"/>
      <c r="KAX15" s="343"/>
      <c r="KAY15" s="343"/>
      <c r="KAZ15" s="344"/>
      <c r="KBA15" s="344"/>
      <c r="KBB15" s="344"/>
      <c r="KBC15" s="342"/>
      <c r="KBD15" s="342"/>
      <c r="KBE15" s="342"/>
      <c r="KBF15" s="343"/>
      <c r="KBG15" s="343"/>
      <c r="KBH15" s="344"/>
      <c r="KBI15" s="344"/>
      <c r="KBJ15" s="344"/>
      <c r="KBK15" s="342"/>
      <c r="KBL15" s="342"/>
      <c r="KBM15" s="342"/>
      <c r="KBN15" s="343"/>
      <c r="KBO15" s="343"/>
      <c r="KBP15" s="344"/>
      <c r="KBQ15" s="344"/>
      <c r="KBR15" s="344"/>
      <c r="KBS15" s="342"/>
      <c r="KBT15" s="342"/>
      <c r="KBU15" s="342"/>
      <c r="KBV15" s="343"/>
      <c r="KBW15" s="343"/>
      <c r="KBX15" s="344"/>
      <c r="KBY15" s="344"/>
      <c r="KBZ15" s="344"/>
      <c r="KCA15" s="342"/>
      <c r="KCB15" s="342"/>
      <c r="KCC15" s="342"/>
      <c r="KCD15" s="343"/>
      <c r="KCE15" s="343"/>
      <c r="KCF15" s="344"/>
      <c r="KCG15" s="344"/>
      <c r="KCH15" s="344"/>
      <c r="KCI15" s="342"/>
      <c r="KCJ15" s="342"/>
      <c r="KCK15" s="342"/>
      <c r="KCL15" s="343"/>
      <c r="KCM15" s="343"/>
      <c r="KCN15" s="344"/>
      <c r="KCO15" s="344"/>
      <c r="KCP15" s="344"/>
      <c r="KCQ15" s="342"/>
      <c r="KCR15" s="342"/>
      <c r="KCS15" s="342"/>
      <c r="KCT15" s="343"/>
      <c r="KCU15" s="343"/>
      <c r="KCV15" s="344"/>
      <c r="KCW15" s="344"/>
      <c r="KCX15" s="344"/>
      <c r="KCY15" s="342"/>
      <c r="KCZ15" s="342"/>
      <c r="KDA15" s="342"/>
      <c r="KDB15" s="343"/>
      <c r="KDC15" s="343"/>
      <c r="KDD15" s="344"/>
      <c r="KDE15" s="344"/>
      <c r="KDF15" s="344"/>
      <c r="KDG15" s="342"/>
      <c r="KDH15" s="342"/>
      <c r="KDI15" s="342"/>
      <c r="KDJ15" s="343"/>
      <c r="KDK15" s="343"/>
      <c r="KDL15" s="344"/>
      <c r="KDM15" s="344"/>
      <c r="KDN15" s="344"/>
      <c r="KDO15" s="342"/>
      <c r="KDP15" s="342"/>
      <c r="KDQ15" s="342"/>
      <c r="KDR15" s="343"/>
      <c r="KDS15" s="343"/>
      <c r="KDT15" s="344"/>
      <c r="KDU15" s="344"/>
      <c r="KDV15" s="344"/>
      <c r="KDW15" s="342"/>
      <c r="KDX15" s="342"/>
      <c r="KDY15" s="342"/>
      <c r="KDZ15" s="343"/>
      <c r="KEA15" s="343"/>
      <c r="KEB15" s="344"/>
      <c r="KEC15" s="344"/>
      <c r="KED15" s="344"/>
      <c r="KEE15" s="342"/>
      <c r="KEF15" s="342"/>
      <c r="KEG15" s="342"/>
      <c r="KEH15" s="343"/>
      <c r="KEI15" s="343"/>
      <c r="KEJ15" s="344"/>
      <c r="KEK15" s="344"/>
      <c r="KEL15" s="344"/>
      <c r="KEM15" s="342"/>
      <c r="KEN15" s="342"/>
      <c r="KEO15" s="342"/>
      <c r="KEP15" s="343"/>
      <c r="KEQ15" s="343"/>
      <c r="KER15" s="344"/>
      <c r="KES15" s="344"/>
      <c r="KET15" s="344"/>
      <c r="KEU15" s="342"/>
      <c r="KEV15" s="342"/>
      <c r="KEW15" s="342"/>
      <c r="KEX15" s="343"/>
      <c r="KEY15" s="343"/>
      <c r="KEZ15" s="344"/>
      <c r="KFA15" s="344"/>
      <c r="KFB15" s="344"/>
      <c r="KFC15" s="342"/>
      <c r="KFD15" s="342"/>
      <c r="KFE15" s="342"/>
      <c r="KFF15" s="343"/>
      <c r="KFG15" s="343"/>
      <c r="KFH15" s="344"/>
      <c r="KFI15" s="344"/>
      <c r="KFJ15" s="344"/>
      <c r="KFK15" s="342"/>
      <c r="KFL15" s="342"/>
      <c r="KFM15" s="342"/>
      <c r="KFN15" s="343"/>
      <c r="KFO15" s="343"/>
      <c r="KFP15" s="344"/>
      <c r="KFQ15" s="344"/>
      <c r="KFR15" s="344"/>
      <c r="KFS15" s="342"/>
      <c r="KFT15" s="342"/>
      <c r="KFU15" s="342"/>
      <c r="KFV15" s="343"/>
      <c r="KFW15" s="343"/>
      <c r="KFX15" s="344"/>
      <c r="KFY15" s="344"/>
      <c r="KFZ15" s="344"/>
      <c r="KGA15" s="342"/>
      <c r="KGB15" s="342"/>
      <c r="KGC15" s="342"/>
      <c r="KGD15" s="343"/>
      <c r="KGE15" s="343"/>
      <c r="KGF15" s="344"/>
      <c r="KGG15" s="344"/>
      <c r="KGH15" s="344"/>
      <c r="KGI15" s="342"/>
      <c r="KGJ15" s="342"/>
      <c r="KGK15" s="342"/>
      <c r="KGL15" s="343"/>
      <c r="KGM15" s="343"/>
      <c r="KGN15" s="344"/>
      <c r="KGO15" s="344"/>
      <c r="KGP15" s="344"/>
      <c r="KGQ15" s="342"/>
      <c r="KGR15" s="342"/>
      <c r="KGS15" s="342"/>
      <c r="KGT15" s="343"/>
      <c r="KGU15" s="343"/>
      <c r="KGV15" s="344"/>
      <c r="KGW15" s="344"/>
      <c r="KGX15" s="344"/>
      <c r="KGY15" s="342"/>
      <c r="KGZ15" s="342"/>
      <c r="KHA15" s="342"/>
      <c r="KHB15" s="343"/>
      <c r="KHC15" s="343"/>
      <c r="KHD15" s="344"/>
      <c r="KHE15" s="344"/>
      <c r="KHF15" s="344"/>
      <c r="KHG15" s="342"/>
      <c r="KHH15" s="342"/>
      <c r="KHI15" s="342"/>
      <c r="KHJ15" s="343"/>
      <c r="KHK15" s="343"/>
      <c r="KHL15" s="344"/>
      <c r="KHM15" s="344"/>
      <c r="KHN15" s="344"/>
      <c r="KHO15" s="342"/>
      <c r="KHP15" s="342"/>
      <c r="KHQ15" s="342"/>
      <c r="KHR15" s="343"/>
      <c r="KHS15" s="343"/>
      <c r="KHT15" s="344"/>
      <c r="KHU15" s="344"/>
      <c r="KHV15" s="344"/>
      <c r="KHW15" s="342"/>
      <c r="KHX15" s="342"/>
      <c r="KHY15" s="342"/>
      <c r="KHZ15" s="343"/>
      <c r="KIA15" s="343"/>
      <c r="KIB15" s="344"/>
      <c r="KIC15" s="344"/>
      <c r="KID15" s="344"/>
      <c r="KIE15" s="342"/>
      <c r="KIF15" s="342"/>
      <c r="KIG15" s="342"/>
      <c r="KIH15" s="343"/>
      <c r="KII15" s="343"/>
      <c r="KIJ15" s="344"/>
      <c r="KIK15" s="344"/>
      <c r="KIL15" s="344"/>
      <c r="KIM15" s="342"/>
      <c r="KIN15" s="342"/>
      <c r="KIO15" s="342"/>
      <c r="KIP15" s="343"/>
      <c r="KIQ15" s="343"/>
      <c r="KIR15" s="344"/>
      <c r="KIS15" s="344"/>
      <c r="KIT15" s="344"/>
      <c r="KIU15" s="342"/>
      <c r="KIV15" s="342"/>
      <c r="KIW15" s="342"/>
      <c r="KIX15" s="343"/>
      <c r="KIY15" s="343"/>
      <c r="KIZ15" s="344"/>
      <c r="KJA15" s="344"/>
      <c r="KJB15" s="344"/>
      <c r="KJC15" s="342"/>
      <c r="KJD15" s="342"/>
      <c r="KJE15" s="342"/>
      <c r="KJF15" s="343"/>
      <c r="KJG15" s="343"/>
      <c r="KJH15" s="344"/>
      <c r="KJI15" s="344"/>
      <c r="KJJ15" s="344"/>
      <c r="KJK15" s="342"/>
      <c r="KJL15" s="342"/>
      <c r="KJM15" s="342"/>
      <c r="KJN15" s="343"/>
      <c r="KJO15" s="343"/>
      <c r="KJP15" s="344"/>
      <c r="KJQ15" s="344"/>
      <c r="KJR15" s="344"/>
      <c r="KJS15" s="342"/>
      <c r="KJT15" s="342"/>
      <c r="KJU15" s="342"/>
      <c r="KJV15" s="343"/>
      <c r="KJW15" s="343"/>
      <c r="KJX15" s="344"/>
      <c r="KJY15" s="344"/>
      <c r="KJZ15" s="344"/>
      <c r="KKA15" s="342"/>
      <c r="KKB15" s="342"/>
      <c r="KKC15" s="342"/>
      <c r="KKD15" s="343"/>
      <c r="KKE15" s="343"/>
      <c r="KKF15" s="344"/>
      <c r="KKG15" s="344"/>
      <c r="KKH15" s="344"/>
      <c r="KKI15" s="342"/>
      <c r="KKJ15" s="342"/>
      <c r="KKK15" s="342"/>
      <c r="KKL15" s="343"/>
      <c r="KKM15" s="343"/>
      <c r="KKN15" s="344"/>
      <c r="KKO15" s="344"/>
      <c r="KKP15" s="344"/>
      <c r="KKQ15" s="342"/>
      <c r="KKR15" s="342"/>
      <c r="KKS15" s="342"/>
      <c r="KKT15" s="343"/>
      <c r="KKU15" s="343"/>
      <c r="KKV15" s="344"/>
      <c r="KKW15" s="344"/>
      <c r="KKX15" s="344"/>
      <c r="KKY15" s="342"/>
      <c r="KKZ15" s="342"/>
      <c r="KLA15" s="342"/>
      <c r="KLB15" s="343"/>
      <c r="KLC15" s="343"/>
      <c r="KLD15" s="344"/>
      <c r="KLE15" s="344"/>
      <c r="KLF15" s="344"/>
      <c r="KLG15" s="342"/>
      <c r="KLH15" s="342"/>
      <c r="KLI15" s="342"/>
      <c r="KLJ15" s="343"/>
      <c r="KLK15" s="343"/>
      <c r="KLL15" s="344"/>
      <c r="KLM15" s="344"/>
      <c r="KLN15" s="344"/>
      <c r="KLO15" s="342"/>
      <c r="KLP15" s="342"/>
      <c r="KLQ15" s="342"/>
      <c r="KLR15" s="343"/>
      <c r="KLS15" s="343"/>
      <c r="KLT15" s="344"/>
      <c r="KLU15" s="344"/>
      <c r="KLV15" s="344"/>
      <c r="KLW15" s="342"/>
      <c r="KLX15" s="342"/>
      <c r="KLY15" s="342"/>
      <c r="KLZ15" s="343"/>
      <c r="KMA15" s="343"/>
      <c r="KMB15" s="344"/>
      <c r="KMC15" s="344"/>
      <c r="KMD15" s="344"/>
      <c r="KME15" s="342"/>
      <c r="KMF15" s="342"/>
      <c r="KMG15" s="342"/>
      <c r="KMH15" s="343"/>
      <c r="KMI15" s="343"/>
      <c r="KMJ15" s="344"/>
      <c r="KMK15" s="344"/>
      <c r="KML15" s="344"/>
      <c r="KMM15" s="342"/>
      <c r="KMN15" s="342"/>
      <c r="KMO15" s="342"/>
      <c r="KMP15" s="343"/>
      <c r="KMQ15" s="343"/>
      <c r="KMR15" s="344"/>
      <c r="KMS15" s="344"/>
      <c r="KMT15" s="344"/>
      <c r="KMU15" s="342"/>
      <c r="KMV15" s="342"/>
      <c r="KMW15" s="342"/>
      <c r="KMX15" s="343"/>
      <c r="KMY15" s="343"/>
      <c r="KMZ15" s="344"/>
      <c r="KNA15" s="344"/>
      <c r="KNB15" s="344"/>
      <c r="KNC15" s="342"/>
      <c r="KND15" s="342"/>
      <c r="KNE15" s="342"/>
      <c r="KNF15" s="343"/>
      <c r="KNG15" s="343"/>
      <c r="KNH15" s="344"/>
      <c r="KNI15" s="344"/>
      <c r="KNJ15" s="344"/>
      <c r="KNK15" s="342"/>
      <c r="KNL15" s="342"/>
      <c r="KNM15" s="342"/>
      <c r="KNN15" s="343"/>
      <c r="KNO15" s="343"/>
      <c r="KNP15" s="344"/>
      <c r="KNQ15" s="344"/>
      <c r="KNR15" s="344"/>
      <c r="KNS15" s="342"/>
      <c r="KNT15" s="342"/>
      <c r="KNU15" s="342"/>
      <c r="KNV15" s="343"/>
      <c r="KNW15" s="343"/>
      <c r="KNX15" s="344"/>
      <c r="KNY15" s="344"/>
      <c r="KNZ15" s="344"/>
      <c r="KOA15" s="342"/>
      <c r="KOB15" s="342"/>
      <c r="KOC15" s="342"/>
      <c r="KOD15" s="343"/>
      <c r="KOE15" s="343"/>
      <c r="KOF15" s="344"/>
      <c r="KOG15" s="344"/>
      <c r="KOH15" s="344"/>
      <c r="KOI15" s="342"/>
      <c r="KOJ15" s="342"/>
      <c r="KOK15" s="342"/>
      <c r="KOL15" s="343"/>
      <c r="KOM15" s="343"/>
      <c r="KON15" s="344"/>
      <c r="KOO15" s="344"/>
      <c r="KOP15" s="344"/>
      <c r="KOQ15" s="342"/>
      <c r="KOR15" s="342"/>
      <c r="KOS15" s="342"/>
      <c r="KOT15" s="343"/>
      <c r="KOU15" s="343"/>
      <c r="KOV15" s="344"/>
      <c r="KOW15" s="344"/>
      <c r="KOX15" s="344"/>
      <c r="KOY15" s="342"/>
      <c r="KOZ15" s="342"/>
      <c r="KPA15" s="342"/>
      <c r="KPB15" s="343"/>
      <c r="KPC15" s="343"/>
      <c r="KPD15" s="344"/>
      <c r="KPE15" s="344"/>
      <c r="KPF15" s="344"/>
      <c r="KPG15" s="342"/>
      <c r="KPH15" s="342"/>
      <c r="KPI15" s="342"/>
      <c r="KPJ15" s="343"/>
      <c r="KPK15" s="343"/>
      <c r="KPL15" s="344"/>
      <c r="KPM15" s="344"/>
      <c r="KPN15" s="344"/>
      <c r="KPO15" s="342"/>
      <c r="KPP15" s="342"/>
      <c r="KPQ15" s="342"/>
      <c r="KPR15" s="343"/>
      <c r="KPS15" s="343"/>
      <c r="KPT15" s="344"/>
      <c r="KPU15" s="344"/>
      <c r="KPV15" s="344"/>
      <c r="KPW15" s="342"/>
      <c r="KPX15" s="342"/>
      <c r="KPY15" s="342"/>
      <c r="KPZ15" s="343"/>
      <c r="KQA15" s="343"/>
      <c r="KQB15" s="344"/>
      <c r="KQC15" s="344"/>
      <c r="KQD15" s="344"/>
      <c r="KQE15" s="342"/>
      <c r="KQF15" s="342"/>
      <c r="KQG15" s="342"/>
      <c r="KQH15" s="343"/>
      <c r="KQI15" s="343"/>
      <c r="KQJ15" s="344"/>
      <c r="KQK15" s="344"/>
      <c r="KQL15" s="344"/>
      <c r="KQM15" s="342"/>
      <c r="KQN15" s="342"/>
      <c r="KQO15" s="342"/>
      <c r="KQP15" s="343"/>
      <c r="KQQ15" s="343"/>
      <c r="KQR15" s="344"/>
      <c r="KQS15" s="344"/>
      <c r="KQT15" s="344"/>
      <c r="KQU15" s="342"/>
      <c r="KQV15" s="342"/>
      <c r="KQW15" s="342"/>
      <c r="KQX15" s="343"/>
      <c r="KQY15" s="343"/>
      <c r="KQZ15" s="344"/>
      <c r="KRA15" s="344"/>
      <c r="KRB15" s="344"/>
      <c r="KRC15" s="342"/>
      <c r="KRD15" s="342"/>
      <c r="KRE15" s="342"/>
      <c r="KRF15" s="343"/>
      <c r="KRG15" s="343"/>
      <c r="KRH15" s="344"/>
      <c r="KRI15" s="344"/>
      <c r="KRJ15" s="344"/>
      <c r="KRK15" s="342"/>
      <c r="KRL15" s="342"/>
      <c r="KRM15" s="342"/>
      <c r="KRN15" s="343"/>
      <c r="KRO15" s="343"/>
      <c r="KRP15" s="344"/>
      <c r="KRQ15" s="344"/>
      <c r="KRR15" s="344"/>
      <c r="KRS15" s="342"/>
      <c r="KRT15" s="342"/>
      <c r="KRU15" s="342"/>
      <c r="KRV15" s="343"/>
      <c r="KRW15" s="343"/>
      <c r="KRX15" s="344"/>
      <c r="KRY15" s="344"/>
      <c r="KRZ15" s="344"/>
      <c r="KSA15" s="342"/>
      <c r="KSB15" s="342"/>
      <c r="KSC15" s="342"/>
      <c r="KSD15" s="343"/>
      <c r="KSE15" s="343"/>
      <c r="KSF15" s="344"/>
      <c r="KSG15" s="344"/>
      <c r="KSH15" s="344"/>
      <c r="KSI15" s="342"/>
      <c r="KSJ15" s="342"/>
      <c r="KSK15" s="342"/>
      <c r="KSL15" s="343"/>
      <c r="KSM15" s="343"/>
      <c r="KSN15" s="344"/>
      <c r="KSO15" s="344"/>
      <c r="KSP15" s="344"/>
      <c r="KSQ15" s="342"/>
      <c r="KSR15" s="342"/>
      <c r="KSS15" s="342"/>
      <c r="KST15" s="343"/>
      <c r="KSU15" s="343"/>
      <c r="KSV15" s="344"/>
      <c r="KSW15" s="344"/>
      <c r="KSX15" s="344"/>
      <c r="KSY15" s="342"/>
      <c r="KSZ15" s="342"/>
      <c r="KTA15" s="342"/>
      <c r="KTB15" s="343"/>
      <c r="KTC15" s="343"/>
      <c r="KTD15" s="344"/>
      <c r="KTE15" s="344"/>
      <c r="KTF15" s="344"/>
      <c r="KTG15" s="342"/>
      <c r="KTH15" s="342"/>
      <c r="KTI15" s="342"/>
      <c r="KTJ15" s="343"/>
      <c r="KTK15" s="343"/>
      <c r="KTL15" s="344"/>
      <c r="KTM15" s="344"/>
      <c r="KTN15" s="344"/>
      <c r="KTO15" s="342"/>
      <c r="KTP15" s="342"/>
      <c r="KTQ15" s="342"/>
      <c r="KTR15" s="343"/>
      <c r="KTS15" s="343"/>
      <c r="KTT15" s="344"/>
      <c r="KTU15" s="344"/>
      <c r="KTV15" s="344"/>
      <c r="KTW15" s="342"/>
      <c r="KTX15" s="342"/>
      <c r="KTY15" s="342"/>
      <c r="KTZ15" s="343"/>
      <c r="KUA15" s="343"/>
      <c r="KUB15" s="344"/>
      <c r="KUC15" s="344"/>
      <c r="KUD15" s="344"/>
      <c r="KUE15" s="342"/>
      <c r="KUF15" s="342"/>
      <c r="KUG15" s="342"/>
      <c r="KUH15" s="343"/>
      <c r="KUI15" s="343"/>
      <c r="KUJ15" s="344"/>
      <c r="KUK15" s="344"/>
      <c r="KUL15" s="344"/>
      <c r="KUM15" s="342"/>
      <c r="KUN15" s="342"/>
      <c r="KUO15" s="342"/>
      <c r="KUP15" s="343"/>
      <c r="KUQ15" s="343"/>
      <c r="KUR15" s="344"/>
      <c r="KUS15" s="344"/>
      <c r="KUT15" s="344"/>
      <c r="KUU15" s="342"/>
      <c r="KUV15" s="342"/>
      <c r="KUW15" s="342"/>
      <c r="KUX15" s="343"/>
      <c r="KUY15" s="343"/>
      <c r="KUZ15" s="344"/>
      <c r="KVA15" s="344"/>
      <c r="KVB15" s="344"/>
      <c r="KVC15" s="342"/>
      <c r="KVD15" s="342"/>
      <c r="KVE15" s="342"/>
      <c r="KVF15" s="343"/>
      <c r="KVG15" s="343"/>
      <c r="KVH15" s="344"/>
      <c r="KVI15" s="344"/>
      <c r="KVJ15" s="344"/>
      <c r="KVK15" s="342"/>
      <c r="KVL15" s="342"/>
      <c r="KVM15" s="342"/>
      <c r="KVN15" s="343"/>
      <c r="KVO15" s="343"/>
      <c r="KVP15" s="344"/>
      <c r="KVQ15" s="344"/>
      <c r="KVR15" s="344"/>
      <c r="KVS15" s="342"/>
      <c r="KVT15" s="342"/>
      <c r="KVU15" s="342"/>
      <c r="KVV15" s="343"/>
      <c r="KVW15" s="343"/>
      <c r="KVX15" s="344"/>
      <c r="KVY15" s="344"/>
      <c r="KVZ15" s="344"/>
      <c r="KWA15" s="342"/>
      <c r="KWB15" s="342"/>
      <c r="KWC15" s="342"/>
      <c r="KWD15" s="343"/>
      <c r="KWE15" s="343"/>
      <c r="KWF15" s="344"/>
      <c r="KWG15" s="344"/>
      <c r="KWH15" s="344"/>
      <c r="KWI15" s="342"/>
      <c r="KWJ15" s="342"/>
      <c r="KWK15" s="342"/>
      <c r="KWL15" s="343"/>
      <c r="KWM15" s="343"/>
      <c r="KWN15" s="344"/>
      <c r="KWO15" s="344"/>
      <c r="KWP15" s="344"/>
      <c r="KWQ15" s="342"/>
      <c r="KWR15" s="342"/>
      <c r="KWS15" s="342"/>
      <c r="KWT15" s="343"/>
      <c r="KWU15" s="343"/>
      <c r="KWV15" s="344"/>
      <c r="KWW15" s="344"/>
      <c r="KWX15" s="344"/>
      <c r="KWY15" s="342"/>
      <c r="KWZ15" s="342"/>
      <c r="KXA15" s="342"/>
      <c r="KXB15" s="343"/>
      <c r="KXC15" s="343"/>
      <c r="KXD15" s="344"/>
      <c r="KXE15" s="344"/>
      <c r="KXF15" s="344"/>
      <c r="KXG15" s="342"/>
      <c r="KXH15" s="342"/>
      <c r="KXI15" s="342"/>
      <c r="KXJ15" s="343"/>
      <c r="KXK15" s="343"/>
      <c r="KXL15" s="344"/>
      <c r="KXM15" s="344"/>
      <c r="KXN15" s="344"/>
      <c r="KXO15" s="342"/>
      <c r="KXP15" s="342"/>
      <c r="KXQ15" s="342"/>
      <c r="KXR15" s="343"/>
      <c r="KXS15" s="343"/>
      <c r="KXT15" s="344"/>
      <c r="KXU15" s="344"/>
      <c r="KXV15" s="344"/>
      <c r="KXW15" s="342"/>
      <c r="KXX15" s="342"/>
      <c r="KXY15" s="342"/>
      <c r="KXZ15" s="343"/>
      <c r="KYA15" s="343"/>
      <c r="KYB15" s="344"/>
      <c r="KYC15" s="344"/>
      <c r="KYD15" s="344"/>
      <c r="KYE15" s="342"/>
      <c r="KYF15" s="342"/>
      <c r="KYG15" s="342"/>
      <c r="KYH15" s="343"/>
      <c r="KYI15" s="343"/>
      <c r="KYJ15" s="344"/>
      <c r="KYK15" s="344"/>
      <c r="KYL15" s="344"/>
      <c r="KYM15" s="342"/>
      <c r="KYN15" s="342"/>
      <c r="KYO15" s="342"/>
      <c r="KYP15" s="343"/>
      <c r="KYQ15" s="343"/>
      <c r="KYR15" s="344"/>
      <c r="KYS15" s="344"/>
      <c r="KYT15" s="344"/>
      <c r="KYU15" s="342"/>
      <c r="KYV15" s="342"/>
      <c r="KYW15" s="342"/>
      <c r="KYX15" s="343"/>
      <c r="KYY15" s="343"/>
      <c r="KYZ15" s="344"/>
      <c r="KZA15" s="344"/>
      <c r="KZB15" s="344"/>
      <c r="KZC15" s="342"/>
      <c r="KZD15" s="342"/>
      <c r="KZE15" s="342"/>
      <c r="KZF15" s="343"/>
      <c r="KZG15" s="343"/>
      <c r="KZH15" s="344"/>
      <c r="KZI15" s="344"/>
      <c r="KZJ15" s="344"/>
      <c r="KZK15" s="342"/>
      <c r="KZL15" s="342"/>
      <c r="KZM15" s="342"/>
      <c r="KZN15" s="343"/>
      <c r="KZO15" s="343"/>
      <c r="KZP15" s="344"/>
      <c r="KZQ15" s="344"/>
      <c r="KZR15" s="344"/>
      <c r="KZS15" s="342"/>
      <c r="KZT15" s="342"/>
      <c r="KZU15" s="342"/>
      <c r="KZV15" s="343"/>
      <c r="KZW15" s="343"/>
      <c r="KZX15" s="344"/>
      <c r="KZY15" s="344"/>
      <c r="KZZ15" s="344"/>
      <c r="LAA15" s="342"/>
      <c r="LAB15" s="342"/>
      <c r="LAC15" s="342"/>
      <c r="LAD15" s="343"/>
      <c r="LAE15" s="343"/>
      <c r="LAF15" s="344"/>
      <c r="LAG15" s="344"/>
      <c r="LAH15" s="344"/>
      <c r="LAI15" s="342"/>
      <c r="LAJ15" s="342"/>
      <c r="LAK15" s="342"/>
      <c r="LAL15" s="343"/>
      <c r="LAM15" s="343"/>
      <c r="LAN15" s="344"/>
      <c r="LAO15" s="344"/>
      <c r="LAP15" s="344"/>
      <c r="LAQ15" s="342"/>
      <c r="LAR15" s="342"/>
      <c r="LAS15" s="342"/>
      <c r="LAT15" s="343"/>
      <c r="LAU15" s="343"/>
      <c r="LAV15" s="344"/>
      <c r="LAW15" s="344"/>
      <c r="LAX15" s="344"/>
      <c r="LAY15" s="342"/>
      <c r="LAZ15" s="342"/>
      <c r="LBA15" s="342"/>
      <c r="LBB15" s="343"/>
      <c r="LBC15" s="343"/>
      <c r="LBD15" s="344"/>
      <c r="LBE15" s="344"/>
      <c r="LBF15" s="344"/>
      <c r="LBG15" s="342"/>
      <c r="LBH15" s="342"/>
      <c r="LBI15" s="342"/>
      <c r="LBJ15" s="343"/>
      <c r="LBK15" s="343"/>
      <c r="LBL15" s="344"/>
      <c r="LBM15" s="344"/>
      <c r="LBN15" s="344"/>
      <c r="LBO15" s="342"/>
      <c r="LBP15" s="342"/>
      <c r="LBQ15" s="342"/>
      <c r="LBR15" s="343"/>
      <c r="LBS15" s="343"/>
      <c r="LBT15" s="344"/>
      <c r="LBU15" s="344"/>
      <c r="LBV15" s="344"/>
      <c r="LBW15" s="342"/>
      <c r="LBX15" s="342"/>
      <c r="LBY15" s="342"/>
      <c r="LBZ15" s="343"/>
      <c r="LCA15" s="343"/>
      <c r="LCB15" s="344"/>
      <c r="LCC15" s="344"/>
      <c r="LCD15" s="344"/>
      <c r="LCE15" s="342"/>
      <c r="LCF15" s="342"/>
      <c r="LCG15" s="342"/>
      <c r="LCH15" s="343"/>
      <c r="LCI15" s="343"/>
      <c r="LCJ15" s="344"/>
      <c r="LCK15" s="344"/>
      <c r="LCL15" s="344"/>
      <c r="LCM15" s="342"/>
      <c r="LCN15" s="342"/>
      <c r="LCO15" s="342"/>
      <c r="LCP15" s="343"/>
      <c r="LCQ15" s="343"/>
      <c r="LCR15" s="344"/>
      <c r="LCS15" s="344"/>
      <c r="LCT15" s="344"/>
      <c r="LCU15" s="342"/>
      <c r="LCV15" s="342"/>
      <c r="LCW15" s="342"/>
      <c r="LCX15" s="343"/>
      <c r="LCY15" s="343"/>
      <c r="LCZ15" s="344"/>
      <c r="LDA15" s="344"/>
      <c r="LDB15" s="344"/>
      <c r="LDC15" s="342"/>
      <c r="LDD15" s="342"/>
      <c r="LDE15" s="342"/>
      <c r="LDF15" s="343"/>
      <c r="LDG15" s="343"/>
      <c r="LDH15" s="344"/>
      <c r="LDI15" s="344"/>
      <c r="LDJ15" s="344"/>
      <c r="LDK15" s="342"/>
      <c r="LDL15" s="342"/>
      <c r="LDM15" s="342"/>
      <c r="LDN15" s="343"/>
      <c r="LDO15" s="343"/>
      <c r="LDP15" s="344"/>
      <c r="LDQ15" s="344"/>
      <c r="LDR15" s="344"/>
      <c r="LDS15" s="342"/>
      <c r="LDT15" s="342"/>
      <c r="LDU15" s="342"/>
      <c r="LDV15" s="343"/>
      <c r="LDW15" s="343"/>
      <c r="LDX15" s="344"/>
      <c r="LDY15" s="344"/>
      <c r="LDZ15" s="344"/>
      <c r="LEA15" s="342"/>
      <c r="LEB15" s="342"/>
      <c r="LEC15" s="342"/>
      <c r="LED15" s="343"/>
      <c r="LEE15" s="343"/>
      <c r="LEF15" s="344"/>
      <c r="LEG15" s="344"/>
      <c r="LEH15" s="344"/>
      <c r="LEI15" s="342"/>
      <c r="LEJ15" s="342"/>
      <c r="LEK15" s="342"/>
      <c r="LEL15" s="343"/>
      <c r="LEM15" s="343"/>
      <c r="LEN15" s="344"/>
      <c r="LEO15" s="344"/>
      <c r="LEP15" s="344"/>
      <c r="LEQ15" s="342"/>
      <c r="LER15" s="342"/>
      <c r="LES15" s="342"/>
      <c r="LET15" s="343"/>
      <c r="LEU15" s="343"/>
      <c r="LEV15" s="344"/>
      <c r="LEW15" s="344"/>
      <c r="LEX15" s="344"/>
      <c r="LEY15" s="342"/>
      <c r="LEZ15" s="342"/>
      <c r="LFA15" s="342"/>
      <c r="LFB15" s="343"/>
      <c r="LFC15" s="343"/>
      <c r="LFD15" s="344"/>
      <c r="LFE15" s="344"/>
      <c r="LFF15" s="344"/>
      <c r="LFG15" s="342"/>
      <c r="LFH15" s="342"/>
      <c r="LFI15" s="342"/>
      <c r="LFJ15" s="343"/>
      <c r="LFK15" s="343"/>
      <c r="LFL15" s="344"/>
      <c r="LFM15" s="344"/>
      <c r="LFN15" s="344"/>
      <c r="LFO15" s="342"/>
      <c r="LFP15" s="342"/>
      <c r="LFQ15" s="342"/>
      <c r="LFR15" s="343"/>
      <c r="LFS15" s="343"/>
      <c r="LFT15" s="344"/>
      <c r="LFU15" s="344"/>
      <c r="LFV15" s="344"/>
      <c r="LFW15" s="342"/>
      <c r="LFX15" s="342"/>
      <c r="LFY15" s="342"/>
      <c r="LFZ15" s="343"/>
      <c r="LGA15" s="343"/>
      <c r="LGB15" s="344"/>
      <c r="LGC15" s="344"/>
      <c r="LGD15" s="344"/>
      <c r="LGE15" s="342"/>
      <c r="LGF15" s="342"/>
      <c r="LGG15" s="342"/>
      <c r="LGH15" s="343"/>
      <c r="LGI15" s="343"/>
      <c r="LGJ15" s="344"/>
      <c r="LGK15" s="344"/>
      <c r="LGL15" s="344"/>
      <c r="LGM15" s="342"/>
      <c r="LGN15" s="342"/>
      <c r="LGO15" s="342"/>
      <c r="LGP15" s="343"/>
      <c r="LGQ15" s="343"/>
      <c r="LGR15" s="344"/>
      <c r="LGS15" s="344"/>
      <c r="LGT15" s="344"/>
      <c r="LGU15" s="342"/>
      <c r="LGV15" s="342"/>
      <c r="LGW15" s="342"/>
      <c r="LGX15" s="343"/>
      <c r="LGY15" s="343"/>
      <c r="LGZ15" s="344"/>
      <c r="LHA15" s="344"/>
      <c r="LHB15" s="344"/>
      <c r="LHC15" s="342"/>
      <c r="LHD15" s="342"/>
      <c r="LHE15" s="342"/>
      <c r="LHF15" s="343"/>
      <c r="LHG15" s="343"/>
      <c r="LHH15" s="344"/>
      <c r="LHI15" s="344"/>
      <c r="LHJ15" s="344"/>
      <c r="LHK15" s="342"/>
      <c r="LHL15" s="342"/>
      <c r="LHM15" s="342"/>
      <c r="LHN15" s="343"/>
      <c r="LHO15" s="343"/>
      <c r="LHP15" s="344"/>
      <c r="LHQ15" s="344"/>
      <c r="LHR15" s="344"/>
      <c r="LHS15" s="342"/>
      <c r="LHT15" s="342"/>
      <c r="LHU15" s="342"/>
      <c r="LHV15" s="343"/>
      <c r="LHW15" s="343"/>
      <c r="LHX15" s="344"/>
      <c r="LHY15" s="344"/>
      <c r="LHZ15" s="344"/>
      <c r="LIA15" s="342"/>
      <c r="LIB15" s="342"/>
      <c r="LIC15" s="342"/>
      <c r="LID15" s="343"/>
      <c r="LIE15" s="343"/>
      <c r="LIF15" s="344"/>
      <c r="LIG15" s="344"/>
      <c r="LIH15" s="344"/>
      <c r="LII15" s="342"/>
      <c r="LIJ15" s="342"/>
      <c r="LIK15" s="342"/>
      <c r="LIL15" s="343"/>
      <c r="LIM15" s="343"/>
      <c r="LIN15" s="344"/>
      <c r="LIO15" s="344"/>
      <c r="LIP15" s="344"/>
      <c r="LIQ15" s="342"/>
      <c r="LIR15" s="342"/>
      <c r="LIS15" s="342"/>
      <c r="LIT15" s="343"/>
      <c r="LIU15" s="343"/>
      <c r="LIV15" s="344"/>
      <c r="LIW15" s="344"/>
      <c r="LIX15" s="344"/>
      <c r="LIY15" s="342"/>
      <c r="LIZ15" s="342"/>
      <c r="LJA15" s="342"/>
      <c r="LJB15" s="343"/>
      <c r="LJC15" s="343"/>
      <c r="LJD15" s="344"/>
      <c r="LJE15" s="344"/>
      <c r="LJF15" s="344"/>
      <c r="LJG15" s="342"/>
      <c r="LJH15" s="342"/>
      <c r="LJI15" s="342"/>
      <c r="LJJ15" s="343"/>
      <c r="LJK15" s="343"/>
      <c r="LJL15" s="344"/>
      <c r="LJM15" s="344"/>
      <c r="LJN15" s="344"/>
      <c r="LJO15" s="342"/>
      <c r="LJP15" s="342"/>
      <c r="LJQ15" s="342"/>
      <c r="LJR15" s="343"/>
      <c r="LJS15" s="343"/>
      <c r="LJT15" s="344"/>
      <c r="LJU15" s="344"/>
      <c r="LJV15" s="344"/>
      <c r="LJW15" s="342"/>
      <c r="LJX15" s="342"/>
      <c r="LJY15" s="342"/>
      <c r="LJZ15" s="343"/>
      <c r="LKA15" s="343"/>
      <c r="LKB15" s="344"/>
      <c r="LKC15" s="344"/>
      <c r="LKD15" s="344"/>
      <c r="LKE15" s="342"/>
      <c r="LKF15" s="342"/>
      <c r="LKG15" s="342"/>
      <c r="LKH15" s="343"/>
      <c r="LKI15" s="343"/>
      <c r="LKJ15" s="344"/>
      <c r="LKK15" s="344"/>
      <c r="LKL15" s="344"/>
      <c r="LKM15" s="342"/>
      <c r="LKN15" s="342"/>
      <c r="LKO15" s="342"/>
      <c r="LKP15" s="343"/>
      <c r="LKQ15" s="343"/>
      <c r="LKR15" s="344"/>
      <c r="LKS15" s="344"/>
      <c r="LKT15" s="344"/>
      <c r="LKU15" s="342"/>
      <c r="LKV15" s="342"/>
      <c r="LKW15" s="342"/>
      <c r="LKX15" s="343"/>
      <c r="LKY15" s="343"/>
      <c r="LKZ15" s="344"/>
      <c r="LLA15" s="344"/>
      <c r="LLB15" s="344"/>
      <c r="LLC15" s="342"/>
      <c r="LLD15" s="342"/>
      <c r="LLE15" s="342"/>
      <c r="LLF15" s="343"/>
      <c r="LLG15" s="343"/>
      <c r="LLH15" s="344"/>
      <c r="LLI15" s="344"/>
      <c r="LLJ15" s="344"/>
      <c r="LLK15" s="342"/>
      <c r="LLL15" s="342"/>
      <c r="LLM15" s="342"/>
      <c r="LLN15" s="343"/>
      <c r="LLO15" s="343"/>
      <c r="LLP15" s="344"/>
      <c r="LLQ15" s="344"/>
      <c r="LLR15" s="344"/>
      <c r="LLS15" s="342"/>
      <c r="LLT15" s="342"/>
      <c r="LLU15" s="342"/>
      <c r="LLV15" s="343"/>
      <c r="LLW15" s="343"/>
      <c r="LLX15" s="344"/>
      <c r="LLY15" s="344"/>
      <c r="LLZ15" s="344"/>
      <c r="LMA15" s="342"/>
      <c r="LMB15" s="342"/>
      <c r="LMC15" s="342"/>
      <c r="LMD15" s="343"/>
      <c r="LME15" s="343"/>
      <c r="LMF15" s="344"/>
      <c r="LMG15" s="344"/>
      <c r="LMH15" s="344"/>
      <c r="LMI15" s="342"/>
      <c r="LMJ15" s="342"/>
      <c r="LMK15" s="342"/>
      <c r="LML15" s="343"/>
      <c r="LMM15" s="343"/>
      <c r="LMN15" s="344"/>
      <c r="LMO15" s="344"/>
      <c r="LMP15" s="344"/>
      <c r="LMQ15" s="342"/>
      <c r="LMR15" s="342"/>
      <c r="LMS15" s="342"/>
      <c r="LMT15" s="343"/>
      <c r="LMU15" s="343"/>
      <c r="LMV15" s="344"/>
      <c r="LMW15" s="344"/>
      <c r="LMX15" s="344"/>
      <c r="LMY15" s="342"/>
      <c r="LMZ15" s="342"/>
      <c r="LNA15" s="342"/>
      <c r="LNB15" s="343"/>
      <c r="LNC15" s="343"/>
      <c r="LND15" s="344"/>
      <c r="LNE15" s="344"/>
      <c r="LNF15" s="344"/>
      <c r="LNG15" s="342"/>
      <c r="LNH15" s="342"/>
      <c r="LNI15" s="342"/>
      <c r="LNJ15" s="343"/>
      <c r="LNK15" s="343"/>
      <c r="LNL15" s="344"/>
      <c r="LNM15" s="344"/>
      <c r="LNN15" s="344"/>
      <c r="LNO15" s="342"/>
      <c r="LNP15" s="342"/>
      <c r="LNQ15" s="342"/>
      <c r="LNR15" s="343"/>
      <c r="LNS15" s="343"/>
      <c r="LNT15" s="344"/>
      <c r="LNU15" s="344"/>
      <c r="LNV15" s="344"/>
      <c r="LNW15" s="342"/>
      <c r="LNX15" s="342"/>
      <c r="LNY15" s="342"/>
      <c r="LNZ15" s="343"/>
      <c r="LOA15" s="343"/>
      <c r="LOB15" s="344"/>
      <c r="LOC15" s="344"/>
      <c r="LOD15" s="344"/>
      <c r="LOE15" s="342"/>
      <c r="LOF15" s="342"/>
      <c r="LOG15" s="342"/>
      <c r="LOH15" s="343"/>
      <c r="LOI15" s="343"/>
      <c r="LOJ15" s="344"/>
      <c r="LOK15" s="344"/>
      <c r="LOL15" s="344"/>
      <c r="LOM15" s="342"/>
      <c r="LON15" s="342"/>
      <c r="LOO15" s="342"/>
      <c r="LOP15" s="343"/>
      <c r="LOQ15" s="343"/>
      <c r="LOR15" s="344"/>
      <c r="LOS15" s="344"/>
      <c r="LOT15" s="344"/>
      <c r="LOU15" s="342"/>
      <c r="LOV15" s="342"/>
      <c r="LOW15" s="342"/>
      <c r="LOX15" s="343"/>
      <c r="LOY15" s="343"/>
      <c r="LOZ15" s="344"/>
      <c r="LPA15" s="344"/>
      <c r="LPB15" s="344"/>
      <c r="LPC15" s="342"/>
      <c r="LPD15" s="342"/>
      <c r="LPE15" s="342"/>
      <c r="LPF15" s="343"/>
      <c r="LPG15" s="343"/>
      <c r="LPH15" s="344"/>
      <c r="LPI15" s="344"/>
      <c r="LPJ15" s="344"/>
      <c r="LPK15" s="342"/>
      <c r="LPL15" s="342"/>
      <c r="LPM15" s="342"/>
      <c r="LPN15" s="343"/>
      <c r="LPO15" s="343"/>
      <c r="LPP15" s="344"/>
      <c r="LPQ15" s="344"/>
      <c r="LPR15" s="344"/>
      <c r="LPS15" s="342"/>
      <c r="LPT15" s="342"/>
      <c r="LPU15" s="342"/>
      <c r="LPV15" s="343"/>
      <c r="LPW15" s="343"/>
      <c r="LPX15" s="344"/>
      <c r="LPY15" s="344"/>
      <c r="LPZ15" s="344"/>
      <c r="LQA15" s="342"/>
      <c r="LQB15" s="342"/>
      <c r="LQC15" s="342"/>
      <c r="LQD15" s="343"/>
      <c r="LQE15" s="343"/>
      <c r="LQF15" s="344"/>
      <c r="LQG15" s="344"/>
      <c r="LQH15" s="344"/>
      <c r="LQI15" s="342"/>
      <c r="LQJ15" s="342"/>
      <c r="LQK15" s="342"/>
      <c r="LQL15" s="343"/>
      <c r="LQM15" s="343"/>
      <c r="LQN15" s="344"/>
      <c r="LQO15" s="344"/>
      <c r="LQP15" s="344"/>
      <c r="LQQ15" s="342"/>
      <c r="LQR15" s="342"/>
      <c r="LQS15" s="342"/>
      <c r="LQT15" s="343"/>
      <c r="LQU15" s="343"/>
      <c r="LQV15" s="344"/>
      <c r="LQW15" s="344"/>
      <c r="LQX15" s="344"/>
      <c r="LQY15" s="342"/>
      <c r="LQZ15" s="342"/>
      <c r="LRA15" s="342"/>
      <c r="LRB15" s="343"/>
      <c r="LRC15" s="343"/>
      <c r="LRD15" s="344"/>
      <c r="LRE15" s="344"/>
      <c r="LRF15" s="344"/>
      <c r="LRG15" s="342"/>
      <c r="LRH15" s="342"/>
      <c r="LRI15" s="342"/>
      <c r="LRJ15" s="343"/>
      <c r="LRK15" s="343"/>
      <c r="LRL15" s="344"/>
      <c r="LRM15" s="344"/>
      <c r="LRN15" s="344"/>
      <c r="LRO15" s="342"/>
      <c r="LRP15" s="342"/>
      <c r="LRQ15" s="342"/>
      <c r="LRR15" s="343"/>
      <c r="LRS15" s="343"/>
      <c r="LRT15" s="344"/>
      <c r="LRU15" s="344"/>
      <c r="LRV15" s="344"/>
      <c r="LRW15" s="342"/>
      <c r="LRX15" s="342"/>
      <c r="LRY15" s="342"/>
      <c r="LRZ15" s="343"/>
      <c r="LSA15" s="343"/>
      <c r="LSB15" s="344"/>
      <c r="LSC15" s="344"/>
      <c r="LSD15" s="344"/>
      <c r="LSE15" s="342"/>
      <c r="LSF15" s="342"/>
      <c r="LSG15" s="342"/>
      <c r="LSH15" s="343"/>
      <c r="LSI15" s="343"/>
      <c r="LSJ15" s="344"/>
      <c r="LSK15" s="344"/>
      <c r="LSL15" s="344"/>
      <c r="LSM15" s="342"/>
      <c r="LSN15" s="342"/>
      <c r="LSO15" s="342"/>
      <c r="LSP15" s="343"/>
      <c r="LSQ15" s="343"/>
      <c r="LSR15" s="344"/>
      <c r="LSS15" s="344"/>
      <c r="LST15" s="344"/>
      <c r="LSU15" s="342"/>
      <c r="LSV15" s="342"/>
      <c r="LSW15" s="342"/>
      <c r="LSX15" s="343"/>
      <c r="LSY15" s="343"/>
      <c r="LSZ15" s="344"/>
      <c r="LTA15" s="344"/>
      <c r="LTB15" s="344"/>
      <c r="LTC15" s="342"/>
      <c r="LTD15" s="342"/>
      <c r="LTE15" s="342"/>
      <c r="LTF15" s="343"/>
      <c r="LTG15" s="343"/>
      <c r="LTH15" s="344"/>
      <c r="LTI15" s="344"/>
      <c r="LTJ15" s="344"/>
      <c r="LTK15" s="342"/>
      <c r="LTL15" s="342"/>
      <c r="LTM15" s="342"/>
      <c r="LTN15" s="343"/>
      <c r="LTO15" s="343"/>
      <c r="LTP15" s="344"/>
      <c r="LTQ15" s="344"/>
      <c r="LTR15" s="344"/>
      <c r="LTS15" s="342"/>
      <c r="LTT15" s="342"/>
      <c r="LTU15" s="342"/>
      <c r="LTV15" s="343"/>
      <c r="LTW15" s="343"/>
      <c r="LTX15" s="344"/>
      <c r="LTY15" s="344"/>
      <c r="LTZ15" s="344"/>
      <c r="LUA15" s="342"/>
      <c r="LUB15" s="342"/>
      <c r="LUC15" s="342"/>
      <c r="LUD15" s="343"/>
      <c r="LUE15" s="343"/>
      <c r="LUF15" s="344"/>
      <c r="LUG15" s="344"/>
      <c r="LUH15" s="344"/>
      <c r="LUI15" s="342"/>
      <c r="LUJ15" s="342"/>
      <c r="LUK15" s="342"/>
      <c r="LUL15" s="343"/>
      <c r="LUM15" s="343"/>
      <c r="LUN15" s="344"/>
      <c r="LUO15" s="344"/>
      <c r="LUP15" s="344"/>
      <c r="LUQ15" s="342"/>
      <c r="LUR15" s="342"/>
      <c r="LUS15" s="342"/>
      <c r="LUT15" s="343"/>
      <c r="LUU15" s="343"/>
      <c r="LUV15" s="344"/>
      <c r="LUW15" s="344"/>
      <c r="LUX15" s="344"/>
      <c r="LUY15" s="342"/>
      <c r="LUZ15" s="342"/>
      <c r="LVA15" s="342"/>
      <c r="LVB15" s="343"/>
      <c r="LVC15" s="343"/>
      <c r="LVD15" s="344"/>
      <c r="LVE15" s="344"/>
      <c r="LVF15" s="344"/>
      <c r="LVG15" s="342"/>
      <c r="LVH15" s="342"/>
      <c r="LVI15" s="342"/>
      <c r="LVJ15" s="343"/>
      <c r="LVK15" s="343"/>
      <c r="LVL15" s="344"/>
      <c r="LVM15" s="344"/>
      <c r="LVN15" s="344"/>
      <c r="LVO15" s="342"/>
      <c r="LVP15" s="342"/>
      <c r="LVQ15" s="342"/>
      <c r="LVR15" s="343"/>
      <c r="LVS15" s="343"/>
      <c r="LVT15" s="344"/>
      <c r="LVU15" s="344"/>
      <c r="LVV15" s="344"/>
      <c r="LVW15" s="342"/>
      <c r="LVX15" s="342"/>
      <c r="LVY15" s="342"/>
      <c r="LVZ15" s="343"/>
      <c r="LWA15" s="343"/>
      <c r="LWB15" s="344"/>
      <c r="LWC15" s="344"/>
      <c r="LWD15" s="344"/>
      <c r="LWE15" s="342"/>
      <c r="LWF15" s="342"/>
      <c r="LWG15" s="342"/>
      <c r="LWH15" s="343"/>
      <c r="LWI15" s="343"/>
      <c r="LWJ15" s="344"/>
      <c r="LWK15" s="344"/>
      <c r="LWL15" s="344"/>
      <c r="LWM15" s="342"/>
      <c r="LWN15" s="342"/>
      <c r="LWO15" s="342"/>
      <c r="LWP15" s="343"/>
      <c r="LWQ15" s="343"/>
      <c r="LWR15" s="344"/>
      <c r="LWS15" s="344"/>
      <c r="LWT15" s="344"/>
      <c r="LWU15" s="342"/>
      <c r="LWV15" s="342"/>
      <c r="LWW15" s="342"/>
      <c r="LWX15" s="343"/>
      <c r="LWY15" s="343"/>
      <c r="LWZ15" s="344"/>
      <c r="LXA15" s="344"/>
      <c r="LXB15" s="344"/>
      <c r="LXC15" s="342"/>
      <c r="LXD15" s="342"/>
      <c r="LXE15" s="342"/>
      <c r="LXF15" s="343"/>
      <c r="LXG15" s="343"/>
      <c r="LXH15" s="344"/>
      <c r="LXI15" s="344"/>
      <c r="LXJ15" s="344"/>
      <c r="LXK15" s="342"/>
      <c r="LXL15" s="342"/>
      <c r="LXM15" s="342"/>
      <c r="LXN15" s="343"/>
      <c r="LXO15" s="343"/>
      <c r="LXP15" s="344"/>
      <c r="LXQ15" s="344"/>
      <c r="LXR15" s="344"/>
      <c r="LXS15" s="342"/>
      <c r="LXT15" s="342"/>
      <c r="LXU15" s="342"/>
      <c r="LXV15" s="343"/>
      <c r="LXW15" s="343"/>
      <c r="LXX15" s="344"/>
      <c r="LXY15" s="344"/>
      <c r="LXZ15" s="344"/>
      <c r="LYA15" s="342"/>
      <c r="LYB15" s="342"/>
      <c r="LYC15" s="342"/>
      <c r="LYD15" s="343"/>
      <c r="LYE15" s="343"/>
      <c r="LYF15" s="344"/>
      <c r="LYG15" s="344"/>
      <c r="LYH15" s="344"/>
      <c r="LYI15" s="342"/>
      <c r="LYJ15" s="342"/>
      <c r="LYK15" s="342"/>
      <c r="LYL15" s="343"/>
      <c r="LYM15" s="343"/>
      <c r="LYN15" s="344"/>
      <c r="LYO15" s="344"/>
      <c r="LYP15" s="344"/>
      <c r="LYQ15" s="342"/>
      <c r="LYR15" s="342"/>
      <c r="LYS15" s="342"/>
      <c r="LYT15" s="343"/>
      <c r="LYU15" s="343"/>
      <c r="LYV15" s="344"/>
      <c r="LYW15" s="344"/>
      <c r="LYX15" s="344"/>
      <c r="LYY15" s="342"/>
      <c r="LYZ15" s="342"/>
      <c r="LZA15" s="342"/>
      <c r="LZB15" s="343"/>
      <c r="LZC15" s="343"/>
      <c r="LZD15" s="344"/>
      <c r="LZE15" s="344"/>
      <c r="LZF15" s="344"/>
      <c r="LZG15" s="342"/>
      <c r="LZH15" s="342"/>
      <c r="LZI15" s="342"/>
      <c r="LZJ15" s="343"/>
      <c r="LZK15" s="343"/>
      <c r="LZL15" s="344"/>
      <c r="LZM15" s="344"/>
      <c r="LZN15" s="344"/>
      <c r="LZO15" s="342"/>
      <c r="LZP15" s="342"/>
      <c r="LZQ15" s="342"/>
      <c r="LZR15" s="343"/>
      <c r="LZS15" s="343"/>
      <c r="LZT15" s="344"/>
      <c r="LZU15" s="344"/>
      <c r="LZV15" s="344"/>
      <c r="LZW15" s="342"/>
      <c r="LZX15" s="342"/>
      <c r="LZY15" s="342"/>
      <c r="LZZ15" s="343"/>
      <c r="MAA15" s="343"/>
      <c r="MAB15" s="344"/>
      <c r="MAC15" s="344"/>
      <c r="MAD15" s="344"/>
      <c r="MAE15" s="342"/>
      <c r="MAF15" s="342"/>
      <c r="MAG15" s="342"/>
      <c r="MAH15" s="343"/>
      <c r="MAI15" s="343"/>
      <c r="MAJ15" s="344"/>
      <c r="MAK15" s="344"/>
      <c r="MAL15" s="344"/>
      <c r="MAM15" s="342"/>
      <c r="MAN15" s="342"/>
      <c r="MAO15" s="342"/>
      <c r="MAP15" s="343"/>
      <c r="MAQ15" s="343"/>
      <c r="MAR15" s="344"/>
      <c r="MAS15" s="344"/>
      <c r="MAT15" s="344"/>
      <c r="MAU15" s="342"/>
      <c r="MAV15" s="342"/>
      <c r="MAW15" s="342"/>
      <c r="MAX15" s="343"/>
      <c r="MAY15" s="343"/>
      <c r="MAZ15" s="344"/>
      <c r="MBA15" s="344"/>
      <c r="MBB15" s="344"/>
      <c r="MBC15" s="342"/>
      <c r="MBD15" s="342"/>
      <c r="MBE15" s="342"/>
      <c r="MBF15" s="343"/>
      <c r="MBG15" s="343"/>
      <c r="MBH15" s="344"/>
      <c r="MBI15" s="344"/>
      <c r="MBJ15" s="344"/>
      <c r="MBK15" s="342"/>
      <c r="MBL15" s="342"/>
      <c r="MBM15" s="342"/>
      <c r="MBN15" s="343"/>
      <c r="MBO15" s="343"/>
      <c r="MBP15" s="344"/>
      <c r="MBQ15" s="344"/>
      <c r="MBR15" s="344"/>
      <c r="MBS15" s="342"/>
      <c r="MBT15" s="342"/>
      <c r="MBU15" s="342"/>
      <c r="MBV15" s="343"/>
      <c r="MBW15" s="343"/>
      <c r="MBX15" s="344"/>
      <c r="MBY15" s="344"/>
      <c r="MBZ15" s="344"/>
      <c r="MCA15" s="342"/>
      <c r="MCB15" s="342"/>
      <c r="MCC15" s="342"/>
      <c r="MCD15" s="343"/>
      <c r="MCE15" s="343"/>
      <c r="MCF15" s="344"/>
      <c r="MCG15" s="344"/>
      <c r="MCH15" s="344"/>
      <c r="MCI15" s="342"/>
      <c r="MCJ15" s="342"/>
      <c r="MCK15" s="342"/>
      <c r="MCL15" s="343"/>
      <c r="MCM15" s="343"/>
      <c r="MCN15" s="344"/>
      <c r="MCO15" s="344"/>
      <c r="MCP15" s="344"/>
      <c r="MCQ15" s="342"/>
      <c r="MCR15" s="342"/>
      <c r="MCS15" s="342"/>
      <c r="MCT15" s="343"/>
      <c r="MCU15" s="343"/>
      <c r="MCV15" s="344"/>
      <c r="MCW15" s="344"/>
      <c r="MCX15" s="344"/>
      <c r="MCY15" s="342"/>
      <c r="MCZ15" s="342"/>
      <c r="MDA15" s="342"/>
      <c r="MDB15" s="343"/>
      <c r="MDC15" s="343"/>
      <c r="MDD15" s="344"/>
      <c r="MDE15" s="344"/>
      <c r="MDF15" s="344"/>
      <c r="MDG15" s="342"/>
      <c r="MDH15" s="342"/>
      <c r="MDI15" s="342"/>
      <c r="MDJ15" s="343"/>
      <c r="MDK15" s="343"/>
      <c r="MDL15" s="344"/>
      <c r="MDM15" s="344"/>
      <c r="MDN15" s="344"/>
      <c r="MDO15" s="342"/>
      <c r="MDP15" s="342"/>
      <c r="MDQ15" s="342"/>
      <c r="MDR15" s="343"/>
      <c r="MDS15" s="343"/>
      <c r="MDT15" s="344"/>
      <c r="MDU15" s="344"/>
      <c r="MDV15" s="344"/>
      <c r="MDW15" s="342"/>
      <c r="MDX15" s="342"/>
      <c r="MDY15" s="342"/>
      <c r="MDZ15" s="343"/>
      <c r="MEA15" s="343"/>
      <c r="MEB15" s="344"/>
      <c r="MEC15" s="344"/>
      <c r="MED15" s="344"/>
      <c r="MEE15" s="342"/>
      <c r="MEF15" s="342"/>
      <c r="MEG15" s="342"/>
      <c r="MEH15" s="343"/>
      <c r="MEI15" s="343"/>
      <c r="MEJ15" s="344"/>
      <c r="MEK15" s="344"/>
      <c r="MEL15" s="344"/>
      <c r="MEM15" s="342"/>
      <c r="MEN15" s="342"/>
      <c r="MEO15" s="342"/>
      <c r="MEP15" s="343"/>
      <c r="MEQ15" s="343"/>
      <c r="MER15" s="344"/>
      <c r="MES15" s="344"/>
      <c r="MET15" s="344"/>
      <c r="MEU15" s="342"/>
      <c r="MEV15" s="342"/>
      <c r="MEW15" s="342"/>
      <c r="MEX15" s="343"/>
      <c r="MEY15" s="343"/>
      <c r="MEZ15" s="344"/>
      <c r="MFA15" s="344"/>
      <c r="MFB15" s="344"/>
      <c r="MFC15" s="342"/>
      <c r="MFD15" s="342"/>
      <c r="MFE15" s="342"/>
      <c r="MFF15" s="343"/>
      <c r="MFG15" s="343"/>
      <c r="MFH15" s="344"/>
      <c r="MFI15" s="344"/>
      <c r="MFJ15" s="344"/>
      <c r="MFK15" s="342"/>
      <c r="MFL15" s="342"/>
      <c r="MFM15" s="342"/>
      <c r="MFN15" s="343"/>
      <c r="MFO15" s="343"/>
      <c r="MFP15" s="344"/>
      <c r="MFQ15" s="344"/>
      <c r="MFR15" s="344"/>
      <c r="MFS15" s="342"/>
      <c r="MFT15" s="342"/>
      <c r="MFU15" s="342"/>
      <c r="MFV15" s="343"/>
      <c r="MFW15" s="343"/>
      <c r="MFX15" s="344"/>
      <c r="MFY15" s="344"/>
      <c r="MFZ15" s="344"/>
      <c r="MGA15" s="342"/>
      <c r="MGB15" s="342"/>
      <c r="MGC15" s="342"/>
      <c r="MGD15" s="343"/>
      <c r="MGE15" s="343"/>
      <c r="MGF15" s="344"/>
      <c r="MGG15" s="344"/>
      <c r="MGH15" s="344"/>
      <c r="MGI15" s="342"/>
      <c r="MGJ15" s="342"/>
      <c r="MGK15" s="342"/>
      <c r="MGL15" s="343"/>
      <c r="MGM15" s="343"/>
      <c r="MGN15" s="344"/>
      <c r="MGO15" s="344"/>
      <c r="MGP15" s="344"/>
      <c r="MGQ15" s="342"/>
      <c r="MGR15" s="342"/>
      <c r="MGS15" s="342"/>
      <c r="MGT15" s="343"/>
      <c r="MGU15" s="343"/>
      <c r="MGV15" s="344"/>
      <c r="MGW15" s="344"/>
      <c r="MGX15" s="344"/>
      <c r="MGY15" s="342"/>
      <c r="MGZ15" s="342"/>
      <c r="MHA15" s="342"/>
      <c r="MHB15" s="343"/>
      <c r="MHC15" s="343"/>
      <c r="MHD15" s="344"/>
      <c r="MHE15" s="344"/>
      <c r="MHF15" s="344"/>
      <c r="MHG15" s="342"/>
      <c r="MHH15" s="342"/>
      <c r="MHI15" s="342"/>
      <c r="MHJ15" s="343"/>
      <c r="MHK15" s="343"/>
      <c r="MHL15" s="344"/>
      <c r="MHM15" s="344"/>
      <c r="MHN15" s="344"/>
      <c r="MHO15" s="342"/>
      <c r="MHP15" s="342"/>
      <c r="MHQ15" s="342"/>
      <c r="MHR15" s="343"/>
      <c r="MHS15" s="343"/>
      <c r="MHT15" s="344"/>
      <c r="MHU15" s="344"/>
      <c r="MHV15" s="344"/>
      <c r="MHW15" s="342"/>
      <c r="MHX15" s="342"/>
      <c r="MHY15" s="342"/>
      <c r="MHZ15" s="343"/>
      <c r="MIA15" s="343"/>
      <c r="MIB15" s="344"/>
      <c r="MIC15" s="344"/>
      <c r="MID15" s="344"/>
      <c r="MIE15" s="342"/>
      <c r="MIF15" s="342"/>
      <c r="MIG15" s="342"/>
      <c r="MIH15" s="343"/>
      <c r="MII15" s="343"/>
      <c r="MIJ15" s="344"/>
      <c r="MIK15" s="344"/>
      <c r="MIL15" s="344"/>
      <c r="MIM15" s="342"/>
      <c r="MIN15" s="342"/>
      <c r="MIO15" s="342"/>
      <c r="MIP15" s="343"/>
      <c r="MIQ15" s="343"/>
      <c r="MIR15" s="344"/>
      <c r="MIS15" s="344"/>
      <c r="MIT15" s="344"/>
      <c r="MIU15" s="342"/>
      <c r="MIV15" s="342"/>
      <c r="MIW15" s="342"/>
      <c r="MIX15" s="343"/>
      <c r="MIY15" s="343"/>
      <c r="MIZ15" s="344"/>
      <c r="MJA15" s="344"/>
      <c r="MJB15" s="344"/>
      <c r="MJC15" s="342"/>
      <c r="MJD15" s="342"/>
      <c r="MJE15" s="342"/>
      <c r="MJF15" s="343"/>
      <c r="MJG15" s="343"/>
      <c r="MJH15" s="344"/>
      <c r="MJI15" s="344"/>
      <c r="MJJ15" s="344"/>
      <c r="MJK15" s="342"/>
      <c r="MJL15" s="342"/>
      <c r="MJM15" s="342"/>
      <c r="MJN15" s="343"/>
      <c r="MJO15" s="343"/>
      <c r="MJP15" s="344"/>
      <c r="MJQ15" s="344"/>
      <c r="MJR15" s="344"/>
      <c r="MJS15" s="342"/>
      <c r="MJT15" s="342"/>
      <c r="MJU15" s="342"/>
      <c r="MJV15" s="343"/>
      <c r="MJW15" s="343"/>
      <c r="MJX15" s="344"/>
      <c r="MJY15" s="344"/>
      <c r="MJZ15" s="344"/>
      <c r="MKA15" s="342"/>
      <c r="MKB15" s="342"/>
      <c r="MKC15" s="342"/>
      <c r="MKD15" s="343"/>
      <c r="MKE15" s="343"/>
      <c r="MKF15" s="344"/>
      <c r="MKG15" s="344"/>
      <c r="MKH15" s="344"/>
      <c r="MKI15" s="342"/>
      <c r="MKJ15" s="342"/>
      <c r="MKK15" s="342"/>
      <c r="MKL15" s="343"/>
      <c r="MKM15" s="343"/>
      <c r="MKN15" s="344"/>
      <c r="MKO15" s="344"/>
      <c r="MKP15" s="344"/>
      <c r="MKQ15" s="342"/>
      <c r="MKR15" s="342"/>
      <c r="MKS15" s="342"/>
      <c r="MKT15" s="343"/>
      <c r="MKU15" s="343"/>
      <c r="MKV15" s="344"/>
      <c r="MKW15" s="344"/>
      <c r="MKX15" s="344"/>
      <c r="MKY15" s="342"/>
      <c r="MKZ15" s="342"/>
      <c r="MLA15" s="342"/>
      <c r="MLB15" s="343"/>
      <c r="MLC15" s="343"/>
      <c r="MLD15" s="344"/>
      <c r="MLE15" s="344"/>
      <c r="MLF15" s="344"/>
      <c r="MLG15" s="342"/>
      <c r="MLH15" s="342"/>
      <c r="MLI15" s="342"/>
      <c r="MLJ15" s="343"/>
      <c r="MLK15" s="343"/>
      <c r="MLL15" s="344"/>
      <c r="MLM15" s="344"/>
      <c r="MLN15" s="344"/>
      <c r="MLO15" s="342"/>
      <c r="MLP15" s="342"/>
      <c r="MLQ15" s="342"/>
      <c r="MLR15" s="343"/>
      <c r="MLS15" s="343"/>
      <c r="MLT15" s="344"/>
      <c r="MLU15" s="344"/>
      <c r="MLV15" s="344"/>
      <c r="MLW15" s="342"/>
      <c r="MLX15" s="342"/>
      <c r="MLY15" s="342"/>
      <c r="MLZ15" s="343"/>
      <c r="MMA15" s="343"/>
      <c r="MMB15" s="344"/>
      <c r="MMC15" s="344"/>
      <c r="MMD15" s="344"/>
      <c r="MME15" s="342"/>
      <c r="MMF15" s="342"/>
      <c r="MMG15" s="342"/>
      <c r="MMH15" s="343"/>
      <c r="MMI15" s="343"/>
      <c r="MMJ15" s="344"/>
      <c r="MMK15" s="344"/>
      <c r="MML15" s="344"/>
      <c r="MMM15" s="342"/>
      <c r="MMN15" s="342"/>
      <c r="MMO15" s="342"/>
      <c r="MMP15" s="343"/>
      <c r="MMQ15" s="343"/>
      <c r="MMR15" s="344"/>
      <c r="MMS15" s="344"/>
      <c r="MMT15" s="344"/>
      <c r="MMU15" s="342"/>
      <c r="MMV15" s="342"/>
      <c r="MMW15" s="342"/>
      <c r="MMX15" s="343"/>
      <c r="MMY15" s="343"/>
      <c r="MMZ15" s="344"/>
      <c r="MNA15" s="344"/>
      <c r="MNB15" s="344"/>
      <c r="MNC15" s="342"/>
      <c r="MND15" s="342"/>
      <c r="MNE15" s="342"/>
      <c r="MNF15" s="343"/>
      <c r="MNG15" s="343"/>
      <c r="MNH15" s="344"/>
      <c r="MNI15" s="344"/>
      <c r="MNJ15" s="344"/>
      <c r="MNK15" s="342"/>
      <c r="MNL15" s="342"/>
      <c r="MNM15" s="342"/>
      <c r="MNN15" s="343"/>
      <c r="MNO15" s="343"/>
      <c r="MNP15" s="344"/>
      <c r="MNQ15" s="344"/>
      <c r="MNR15" s="344"/>
      <c r="MNS15" s="342"/>
      <c r="MNT15" s="342"/>
      <c r="MNU15" s="342"/>
      <c r="MNV15" s="343"/>
      <c r="MNW15" s="343"/>
      <c r="MNX15" s="344"/>
      <c r="MNY15" s="344"/>
      <c r="MNZ15" s="344"/>
      <c r="MOA15" s="342"/>
      <c r="MOB15" s="342"/>
      <c r="MOC15" s="342"/>
      <c r="MOD15" s="343"/>
      <c r="MOE15" s="343"/>
      <c r="MOF15" s="344"/>
      <c r="MOG15" s="344"/>
      <c r="MOH15" s="344"/>
      <c r="MOI15" s="342"/>
      <c r="MOJ15" s="342"/>
      <c r="MOK15" s="342"/>
      <c r="MOL15" s="343"/>
      <c r="MOM15" s="343"/>
      <c r="MON15" s="344"/>
      <c r="MOO15" s="344"/>
      <c r="MOP15" s="344"/>
      <c r="MOQ15" s="342"/>
      <c r="MOR15" s="342"/>
      <c r="MOS15" s="342"/>
      <c r="MOT15" s="343"/>
      <c r="MOU15" s="343"/>
      <c r="MOV15" s="344"/>
      <c r="MOW15" s="344"/>
      <c r="MOX15" s="344"/>
      <c r="MOY15" s="342"/>
      <c r="MOZ15" s="342"/>
      <c r="MPA15" s="342"/>
      <c r="MPB15" s="343"/>
      <c r="MPC15" s="343"/>
      <c r="MPD15" s="344"/>
      <c r="MPE15" s="344"/>
      <c r="MPF15" s="344"/>
      <c r="MPG15" s="342"/>
      <c r="MPH15" s="342"/>
      <c r="MPI15" s="342"/>
      <c r="MPJ15" s="343"/>
      <c r="MPK15" s="343"/>
      <c r="MPL15" s="344"/>
      <c r="MPM15" s="344"/>
      <c r="MPN15" s="344"/>
      <c r="MPO15" s="342"/>
      <c r="MPP15" s="342"/>
      <c r="MPQ15" s="342"/>
      <c r="MPR15" s="343"/>
      <c r="MPS15" s="343"/>
      <c r="MPT15" s="344"/>
      <c r="MPU15" s="344"/>
      <c r="MPV15" s="344"/>
      <c r="MPW15" s="342"/>
      <c r="MPX15" s="342"/>
      <c r="MPY15" s="342"/>
      <c r="MPZ15" s="343"/>
      <c r="MQA15" s="343"/>
      <c r="MQB15" s="344"/>
      <c r="MQC15" s="344"/>
      <c r="MQD15" s="344"/>
      <c r="MQE15" s="342"/>
      <c r="MQF15" s="342"/>
      <c r="MQG15" s="342"/>
      <c r="MQH15" s="343"/>
      <c r="MQI15" s="343"/>
      <c r="MQJ15" s="344"/>
      <c r="MQK15" s="344"/>
      <c r="MQL15" s="344"/>
      <c r="MQM15" s="342"/>
      <c r="MQN15" s="342"/>
      <c r="MQO15" s="342"/>
      <c r="MQP15" s="343"/>
      <c r="MQQ15" s="343"/>
      <c r="MQR15" s="344"/>
      <c r="MQS15" s="344"/>
      <c r="MQT15" s="344"/>
      <c r="MQU15" s="342"/>
      <c r="MQV15" s="342"/>
      <c r="MQW15" s="342"/>
      <c r="MQX15" s="343"/>
      <c r="MQY15" s="343"/>
      <c r="MQZ15" s="344"/>
      <c r="MRA15" s="344"/>
      <c r="MRB15" s="344"/>
      <c r="MRC15" s="342"/>
      <c r="MRD15" s="342"/>
      <c r="MRE15" s="342"/>
      <c r="MRF15" s="343"/>
      <c r="MRG15" s="343"/>
      <c r="MRH15" s="344"/>
      <c r="MRI15" s="344"/>
      <c r="MRJ15" s="344"/>
      <c r="MRK15" s="342"/>
      <c r="MRL15" s="342"/>
      <c r="MRM15" s="342"/>
      <c r="MRN15" s="343"/>
      <c r="MRO15" s="343"/>
      <c r="MRP15" s="344"/>
      <c r="MRQ15" s="344"/>
      <c r="MRR15" s="344"/>
      <c r="MRS15" s="342"/>
      <c r="MRT15" s="342"/>
      <c r="MRU15" s="342"/>
      <c r="MRV15" s="343"/>
      <c r="MRW15" s="343"/>
      <c r="MRX15" s="344"/>
      <c r="MRY15" s="344"/>
      <c r="MRZ15" s="344"/>
      <c r="MSA15" s="342"/>
      <c r="MSB15" s="342"/>
      <c r="MSC15" s="342"/>
      <c r="MSD15" s="343"/>
      <c r="MSE15" s="343"/>
      <c r="MSF15" s="344"/>
      <c r="MSG15" s="344"/>
      <c r="MSH15" s="344"/>
      <c r="MSI15" s="342"/>
      <c r="MSJ15" s="342"/>
      <c r="MSK15" s="342"/>
      <c r="MSL15" s="343"/>
      <c r="MSM15" s="343"/>
      <c r="MSN15" s="344"/>
      <c r="MSO15" s="344"/>
      <c r="MSP15" s="344"/>
      <c r="MSQ15" s="342"/>
      <c r="MSR15" s="342"/>
      <c r="MSS15" s="342"/>
      <c r="MST15" s="343"/>
      <c r="MSU15" s="343"/>
      <c r="MSV15" s="344"/>
      <c r="MSW15" s="344"/>
      <c r="MSX15" s="344"/>
      <c r="MSY15" s="342"/>
      <c r="MSZ15" s="342"/>
      <c r="MTA15" s="342"/>
      <c r="MTB15" s="343"/>
      <c r="MTC15" s="343"/>
      <c r="MTD15" s="344"/>
      <c r="MTE15" s="344"/>
      <c r="MTF15" s="344"/>
      <c r="MTG15" s="342"/>
      <c r="MTH15" s="342"/>
      <c r="MTI15" s="342"/>
      <c r="MTJ15" s="343"/>
      <c r="MTK15" s="343"/>
      <c r="MTL15" s="344"/>
      <c r="MTM15" s="344"/>
      <c r="MTN15" s="344"/>
      <c r="MTO15" s="342"/>
      <c r="MTP15" s="342"/>
      <c r="MTQ15" s="342"/>
      <c r="MTR15" s="343"/>
      <c r="MTS15" s="343"/>
      <c r="MTT15" s="344"/>
      <c r="MTU15" s="344"/>
      <c r="MTV15" s="344"/>
      <c r="MTW15" s="342"/>
      <c r="MTX15" s="342"/>
      <c r="MTY15" s="342"/>
      <c r="MTZ15" s="343"/>
      <c r="MUA15" s="343"/>
      <c r="MUB15" s="344"/>
      <c r="MUC15" s="344"/>
      <c r="MUD15" s="344"/>
      <c r="MUE15" s="342"/>
      <c r="MUF15" s="342"/>
      <c r="MUG15" s="342"/>
      <c r="MUH15" s="343"/>
      <c r="MUI15" s="343"/>
      <c r="MUJ15" s="344"/>
      <c r="MUK15" s="344"/>
      <c r="MUL15" s="344"/>
      <c r="MUM15" s="342"/>
      <c r="MUN15" s="342"/>
      <c r="MUO15" s="342"/>
      <c r="MUP15" s="343"/>
      <c r="MUQ15" s="343"/>
      <c r="MUR15" s="344"/>
      <c r="MUS15" s="344"/>
      <c r="MUT15" s="344"/>
      <c r="MUU15" s="342"/>
      <c r="MUV15" s="342"/>
      <c r="MUW15" s="342"/>
      <c r="MUX15" s="343"/>
      <c r="MUY15" s="343"/>
      <c r="MUZ15" s="344"/>
      <c r="MVA15" s="344"/>
      <c r="MVB15" s="344"/>
      <c r="MVC15" s="342"/>
      <c r="MVD15" s="342"/>
      <c r="MVE15" s="342"/>
      <c r="MVF15" s="343"/>
      <c r="MVG15" s="343"/>
      <c r="MVH15" s="344"/>
      <c r="MVI15" s="344"/>
      <c r="MVJ15" s="344"/>
      <c r="MVK15" s="342"/>
      <c r="MVL15" s="342"/>
      <c r="MVM15" s="342"/>
      <c r="MVN15" s="343"/>
      <c r="MVO15" s="343"/>
      <c r="MVP15" s="344"/>
      <c r="MVQ15" s="344"/>
      <c r="MVR15" s="344"/>
      <c r="MVS15" s="342"/>
      <c r="MVT15" s="342"/>
      <c r="MVU15" s="342"/>
      <c r="MVV15" s="343"/>
      <c r="MVW15" s="343"/>
      <c r="MVX15" s="344"/>
      <c r="MVY15" s="344"/>
      <c r="MVZ15" s="344"/>
      <c r="MWA15" s="342"/>
      <c r="MWB15" s="342"/>
      <c r="MWC15" s="342"/>
      <c r="MWD15" s="343"/>
      <c r="MWE15" s="343"/>
      <c r="MWF15" s="344"/>
      <c r="MWG15" s="344"/>
      <c r="MWH15" s="344"/>
      <c r="MWI15" s="342"/>
      <c r="MWJ15" s="342"/>
      <c r="MWK15" s="342"/>
      <c r="MWL15" s="343"/>
      <c r="MWM15" s="343"/>
      <c r="MWN15" s="344"/>
      <c r="MWO15" s="344"/>
      <c r="MWP15" s="344"/>
      <c r="MWQ15" s="342"/>
      <c r="MWR15" s="342"/>
      <c r="MWS15" s="342"/>
      <c r="MWT15" s="343"/>
      <c r="MWU15" s="343"/>
      <c r="MWV15" s="344"/>
      <c r="MWW15" s="344"/>
      <c r="MWX15" s="344"/>
      <c r="MWY15" s="342"/>
      <c r="MWZ15" s="342"/>
      <c r="MXA15" s="342"/>
      <c r="MXB15" s="343"/>
      <c r="MXC15" s="343"/>
      <c r="MXD15" s="344"/>
      <c r="MXE15" s="344"/>
      <c r="MXF15" s="344"/>
      <c r="MXG15" s="342"/>
      <c r="MXH15" s="342"/>
      <c r="MXI15" s="342"/>
      <c r="MXJ15" s="343"/>
      <c r="MXK15" s="343"/>
      <c r="MXL15" s="344"/>
      <c r="MXM15" s="344"/>
      <c r="MXN15" s="344"/>
      <c r="MXO15" s="342"/>
      <c r="MXP15" s="342"/>
      <c r="MXQ15" s="342"/>
      <c r="MXR15" s="343"/>
      <c r="MXS15" s="343"/>
      <c r="MXT15" s="344"/>
      <c r="MXU15" s="344"/>
      <c r="MXV15" s="344"/>
      <c r="MXW15" s="342"/>
      <c r="MXX15" s="342"/>
      <c r="MXY15" s="342"/>
      <c r="MXZ15" s="343"/>
      <c r="MYA15" s="343"/>
      <c r="MYB15" s="344"/>
      <c r="MYC15" s="344"/>
      <c r="MYD15" s="344"/>
      <c r="MYE15" s="342"/>
      <c r="MYF15" s="342"/>
      <c r="MYG15" s="342"/>
      <c r="MYH15" s="343"/>
      <c r="MYI15" s="343"/>
      <c r="MYJ15" s="344"/>
      <c r="MYK15" s="344"/>
      <c r="MYL15" s="344"/>
      <c r="MYM15" s="342"/>
      <c r="MYN15" s="342"/>
      <c r="MYO15" s="342"/>
      <c r="MYP15" s="343"/>
      <c r="MYQ15" s="343"/>
      <c r="MYR15" s="344"/>
      <c r="MYS15" s="344"/>
      <c r="MYT15" s="344"/>
      <c r="MYU15" s="342"/>
      <c r="MYV15" s="342"/>
      <c r="MYW15" s="342"/>
      <c r="MYX15" s="343"/>
      <c r="MYY15" s="343"/>
      <c r="MYZ15" s="344"/>
      <c r="MZA15" s="344"/>
      <c r="MZB15" s="344"/>
      <c r="MZC15" s="342"/>
      <c r="MZD15" s="342"/>
      <c r="MZE15" s="342"/>
      <c r="MZF15" s="343"/>
      <c r="MZG15" s="343"/>
      <c r="MZH15" s="344"/>
      <c r="MZI15" s="344"/>
      <c r="MZJ15" s="344"/>
      <c r="MZK15" s="342"/>
      <c r="MZL15" s="342"/>
      <c r="MZM15" s="342"/>
      <c r="MZN15" s="343"/>
      <c r="MZO15" s="343"/>
      <c r="MZP15" s="344"/>
      <c r="MZQ15" s="344"/>
      <c r="MZR15" s="344"/>
      <c r="MZS15" s="342"/>
      <c r="MZT15" s="342"/>
      <c r="MZU15" s="342"/>
      <c r="MZV15" s="343"/>
      <c r="MZW15" s="343"/>
      <c r="MZX15" s="344"/>
      <c r="MZY15" s="344"/>
      <c r="MZZ15" s="344"/>
      <c r="NAA15" s="342"/>
      <c r="NAB15" s="342"/>
      <c r="NAC15" s="342"/>
      <c r="NAD15" s="343"/>
      <c r="NAE15" s="343"/>
      <c r="NAF15" s="344"/>
      <c r="NAG15" s="344"/>
      <c r="NAH15" s="344"/>
      <c r="NAI15" s="342"/>
      <c r="NAJ15" s="342"/>
      <c r="NAK15" s="342"/>
      <c r="NAL15" s="343"/>
      <c r="NAM15" s="343"/>
      <c r="NAN15" s="344"/>
      <c r="NAO15" s="344"/>
      <c r="NAP15" s="344"/>
      <c r="NAQ15" s="342"/>
      <c r="NAR15" s="342"/>
      <c r="NAS15" s="342"/>
      <c r="NAT15" s="343"/>
      <c r="NAU15" s="343"/>
      <c r="NAV15" s="344"/>
      <c r="NAW15" s="344"/>
      <c r="NAX15" s="344"/>
      <c r="NAY15" s="342"/>
      <c r="NAZ15" s="342"/>
      <c r="NBA15" s="342"/>
      <c r="NBB15" s="343"/>
      <c r="NBC15" s="343"/>
      <c r="NBD15" s="344"/>
      <c r="NBE15" s="344"/>
      <c r="NBF15" s="344"/>
      <c r="NBG15" s="342"/>
      <c r="NBH15" s="342"/>
      <c r="NBI15" s="342"/>
      <c r="NBJ15" s="343"/>
      <c r="NBK15" s="343"/>
      <c r="NBL15" s="344"/>
      <c r="NBM15" s="344"/>
      <c r="NBN15" s="344"/>
      <c r="NBO15" s="342"/>
      <c r="NBP15" s="342"/>
      <c r="NBQ15" s="342"/>
      <c r="NBR15" s="343"/>
      <c r="NBS15" s="343"/>
      <c r="NBT15" s="344"/>
      <c r="NBU15" s="344"/>
      <c r="NBV15" s="344"/>
      <c r="NBW15" s="342"/>
      <c r="NBX15" s="342"/>
      <c r="NBY15" s="342"/>
      <c r="NBZ15" s="343"/>
      <c r="NCA15" s="343"/>
      <c r="NCB15" s="344"/>
      <c r="NCC15" s="344"/>
      <c r="NCD15" s="344"/>
      <c r="NCE15" s="342"/>
      <c r="NCF15" s="342"/>
      <c r="NCG15" s="342"/>
      <c r="NCH15" s="343"/>
      <c r="NCI15" s="343"/>
      <c r="NCJ15" s="344"/>
      <c r="NCK15" s="344"/>
      <c r="NCL15" s="344"/>
      <c r="NCM15" s="342"/>
      <c r="NCN15" s="342"/>
      <c r="NCO15" s="342"/>
      <c r="NCP15" s="343"/>
      <c r="NCQ15" s="343"/>
      <c r="NCR15" s="344"/>
      <c r="NCS15" s="344"/>
      <c r="NCT15" s="344"/>
      <c r="NCU15" s="342"/>
      <c r="NCV15" s="342"/>
      <c r="NCW15" s="342"/>
      <c r="NCX15" s="343"/>
      <c r="NCY15" s="343"/>
      <c r="NCZ15" s="344"/>
      <c r="NDA15" s="344"/>
      <c r="NDB15" s="344"/>
      <c r="NDC15" s="342"/>
      <c r="NDD15" s="342"/>
      <c r="NDE15" s="342"/>
      <c r="NDF15" s="343"/>
      <c r="NDG15" s="343"/>
      <c r="NDH15" s="344"/>
      <c r="NDI15" s="344"/>
      <c r="NDJ15" s="344"/>
      <c r="NDK15" s="342"/>
      <c r="NDL15" s="342"/>
      <c r="NDM15" s="342"/>
      <c r="NDN15" s="343"/>
      <c r="NDO15" s="343"/>
      <c r="NDP15" s="344"/>
      <c r="NDQ15" s="344"/>
      <c r="NDR15" s="344"/>
      <c r="NDS15" s="342"/>
      <c r="NDT15" s="342"/>
      <c r="NDU15" s="342"/>
      <c r="NDV15" s="343"/>
      <c r="NDW15" s="343"/>
      <c r="NDX15" s="344"/>
      <c r="NDY15" s="344"/>
      <c r="NDZ15" s="344"/>
      <c r="NEA15" s="342"/>
      <c r="NEB15" s="342"/>
      <c r="NEC15" s="342"/>
      <c r="NED15" s="343"/>
      <c r="NEE15" s="343"/>
      <c r="NEF15" s="344"/>
      <c r="NEG15" s="344"/>
      <c r="NEH15" s="344"/>
      <c r="NEI15" s="342"/>
      <c r="NEJ15" s="342"/>
      <c r="NEK15" s="342"/>
      <c r="NEL15" s="343"/>
      <c r="NEM15" s="343"/>
      <c r="NEN15" s="344"/>
      <c r="NEO15" s="344"/>
      <c r="NEP15" s="344"/>
      <c r="NEQ15" s="342"/>
      <c r="NER15" s="342"/>
      <c r="NES15" s="342"/>
      <c r="NET15" s="343"/>
      <c r="NEU15" s="343"/>
      <c r="NEV15" s="344"/>
      <c r="NEW15" s="344"/>
      <c r="NEX15" s="344"/>
      <c r="NEY15" s="342"/>
      <c r="NEZ15" s="342"/>
      <c r="NFA15" s="342"/>
      <c r="NFB15" s="343"/>
      <c r="NFC15" s="343"/>
      <c r="NFD15" s="344"/>
      <c r="NFE15" s="344"/>
      <c r="NFF15" s="344"/>
      <c r="NFG15" s="342"/>
      <c r="NFH15" s="342"/>
      <c r="NFI15" s="342"/>
      <c r="NFJ15" s="343"/>
      <c r="NFK15" s="343"/>
      <c r="NFL15" s="344"/>
      <c r="NFM15" s="344"/>
      <c r="NFN15" s="344"/>
      <c r="NFO15" s="342"/>
      <c r="NFP15" s="342"/>
      <c r="NFQ15" s="342"/>
      <c r="NFR15" s="343"/>
      <c r="NFS15" s="343"/>
      <c r="NFT15" s="344"/>
      <c r="NFU15" s="344"/>
      <c r="NFV15" s="344"/>
      <c r="NFW15" s="342"/>
      <c r="NFX15" s="342"/>
      <c r="NFY15" s="342"/>
      <c r="NFZ15" s="343"/>
      <c r="NGA15" s="343"/>
      <c r="NGB15" s="344"/>
      <c r="NGC15" s="344"/>
      <c r="NGD15" s="344"/>
      <c r="NGE15" s="342"/>
      <c r="NGF15" s="342"/>
      <c r="NGG15" s="342"/>
      <c r="NGH15" s="343"/>
      <c r="NGI15" s="343"/>
      <c r="NGJ15" s="344"/>
      <c r="NGK15" s="344"/>
      <c r="NGL15" s="344"/>
      <c r="NGM15" s="342"/>
      <c r="NGN15" s="342"/>
      <c r="NGO15" s="342"/>
      <c r="NGP15" s="343"/>
      <c r="NGQ15" s="343"/>
      <c r="NGR15" s="344"/>
      <c r="NGS15" s="344"/>
      <c r="NGT15" s="344"/>
      <c r="NGU15" s="342"/>
      <c r="NGV15" s="342"/>
      <c r="NGW15" s="342"/>
      <c r="NGX15" s="343"/>
      <c r="NGY15" s="343"/>
      <c r="NGZ15" s="344"/>
      <c r="NHA15" s="344"/>
      <c r="NHB15" s="344"/>
      <c r="NHC15" s="342"/>
      <c r="NHD15" s="342"/>
      <c r="NHE15" s="342"/>
      <c r="NHF15" s="343"/>
      <c r="NHG15" s="343"/>
      <c r="NHH15" s="344"/>
      <c r="NHI15" s="344"/>
      <c r="NHJ15" s="344"/>
      <c r="NHK15" s="342"/>
      <c r="NHL15" s="342"/>
      <c r="NHM15" s="342"/>
      <c r="NHN15" s="343"/>
      <c r="NHO15" s="343"/>
      <c r="NHP15" s="344"/>
      <c r="NHQ15" s="344"/>
      <c r="NHR15" s="344"/>
      <c r="NHS15" s="342"/>
      <c r="NHT15" s="342"/>
      <c r="NHU15" s="342"/>
      <c r="NHV15" s="343"/>
      <c r="NHW15" s="343"/>
      <c r="NHX15" s="344"/>
      <c r="NHY15" s="344"/>
      <c r="NHZ15" s="344"/>
      <c r="NIA15" s="342"/>
      <c r="NIB15" s="342"/>
      <c r="NIC15" s="342"/>
      <c r="NID15" s="343"/>
      <c r="NIE15" s="343"/>
      <c r="NIF15" s="344"/>
      <c r="NIG15" s="344"/>
      <c r="NIH15" s="344"/>
      <c r="NII15" s="342"/>
      <c r="NIJ15" s="342"/>
      <c r="NIK15" s="342"/>
      <c r="NIL15" s="343"/>
      <c r="NIM15" s="343"/>
      <c r="NIN15" s="344"/>
      <c r="NIO15" s="344"/>
      <c r="NIP15" s="344"/>
      <c r="NIQ15" s="342"/>
      <c r="NIR15" s="342"/>
      <c r="NIS15" s="342"/>
      <c r="NIT15" s="343"/>
      <c r="NIU15" s="343"/>
      <c r="NIV15" s="344"/>
      <c r="NIW15" s="344"/>
      <c r="NIX15" s="344"/>
      <c r="NIY15" s="342"/>
      <c r="NIZ15" s="342"/>
      <c r="NJA15" s="342"/>
      <c r="NJB15" s="343"/>
      <c r="NJC15" s="343"/>
      <c r="NJD15" s="344"/>
      <c r="NJE15" s="344"/>
      <c r="NJF15" s="344"/>
      <c r="NJG15" s="342"/>
      <c r="NJH15" s="342"/>
      <c r="NJI15" s="342"/>
      <c r="NJJ15" s="343"/>
      <c r="NJK15" s="343"/>
      <c r="NJL15" s="344"/>
      <c r="NJM15" s="344"/>
      <c r="NJN15" s="344"/>
      <c r="NJO15" s="342"/>
      <c r="NJP15" s="342"/>
      <c r="NJQ15" s="342"/>
      <c r="NJR15" s="343"/>
      <c r="NJS15" s="343"/>
      <c r="NJT15" s="344"/>
      <c r="NJU15" s="344"/>
      <c r="NJV15" s="344"/>
      <c r="NJW15" s="342"/>
      <c r="NJX15" s="342"/>
      <c r="NJY15" s="342"/>
      <c r="NJZ15" s="343"/>
      <c r="NKA15" s="343"/>
      <c r="NKB15" s="344"/>
      <c r="NKC15" s="344"/>
      <c r="NKD15" s="344"/>
      <c r="NKE15" s="342"/>
      <c r="NKF15" s="342"/>
      <c r="NKG15" s="342"/>
      <c r="NKH15" s="343"/>
      <c r="NKI15" s="343"/>
      <c r="NKJ15" s="344"/>
      <c r="NKK15" s="344"/>
      <c r="NKL15" s="344"/>
      <c r="NKM15" s="342"/>
      <c r="NKN15" s="342"/>
      <c r="NKO15" s="342"/>
      <c r="NKP15" s="343"/>
      <c r="NKQ15" s="343"/>
      <c r="NKR15" s="344"/>
      <c r="NKS15" s="344"/>
      <c r="NKT15" s="344"/>
      <c r="NKU15" s="342"/>
      <c r="NKV15" s="342"/>
      <c r="NKW15" s="342"/>
      <c r="NKX15" s="343"/>
      <c r="NKY15" s="343"/>
      <c r="NKZ15" s="344"/>
      <c r="NLA15" s="344"/>
      <c r="NLB15" s="344"/>
      <c r="NLC15" s="342"/>
      <c r="NLD15" s="342"/>
      <c r="NLE15" s="342"/>
      <c r="NLF15" s="343"/>
      <c r="NLG15" s="343"/>
      <c r="NLH15" s="344"/>
      <c r="NLI15" s="344"/>
      <c r="NLJ15" s="344"/>
      <c r="NLK15" s="342"/>
      <c r="NLL15" s="342"/>
      <c r="NLM15" s="342"/>
      <c r="NLN15" s="343"/>
      <c r="NLO15" s="343"/>
      <c r="NLP15" s="344"/>
      <c r="NLQ15" s="344"/>
      <c r="NLR15" s="344"/>
      <c r="NLS15" s="342"/>
      <c r="NLT15" s="342"/>
      <c r="NLU15" s="342"/>
      <c r="NLV15" s="343"/>
      <c r="NLW15" s="343"/>
      <c r="NLX15" s="344"/>
      <c r="NLY15" s="344"/>
      <c r="NLZ15" s="344"/>
      <c r="NMA15" s="342"/>
      <c r="NMB15" s="342"/>
      <c r="NMC15" s="342"/>
      <c r="NMD15" s="343"/>
      <c r="NME15" s="343"/>
      <c r="NMF15" s="344"/>
      <c r="NMG15" s="344"/>
      <c r="NMH15" s="344"/>
      <c r="NMI15" s="342"/>
      <c r="NMJ15" s="342"/>
      <c r="NMK15" s="342"/>
      <c r="NML15" s="343"/>
      <c r="NMM15" s="343"/>
      <c r="NMN15" s="344"/>
      <c r="NMO15" s="344"/>
      <c r="NMP15" s="344"/>
      <c r="NMQ15" s="342"/>
      <c r="NMR15" s="342"/>
      <c r="NMS15" s="342"/>
      <c r="NMT15" s="343"/>
      <c r="NMU15" s="343"/>
      <c r="NMV15" s="344"/>
      <c r="NMW15" s="344"/>
      <c r="NMX15" s="344"/>
      <c r="NMY15" s="342"/>
      <c r="NMZ15" s="342"/>
      <c r="NNA15" s="342"/>
      <c r="NNB15" s="343"/>
      <c r="NNC15" s="343"/>
      <c r="NND15" s="344"/>
      <c r="NNE15" s="344"/>
      <c r="NNF15" s="344"/>
      <c r="NNG15" s="342"/>
      <c r="NNH15" s="342"/>
      <c r="NNI15" s="342"/>
      <c r="NNJ15" s="343"/>
      <c r="NNK15" s="343"/>
      <c r="NNL15" s="344"/>
      <c r="NNM15" s="344"/>
      <c r="NNN15" s="344"/>
      <c r="NNO15" s="342"/>
      <c r="NNP15" s="342"/>
      <c r="NNQ15" s="342"/>
      <c r="NNR15" s="343"/>
      <c r="NNS15" s="343"/>
      <c r="NNT15" s="344"/>
      <c r="NNU15" s="344"/>
      <c r="NNV15" s="344"/>
      <c r="NNW15" s="342"/>
      <c r="NNX15" s="342"/>
      <c r="NNY15" s="342"/>
      <c r="NNZ15" s="343"/>
      <c r="NOA15" s="343"/>
      <c r="NOB15" s="344"/>
      <c r="NOC15" s="344"/>
      <c r="NOD15" s="344"/>
      <c r="NOE15" s="342"/>
      <c r="NOF15" s="342"/>
      <c r="NOG15" s="342"/>
      <c r="NOH15" s="343"/>
      <c r="NOI15" s="343"/>
      <c r="NOJ15" s="344"/>
      <c r="NOK15" s="344"/>
      <c r="NOL15" s="344"/>
      <c r="NOM15" s="342"/>
      <c r="NON15" s="342"/>
      <c r="NOO15" s="342"/>
      <c r="NOP15" s="343"/>
      <c r="NOQ15" s="343"/>
      <c r="NOR15" s="344"/>
      <c r="NOS15" s="344"/>
      <c r="NOT15" s="344"/>
      <c r="NOU15" s="342"/>
      <c r="NOV15" s="342"/>
      <c r="NOW15" s="342"/>
      <c r="NOX15" s="343"/>
      <c r="NOY15" s="343"/>
      <c r="NOZ15" s="344"/>
      <c r="NPA15" s="344"/>
      <c r="NPB15" s="344"/>
      <c r="NPC15" s="342"/>
      <c r="NPD15" s="342"/>
      <c r="NPE15" s="342"/>
      <c r="NPF15" s="343"/>
      <c r="NPG15" s="343"/>
      <c r="NPH15" s="344"/>
      <c r="NPI15" s="344"/>
      <c r="NPJ15" s="344"/>
      <c r="NPK15" s="342"/>
      <c r="NPL15" s="342"/>
      <c r="NPM15" s="342"/>
      <c r="NPN15" s="343"/>
      <c r="NPO15" s="343"/>
      <c r="NPP15" s="344"/>
      <c r="NPQ15" s="344"/>
      <c r="NPR15" s="344"/>
      <c r="NPS15" s="342"/>
      <c r="NPT15" s="342"/>
      <c r="NPU15" s="342"/>
      <c r="NPV15" s="343"/>
      <c r="NPW15" s="343"/>
      <c r="NPX15" s="344"/>
      <c r="NPY15" s="344"/>
      <c r="NPZ15" s="344"/>
      <c r="NQA15" s="342"/>
      <c r="NQB15" s="342"/>
      <c r="NQC15" s="342"/>
      <c r="NQD15" s="343"/>
      <c r="NQE15" s="343"/>
      <c r="NQF15" s="344"/>
      <c r="NQG15" s="344"/>
      <c r="NQH15" s="344"/>
      <c r="NQI15" s="342"/>
      <c r="NQJ15" s="342"/>
      <c r="NQK15" s="342"/>
      <c r="NQL15" s="343"/>
      <c r="NQM15" s="343"/>
      <c r="NQN15" s="344"/>
      <c r="NQO15" s="344"/>
      <c r="NQP15" s="344"/>
      <c r="NQQ15" s="342"/>
      <c r="NQR15" s="342"/>
      <c r="NQS15" s="342"/>
      <c r="NQT15" s="343"/>
      <c r="NQU15" s="343"/>
      <c r="NQV15" s="344"/>
      <c r="NQW15" s="344"/>
      <c r="NQX15" s="344"/>
      <c r="NQY15" s="342"/>
      <c r="NQZ15" s="342"/>
      <c r="NRA15" s="342"/>
      <c r="NRB15" s="343"/>
      <c r="NRC15" s="343"/>
      <c r="NRD15" s="344"/>
      <c r="NRE15" s="344"/>
      <c r="NRF15" s="344"/>
      <c r="NRG15" s="342"/>
      <c r="NRH15" s="342"/>
      <c r="NRI15" s="342"/>
      <c r="NRJ15" s="343"/>
      <c r="NRK15" s="343"/>
      <c r="NRL15" s="344"/>
      <c r="NRM15" s="344"/>
      <c r="NRN15" s="344"/>
      <c r="NRO15" s="342"/>
      <c r="NRP15" s="342"/>
      <c r="NRQ15" s="342"/>
      <c r="NRR15" s="343"/>
      <c r="NRS15" s="343"/>
      <c r="NRT15" s="344"/>
      <c r="NRU15" s="344"/>
      <c r="NRV15" s="344"/>
      <c r="NRW15" s="342"/>
      <c r="NRX15" s="342"/>
      <c r="NRY15" s="342"/>
      <c r="NRZ15" s="343"/>
      <c r="NSA15" s="343"/>
      <c r="NSB15" s="344"/>
      <c r="NSC15" s="344"/>
      <c r="NSD15" s="344"/>
      <c r="NSE15" s="342"/>
      <c r="NSF15" s="342"/>
      <c r="NSG15" s="342"/>
      <c r="NSH15" s="343"/>
      <c r="NSI15" s="343"/>
      <c r="NSJ15" s="344"/>
      <c r="NSK15" s="344"/>
      <c r="NSL15" s="344"/>
      <c r="NSM15" s="342"/>
      <c r="NSN15" s="342"/>
      <c r="NSO15" s="342"/>
      <c r="NSP15" s="343"/>
      <c r="NSQ15" s="343"/>
      <c r="NSR15" s="344"/>
      <c r="NSS15" s="344"/>
      <c r="NST15" s="344"/>
      <c r="NSU15" s="342"/>
      <c r="NSV15" s="342"/>
      <c r="NSW15" s="342"/>
      <c r="NSX15" s="343"/>
      <c r="NSY15" s="343"/>
      <c r="NSZ15" s="344"/>
      <c r="NTA15" s="344"/>
      <c r="NTB15" s="344"/>
      <c r="NTC15" s="342"/>
      <c r="NTD15" s="342"/>
      <c r="NTE15" s="342"/>
      <c r="NTF15" s="343"/>
      <c r="NTG15" s="343"/>
      <c r="NTH15" s="344"/>
      <c r="NTI15" s="344"/>
      <c r="NTJ15" s="344"/>
      <c r="NTK15" s="342"/>
      <c r="NTL15" s="342"/>
      <c r="NTM15" s="342"/>
      <c r="NTN15" s="343"/>
      <c r="NTO15" s="343"/>
      <c r="NTP15" s="344"/>
      <c r="NTQ15" s="344"/>
      <c r="NTR15" s="344"/>
      <c r="NTS15" s="342"/>
      <c r="NTT15" s="342"/>
      <c r="NTU15" s="342"/>
      <c r="NTV15" s="343"/>
      <c r="NTW15" s="343"/>
      <c r="NTX15" s="344"/>
      <c r="NTY15" s="344"/>
      <c r="NTZ15" s="344"/>
      <c r="NUA15" s="342"/>
      <c r="NUB15" s="342"/>
      <c r="NUC15" s="342"/>
      <c r="NUD15" s="343"/>
      <c r="NUE15" s="343"/>
      <c r="NUF15" s="344"/>
      <c r="NUG15" s="344"/>
      <c r="NUH15" s="344"/>
      <c r="NUI15" s="342"/>
      <c r="NUJ15" s="342"/>
      <c r="NUK15" s="342"/>
      <c r="NUL15" s="343"/>
      <c r="NUM15" s="343"/>
      <c r="NUN15" s="344"/>
      <c r="NUO15" s="344"/>
      <c r="NUP15" s="344"/>
      <c r="NUQ15" s="342"/>
      <c r="NUR15" s="342"/>
      <c r="NUS15" s="342"/>
      <c r="NUT15" s="343"/>
      <c r="NUU15" s="343"/>
      <c r="NUV15" s="344"/>
      <c r="NUW15" s="344"/>
      <c r="NUX15" s="344"/>
      <c r="NUY15" s="342"/>
      <c r="NUZ15" s="342"/>
      <c r="NVA15" s="342"/>
      <c r="NVB15" s="343"/>
      <c r="NVC15" s="343"/>
      <c r="NVD15" s="344"/>
      <c r="NVE15" s="344"/>
      <c r="NVF15" s="344"/>
      <c r="NVG15" s="342"/>
      <c r="NVH15" s="342"/>
      <c r="NVI15" s="342"/>
      <c r="NVJ15" s="343"/>
      <c r="NVK15" s="343"/>
      <c r="NVL15" s="344"/>
      <c r="NVM15" s="344"/>
      <c r="NVN15" s="344"/>
      <c r="NVO15" s="342"/>
      <c r="NVP15" s="342"/>
      <c r="NVQ15" s="342"/>
      <c r="NVR15" s="343"/>
      <c r="NVS15" s="343"/>
      <c r="NVT15" s="344"/>
      <c r="NVU15" s="344"/>
      <c r="NVV15" s="344"/>
      <c r="NVW15" s="342"/>
      <c r="NVX15" s="342"/>
      <c r="NVY15" s="342"/>
      <c r="NVZ15" s="343"/>
      <c r="NWA15" s="343"/>
      <c r="NWB15" s="344"/>
      <c r="NWC15" s="344"/>
      <c r="NWD15" s="344"/>
      <c r="NWE15" s="342"/>
      <c r="NWF15" s="342"/>
      <c r="NWG15" s="342"/>
      <c r="NWH15" s="343"/>
      <c r="NWI15" s="343"/>
      <c r="NWJ15" s="344"/>
      <c r="NWK15" s="344"/>
      <c r="NWL15" s="344"/>
      <c r="NWM15" s="342"/>
      <c r="NWN15" s="342"/>
      <c r="NWO15" s="342"/>
      <c r="NWP15" s="343"/>
      <c r="NWQ15" s="343"/>
      <c r="NWR15" s="344"/>
      <c r="NWS15" s="344"/>
      <c r="NWT15" s="344"/>
      <c r="NWU15" s="342"/>
      <c r="NWV15" s="342"/>
      <c r="NWW15" s="342"/>
      <c r="NWX15" s="343"/>
      <c r="NWY15" s="343"/>
      <c r="NWZ15" s="344"/>
      <c r="NXA15" s="344"/>
      <c r="NXB15" s="344"/>
      <c r="NXC15" s="342"/>
      <c r="NXD15" s="342"/>
      <c r="NXE15" s="342"/>
      <c r="NXF15" s="343"/>
      <c r="NXG15" s="343"/>
      <c r="NXH15" s="344"/>
      <c r="NXI15" s="344"/>
      <c r="NXJ15" s="344"/>
      <c r="NXK15" s="342"/>
      <c r="NXL15" s="342"/>
      <c r="NXM15" s="342"/>
      <c r="NXN15" s="343"/>
      <c r="NXO15" s="343"/>
      <c r="NXP15" s="344"/>
      <c r="NXQ15" s="344"/>
      <c r="NXR15" s="344"/>
      <c r="NXS15" s="342"/>
      <c r="NXT15" s="342"/>
      <c r="NXU15" s="342"/>
      <c r="NXV15" s="343"/>
      <c r="NXW15" s="343"/>
      <c r="NXX15" s="344"/>
      <c r="NXY15" s="344"/>
      <c r="NXZ15" s="344"/>
      <c r="NYA15" s="342"/>
      <c r="NYB15" s="342"/>
      <c r="NYC15" s="342"/>
      <c r="NYD15" s="343"/>
      <c r="NYE15" s="343"/>
      <c r="NYF15" s="344"/>
      <c r="NYG15" s="344"/>
      <c r="NYH15" s="344"/>
      <c r="NYI15" s="342"/>
      <c r="NYJ15" s="342"/>
      <c r="NYK15" s="342"/>
      <c r="NYL15" s="343"/>
      <c r="NYM15" s="343"/>
      <c r="NYN15" s="344"/>
      <c r="NYO15" s="344"/>
      <c r="NYP15" s="344"/>
      <c r="NYQ15" s="342"/>
      <c r="NYR15" s="342"/>
      <c r="NYS15" s="342"/>
      <c r="NYT15" s="343"/>
      <c r="NYU15" s="343"/>
      <c r="NYV15" s="344"/>
      <c r="NYW15" s="344"/>
      <c r="NYX15" s="344"/>
      <c r="NYY15" s="342"/>
      <c r="NYZ15" s="342"/>
      <c r="NZA15" s="342"/>
      <c r="NZB15" s="343"/>
      <c r="NZC15" s="343"/>
      <c r="NZD15" s="344"/>
      <c r="NZE15" s="344"/>
      <c r="NZF15" s="344"/>
      <c r="NZG15" s="342"/>
      <c r="NZH15" s="342"/>
      <c r="NZI15" s="342"/>
      <c r="NZJ15" s="343"/>
      <c r="NZK15" s="343"/>
      <c r="NZL15" s="344"/>
      <c r="NZM15" s="344"/>
      <c r="NZN15" s="344"/>
      <c r="NZO15" s="342"/>
      <c r="NZP15" s="342"/>
      <c r="NZQ15" s="342"/>
      <c r="NZR15" s="343"/>
      <c r="NZS15" s="343"/>
      <c r="NZT15" s="344"/>
      <c r="NZU15" s="344"/>
      <c r="NZV15" s="344"/>
      <c r="NZW15" s="342"/>
      <c r="NZX15" s="342"/>
      <c r="NZY15" s="342"/>
      <c r="NZZ15" s="343"/>
      <c r="OAA15" s="343"/>
      <c r="OAB15" s="344"/>
      <c r="OAC15" s="344"/>
      <c r="OAD15" s="344"/>
      <c r="OAE15" s="342"/>
      <c r="OAF15" s="342"/>
      <c r="OAG15" s="342"/>
      <c r="OAH15" s="343"/>
      <c r="OAI15" s="343"/>
      <c r="OAJ15" s="344"/>
      <c r="OAK15" s="344"/>
      <c r="OAL15" s="344"/>
      <c r="OAM15" s="342"/>
      <c r="OAN15" s="342"/>
      <c r="OAO15" s="342"/>
      <c r="OAP15" s="343"/>
      <c r="OAQ15" s="343"/>
      <c r="OAR15" s="344"/>
      <c r="OAS15" s="344"/>
      <c r="OAT15" s="344"/>
      <c r="OAU15" s="342"/>
      <c r="OAV15" s="342"/>
      <c r="OAW15" s="342"/>
      <c r="OAX15" s="343"/>
      <c r="OAY15" s="343"/>
      <c r="OAZ15" s="344"/>
      <c r="OBA15" s="344"/>
      <c r="OBB15" s="344"/>
      <c r="OBC15" s="342"/>
      <c r="OBD15" s="342"/>
      <c r="OBE15" s="342"/>
      <c r="OBF15" s="343"/>
      <c r="OBG15" s="343"/>
      <c r="OBH15" s="344"/>
      <c r="OBI15" s="344"/>
      <c r="OBJ15" s="344"/>
      <c r="OBK15" s="342"/>
      <c r="OBL15" s="342"/>
      <c r="OBM15" s="342"/>
      <c r="OBN15" s="343"/>
      <c r="OBO15" s="343"/>
      <c r="OBP15" s="344"/>
      <c r="OBQ15" s="344"/>
      <c r="OBR15" s="344"/>
      <c r="OBS15" s="342"/>
      <c r="OBT15" s="342"/>
      <c r="OBU15" s="342"/>
      <c r="OBV15" s="343"/>
      <c r="OBW15" s="343"/>
      <c r="OBX15" s="344"/>
      <c r="OBY15" s="344"/>
      <c r="OBZ15" s="344"/>
      <c r="OCA15" s="342"/>
      <c r="OCB15" s="342"/>
      <c r="OCC15" s="342"/>
      <c r="OCD15" s="343"/>
      <c r="OCE15" s="343"/>
      <c r="OCF15" s="344"/>
      <c r="OCG15" s="344"/>
      <c r="OCH15" s="344"/>
      <c r="OCI15" s="342"/>
      <c r="OCJ15" s="342"/>
      <c r="OCK15" s="342"/>
      <c r="OCL15" s="343"/>
      <c r="OCM15" s="343"/>
      <c r="OCN15" s="344"/>
      <c r="OCO15" s="344"/>
      <c r="OCP15" s="344"/>
      <c r="OCQ15" s="342"/>
      <c r="OCR15" s="342"/>
      <c r="OCS15" s="342"/>
      <c r="OCT15" s="343"/>
      <c r="OCU15" s="343"/>
      <c r="OCV15" s="344"/>
      <c r="OCW15" s="344"/>
      <c r="OCX15" s="344"/>
      <c r="OCY15" s="342"/>
      <c r="OCZ15" s="342"/>
      <c r="ODA15" s="342"/>
      <c r="ODB15" s="343"/>
      <c r="ODC15" s="343"/>
      <c r="ODD15" s="344"/>
      <c r="ODE15" s="344"/>
      <c r="ODF15" s="344"/>
      <c r="ODG15" s="342"/>
      <c r="ODH15" s="342"/>
      <c r="ODI15" s="342"/>
      <c r="ODJ15" s="343"/>
      <c r="ODK15" s="343"/>
      <c r="ODL15" s="344"/>
      <c r="ODM15" s="344"/>
      <c r="ODN15" s="344"/>
      <c r="ODO15" s="342"/>
      <c r="ODP15" s="342"/>
      <c r="ODQ15" s="342"/>
      <c r="ODR15" s="343"/>
      <c r="ODS15" s="343"/>
      <c r="ODT15" s="344"/>
      <c r="ODU15" s="344"/>
      <c r="ODV15" s="344"/>
      <c r="ODW15" s="342"/>
      <c r="ODX15" s="342"/>
      <c r="ODY15" s="342"/>
      <c r="ODZ15" s="343"/>
      <c r="OEA15" s="343"/>
      <c r="OEB15" s="344"/>
      <c r="OEC15" s="344"/>
      <c r="OED15" s="344"/>
      <c r="OEE15" s="342"/>
      <c r="OEF15" s="342"/>
      <c r="OEG15" s="342"/>
      <c r="OEH15" s="343"/>
      <c r="OEI15" s="343"/>
      <c r="OEJ15" s="344"/>
      <c r="OEK15" s="344"/>
      <c r="OEL15" s="344"/>
      <c r="OEM15" s="342"/>
      <c r="OEN15" s="342"/>
      <c r="OEO15" s="342"/>
      <c r="OEP15" s="343"/>
      <c r="OEQ15" s="343"/>
      <c r="OER15" s="344"/>
      <c r="OES15" s="344"/>
      <c r="OET15" s="344"/>
      <c r="OEU15" s="342"/>
      <c r="OEV15" s="342"/>
      <c r="OEW15" s="342"/>
      <c r="OEX15" s="343"/>
      <c r="OEY15" s="343"/>
      <c r="OEZ15" s="344"/>
      <c r="OFA15" s="344"/>
      <c r="OFB15" s="344"/>
      <c r="OFC15" s="342"/>
      <c r="OFD15" s="342"/>
      <c r="OFE15" s="342"/>
      <c r="OFF15" s="343"/>
      <c r="OFG15" s="343"/>
      <c r="OFH15" s="344"/>
      <c r="OFI15" s="344"/>
      <c r="OFJ15" s="344"/>
      <c r="OFK15" s="342"/>
      <c r="OFL15" s="342"/>
      <c r="OFM15" s="342"/>
      <c r="OFN15" s="343"/>
      <c r="OFO15" s="343"/>
      <c r="OFP15" s="344"/>
      <c r="OFQ15" s="344"/>
      <c r="OFR15" s="344"/>
      <c r="OFS15" s="342"/>
      <c r="OFT15" s="342"/>
      <c r="OFU15" s="342"/>
      <c r="OFV15" s="343"/>
      <c r="OFW15" s="343"/>
      <c r="OFX15" s="344"/>
      <c r="OFY15" s="344"/>
      <c r="OFZ15" s="344"/>
      <c r="OGA15" s="342"/>
      <c r="OGB15" s="342"/>
      <c r="OGC15" s="342"/>
      <c r="OGD15" s="343"/>
      <c r="OGE15" s="343"/>
      <c r="OGF15" s="344"/>
      <c r="OGG15" s="344"/>
      <c r="OGH15" s="344"/>
      <c r="OGI15" s="342"/>
      <c r="OGJ15" s="342"/>
      <c r="OGK15" s="342"/>
      <c r="OGL15" s="343"/>
      <c r="OGM15" s="343"/>
      <c r="OGN15" s="344"/>
      <c r="OGO15" s="344"/>
      <c r="OGP15" s="344"/>
      <c r="OGQ15" s="342"/>
      <c r="OGR15" s="342"/>
      <c r="OGS15" s="342"/>
      <c r="OGT15" s="343"/>
      <c r="OGU15" s="343"/>
      <c r="OGV15" s="344"/>
      <c r="OGW15" s="344"/>
      <c r="OGX15" s="344"/>
      <c r="OGY15" s="342"/>
      <c r="OGZ15" s="342"/>
      <c r="OHA15" s="342"/>
      <c r="OHB15" s="343"/>
      <c r="OHC15" s="343"/>
      <c r="OHD15" s="344"/>
      <c r="OHE15" s="344"/>
      <c r="OHF15" s="344"/>
      <c r="OHG15" s="342"/>
      <c r="OHH15" s="342"/>
      <c r="OHI15" s="342"/>
      <c r="OHJ15" s="343"/>
      <c r="OHK15" s="343"/>
      <c r="OHL15" s="344"/>
      <c r="OHM15" s="344"/>
      <c r="OHN15" s="344"/>
      <c r="OHO15" s="342"/>
      <c r="OHP15" s="342"/>
      <c r="OHQ15" s="342"/>
      <c r="OHR15" s="343"/>
      <c r="OHS15" s="343"/>
      <c r="OHT15" s="344"/>
      <c r="OHU15" s="344"/>
      <c r="OHV15" s="344"/>
      <c r="OHW15" s="342"/>
      <c r="OHX15" s="342"/>
      <c r="OHY15" s="342"/>
      <c r="OHZ15" s="343"/>
      <c r="OIA15" s="343"/>
      <c r="OIB15" s="344"/>
      <c r="OIC15" s="344"/>
      <c r="OID15" s="344"/>
      <c r="OIE15" s="342"/>
      <c r="OIF15" s="342"/>
      <c r="OIG15" s="342"/>
      <c r="OIH15" s="343"/>
      <c r="OII15" s="343"/>
      <c r="OIJ15" s="344"/>
      <c r="OIK15" s="344"/>
      <c r="OIL15" s="344"/>
      <c r="OIM15" s="342"/>
      <c r="OIN15" s="342"/>
      <c r="OIO15" s="342"/>
      <c r="OIP15" s="343"/>
      <c r="OIQ15" s="343"/>
      <c r="OIR15" s="344"/>
      <c r="OIS15" s="344"/>
      <c r="OIT15" s="344"/>
      <c r="OIU15" s="342"/>
      <c r="OIV15" s="342"/>
      <c r="OIW15" s="342"/>
      <c r="OIX15" s="343"/>
      <c r="OIY15" s="343"/>
      <c r="OIZ15" s="344"/>
      <c r="OJA15" s="344"/>
      <c r="OJB15" s="344"/>
      <c r="OJC15" s="342"/>
      <c r="OJD15" s="342"/>
      <c r="OJE15" s="342"/>
      <c r="OJF15" s="343"/>
      <c r="OJG15" s="343"/>
      <c r="OJH15" s="344"/>
      <c r="OJI15" s="344"/>
      <c r="OJJ15" s="344"/>
      <c r="OJK15" s="342"/>
      <c r="OJL15" s="342"/>
      <c r="OJM15" s="342"/>
      <c r="OJN15" s="343"/>
      <c r="OJO15" s="343"/>
      <c r="OJP15" s="344"/>
      <c r="OJQ15" s="344"/>
      <c r="OJR15" s="344"/>
      <c r="OJS15" s="342"/>
      <c r="OJT15" s="342"/>
      <c r="OJU15" s="342"/>
      <c r="OJV15" s="343"/>
      <c r="OJW15" s="343"/>
      <c r="OJX15" s="344"/>
      <c r="OJY15" s="344"/>
      <c r="OJZ15" s="344"/>
      <c r="OKA15" s="342"/>
      <c r="OKB15" s="342"/>
      <c r="OKC15" s="342"/>
      <c r="OKD15" s="343"/>
      <c r="OKE15" s="343"/>
      <c r="OKF15" s="344"/>
      <c r="OKG15" s="344"/>
      <c r="OKH15" s="344"/>
      <c r="OKI15" s="342"/>
      <c r="OKJ15" s="342"/>
      <c r="OKK15" s="342"/>
      <c r="OKL15" s="343"/>
      <c r="OKM15" s="343"/>
      <c r="OKN15" s="344"/>
      <c r="OKO15" s="344"/>
      <c r="OKP15" s="344"/>
      <c r="OKQ15" s="342"/>
      <c r="OKR15" s="342"/>
      <c r="OKS15" s="342"/>
      <c r="OKT15" s="343"/>
      <c r="OKU15" s="343"/>
      <c r="OKV15" s="344"/>
      <c r="OKW15" s="344"/>
      <c r="OKX15" s="344"/>
      <c r="OKY15" s="342"/>
      <c r="OKZ15" s="342"/>
      <c r="OLA15" s="342"/>
      <c r="OLB15" s="343"/>
      <c r="OLC15" s="343"/>
      <c r="OLD15" s="344"/>
      <c r="OLE15" s="344"/>
      <c r="OLF15" s="344"/>
      <c r="OLG15" s="342"/>
      <c r="OLH15" s="342"/>
      <c r="OLI15" s="342"/>
      <c r="OLJ15" s="343"/>
      <c r="OLK15" s="343"/>
      <c r="OLL15" s="344"/>
      <c r="OLM15" s="344"/>
      <c r="OLN15" s="344"/>
      <c r="OLO15" s="342"/>
      <c r="OLP15" s="342"/>
      <c r="OLQ15" s="342"/>
      <c r="OLR15" s="343"/>
      <c r="OLS15" s="343"/>
      <c r="OLT15" s="344"/>
      <c r="OLU15" s="344"/>
      <c r="OLV15" s="344"/>
      <c r="OLW15" s="342"/>
      <c r="OLX15" s="342"/>
      <c r="OLY15" s="342"/>
      <c r="OLZ15" s="343"/>
      <c r="OMA15" s="343"/>
      <c r="OMB15" s="344"/>
      <c r="OMC15" s="344"/>
      <c r="OMD15" s="344"/>
      <c r="OME15" s="342"/>
      <c r="OMF15" s="342"/>
      <c r="OMG15" s="342"/>
      <c r="OMH15" s="343"/>
      <c r="OMI15" s="343"/>
      <c r="OMJ15" s="344"/>
      <c r="OMK15" s="344"/>
      <c r="OML15" s="344"/>
      <c r="OMM15" s="342"/>
      <c r="OMN15" s="342"/>
      <c r="OMO15" s="342"/>
      <c r="OMP15" s="343"/>
      <c r="OMQ15" s="343"/>
      <c r="OMR15" s="344"/>
      <c r="OMS15" s="344"/>
      <c r="OMT15" s="344"/>
      <c r="OMU15" s="342"/>
      <c r="OMV15" s="342"/>
      <c r="OMW15" s="342"/>
      <c r="OMX15" s="343"/>
      <c r="OMY15" s="343"/>
      <c r="OMZ15" s="344"/>
      <c r="ONA15" s="344"/>
      <c r="ONB15" s="344"/>
      <c r="ONC15" s="342"/>
      <c r="OND15" s="342"/>
      <c r="ONE15" s="342"/>
      <c r="ONF15" s="343"/>
      <c r="ONG15" s="343"/>
      <c r="ONH15" s="344"/>
      <c r="ONI15" s="344"/>
      <c r="ONJ15" s="344"/>
      <c r="ONK15" s="342"/>
      <c r="ONL15" s="342"/>
      <c r="ONM15" s="342"/>
      <c r="ONN15" s="343"/>
      <c r="ONO15" s="343"/>
      <c r="ONP15" s="344"/>
      <c r="ONQ15" s="344"/>
      <c r="ONR15" s="344"/>
      <c r="ONS15" s="342"/>
      <c r="ONT15" s="342"/>
      <c r="ONU15" s="342"/>
      <c r="ONV15" s="343"/>
      <c r="ONW15" s="343"/>
      <c r="ONX15" s="344"/>
      <c r="ONY15" s="344"/>
      <c r="ONZ15" s="344"/>
      <c r="OOA15" s="342"/>
      <c r="OOB15" s="342"/>
      <c r="OOC15" s="342"/>
      <c r="OOD15" s="343"/>
      <c r="OOE15" s="343"/>
      <c r="OOF15" s="344"/>
      <c r="OOG15" s="344"/>
      <c r="OOH15" s="344"/>
      <c r="OOI15" s="342"/>
      <c r="OOJ15" s="342"/>
      <c r="OOK15" s="342"/>
      <c r="OOL15" s="343"/>
      <c r="OOM15" s="343"/>
      <c r="OON15" s="344"/>
      <c r="OOO15" s="344"/>
      <c r="OOP15" s="344"/>
      <c r="OOQ15" s="342"/>
      <c r="OOR15" s="342"/>
      <c r="OOS15" s="342"/>
      <c r="OOT15" s="343"/>
      <c r="OOU15" s="343"/>
      <c r="OOV15" s="344"/>
      <c r="OOW15" s="344"/>
      <c r="OOX15" s="344"/>
      <c r="OOY15" s="342"/>
      <c r="OOZ15" s="342"/>
      <c r="OPA15" s="342"/>
      <c r="OPB15" s="343"/>
      <c r="OPC15" s="343"/>
      <c r="OPD15" s="344"/>
      <c r="OPE15" s="344"/>
      <c r="OPF15" s="344"/>
      <c r="OPG15" s="342"/>
      <c r="OPH15" s="342"/>
      <c r="OPI15" s="342"/>
      <c r="OPJ15" s="343"/>
      <c r="OPK15" s="343"/>
      <c r="OPL15" s="344"/>
      <c r="OPM15" s="344"/>
      <c r="OPN15" s="344"/>
      <c r="OPO15" s="342"/>
      <c r="OPP15" s="342"/>
      <c r="OPQ15" s="342"/>
      <c r="OPR15" s="343"/>
      <c r="OPS15" s="343"/>
      <c r="OPT15" s="344"/>
      <c r="OPU15" s="344"/>
      <c r="OPV15" s="344"/>
      <c r="OPW15" s="342"/>
      <c r="OPX15" s="342"/>
      <c r="OPY15" s="342"/>
      <c r="OPZ15" s="343"/>
      <c r="OQA15" s="343"/>
      <c r="OQB15" s="344"/>
      <c r="OQC15" s="344"/>
      <c r="OQD15" s="344"/>
      <c r="OQE15" s="342"/>
      <c r="OQF15" s="342"/>
      <c r="OQG15" s="342"/>
      <c r="OQH15" s="343"/>
      <c r="OQI15" s="343"/>
      <c r="OQJ15" s="344"/>
      <c r="OQK15" s="344"/>
      <c r="OQL15" s="344"/>
      <c r="OQM15" s="342"/>
      <c r="OQN15" s="342"/>
      <c r="OQO15" s="342"/>
      <c r="OQP15" s="343"/>
      <c r="OQQ15" s="343"/>
      <c r="OQR15" s="344"/>
      <c r="OQS15" s="344"/>
      <c r="OQT15" s="344"/>
      <c r="OQU15" s="342"/>
      <c r="OQV15" s="342"/>
      <c r="OQW15" s="342"/>
      <c r="OQX15" s="343"/>
      <c r="OQY15" s="343"/>
      <c r="OQZ15" s="344"/>
      <c r="ORA15" s="344"/>
      <c r="ORB15" s="344"/>
      <c r="ORC15" s="342"/>
      <c r="ORD15" s="342"/>
      <c r="ORE15" s="342"/>
      <c r="ORF15" s="343"/>
      <c r="ORG15" s="343"/>
      <c r="ORH15" s="344"/>
      <c r="ORI15" s="344"/>
      <c r="ORJ15" s="344"/>
      <c r="ORK15" s="342"/>
      <c r="ORL15" s="342"/>
      <c r="ORM15" s="342"/>
      <c r="ORN15" s="343"/>
      <c r="ORO15" s="343"/>
      <c r="ORP15" s="344"/>
      <c r="ORQ15" s="344"/>
      <c r="ORR15" s="344"/>
      <c r="ORS15" s="342"/>
      <c r="ORT15" s="342"/>
      <c r="ORU15" s="342"/>
      <c r="ORV15" s="343"/>
      <c r="ORW15" s="343"/>
      <c r="ORX15" s="344"/>
      <c r="ORY15" s="344"/>
      <c r="ORZ15" s="344"/>
      <c r="OSA15" s="342"/>
      <c r="OSB15" s="342"/>
      <c r="OSC15" s="342"/>
      <c r="OSD15" s="343"/>
      <c r="OSE15" s="343"/>
      <c r="OSF15" s="344"/>
      <c r="OSG15" s="344"/>
      <c r="OSH15" s="344"/>
      <c r="OSI15" s="342"/>
      <c r="OSJ15" s="342"/>
      <c r="OSK15" s="342"/>
      <c r="OSL15" s="343"/>
      <c r="OSM15" s="343"/>
      <c r="OSN15" s="344"/>
      <c r="OSO15" s="344"/>
      <c r="OSP15" s="344"/>
      <c r="OSQ15" s="342"/>
      <c r="OSR15" s="342"/>
      <c r="OSS15" s="342"/>
      <c r="OST15" s="343"/>
      <c r="OSU15" s="343"/>
      <c r="OSV15" s="344"/>
      <c r="OSW15" s="344"/>
      <c r="OSX15" s="344"/>
      <c r="OSY15" s="342"/>
      <c r="OSZ15" s="342"/>
      <c r="OTA15" s="342"/>
      <c r="OTB15" s="343"/>
      <c r="OTC15" s="343"/>
      <c r="OTD15" s="344"/>
      <c r="OTE15" s="344"/>
      <c r="OTF15" s="344"/>
      <c r="OTG15" s="342"/>
      <c r="OTH15" s="342"/>
      <c r="OTI15" s="342"/>
      <c r="OTJ15" s="343"/>
      <c r="OTK15" s="343"/>
      <c r="OTL15" s="344"/>
      <c r="OTM15" s="344"/>
      <c r="OTN15" s="344"/>
      <c r="OTO15" s="342"/>
      <c r="OTP15" s="342"/>
      <c r="OTQ15" s="342"/>
      <c r="OTR15" s="343"/>
      <c r="OTS15" s="343"/>
      <c r="OTT15" s="344"/>
      <c r="OTU15" s="344"/>
      <c r="OTV15" s="344"/>
      <c r="OTW15" s="342"/>
      <c r="OTX15" s="342"/>
      <c r="OTY15" s="342"/>
      <c r="OTZ15" s="343"/>
      <c r="OUA15" s="343"/>
      <c r="OUB15" s="344"/>
      <c r="OUC15" s="344"/>
      <c r="OUD15" s="344"/>
      <c r="OUE15" s="342"/>
      <c r="OUF15" s="342"/>
      <c r="OUG15" s="342"/>
      <c r="OUH15" s="343"/>
      <c r="OUI15" s="343"/>
      <c r="OUJ15" s="344"/>
      <c r="OUK15" s="344"/>
      <c r="OUL15" s="344"/>
      <c r="OUM15" s="342"/>
      <c r="OUN15" s="342"/>
      <c r="OUO15" s="342"/>
      <c r="OUP15" s="343"/>
      <c r="OUQ15" s="343"/>
      <c r="OUR15" s="344"/>
      <c r="OUS15" s="344"/>
      <c r="OUT15" s="344"/>
      <c r="OUU15" s="342"/>
      <c r="OUV15" s="342"/>
      <c r="OUW15" s="342"/>
      <c r="OUX15" s="343"/>
      <c r="OUY15" s="343"/>
      <c r="OUZ15" s="344"/>
      <c r="OVA15" s="344"/>
      <c r="OVB15" s="344"/>
      <c r="OVC15" s="342"/>
      <c r="OVD15" s="342"/>
      <c r="OVE15" s="342"/>
      <c r="OVF15" s="343"/>
      <c r="OVG15" s="343"/>
      <c r="OVH15" s="344"/>
      <c r="OVI15" s="344"/>
      <c r="OVJ15" s="344"/>
      <c r="OVK15" s="342"/>
      <c r="OVL15" s="342"/>
      <c r="OVM15" s="342"/>
      <c r="OVN15" s="343"/>
      <c r="OVO15" s="343"/>
      <c r="OVP15" s="344"/>
      <c r="OVQ15" s="344"/>
      <c r="OVR15" s="344"/>
      <c r="OVS15" s="342"/>
      <c r="OVT15" s="342"/>
      <c r="OVU15" s="342"/>
      <c r="OVV15" s="343"/>
      <c r="OVW15" s="343"/>
      <c r="OVX15" s="344"/>
      <c r="OVY15" s="344"/>
      <c r="OVZ15" s="344"/>
      <c r="OWA15" s="342"/>
      <c r="OWB15" s="342"/>
      <c r="OWC15" s="342"/>
      <c r="OWD15" s="343"/>
      <c r="OWE15" s="343"/>
      <c r="OWF15" s="344"/>
      <c r="OWG15" s="344"/>
      <c r="OWH15" s="344"/>
      <c r="OWI15" s="342"/>
      <c r="OWJ15" s="342"/>
      <c r="OWK15" s="342"/>
      <c r="OWL15" s="343"/>
      <c r="OWM15" s="343"/>
      <c r="OWN15" s="344"/>
      <c r="OWO15" s="344"/>
      <c r="OWP15" s="344"/>
      <c r="OWQ15" s="342"/>
      <c r="OWR15" s="342"/>
      <c r="OWS15" s="342"/>
      <c r="OWT15" s="343"/>
      <c r="OWU15" s="343"/>
      <c r="OWV15" s="344"/>
      <c r="OWW15" s="344"/>
      <c r="OWX15" s="344"/>
      <c r="OWY15" s="342"/>
      <c r="OWZ15" s="342"/>
      <c r="OXA15" s="342"/>
      <c r="OXB15" s="343"/>
      <c r="OXC15" s="343"/>
      <c r="OXD15" s="344"/>
      <c r="OXE15" s="344"/>
      <c r="OXF15" s="344"/>
      <c r="OXG15" s="342"/>
      <c r="OXH15" s="342"/>
      <c r="OXI15" s="342"/>
      <c r="OXJ15" s="343"/>
      <c r="OXK15" s="343"/>
      <c r="OXL15" s="344"/>
      <c r="OXM15" s="344"/>
      <c r="OXN15" s="344"/>
      <c r="OXO15" s="342"/>
      <c r="OXP15" s="342"/>
      <c r="OXQ15" s="342"/>
      <c r="OXR15" s="343"/>
      <c r="OXS15" s="343"/>
      <c r="OXT15" s="344"/>
      <c r="OXU15" s="344"/>
      <c r="OXV15" s="344"/>
      <c r="OXW15" s="342"/>
      <c r="OXX15" s="342"/>
      <c r="OXY15" s="342"/>
      <c r="OXZ15" s="343"/>
      <c r="OYA15" s="343"/>
      <c r="OYB15" s="344"/>
      <c r="OYC15" s="344"/>
      <c r="OYD15" s="344"/>
      <c r="OYE15" s="342"/>
      <c r="OYF15" s="342"/>
      <c r="OYG15" s="342"/>
      <c r="OYH15" s="343"/>
      <c r="OYI15" s="343"/>
      <c r="OYJ15" s="344"/>
      <c r="OYK15" s="344"/>
      <c r="OYL15" s="344"/>
      <c r="OYM15" s="342"/>
      <c r="OYN15" s="342"/>
      <c r="OYO15" s="342"/>
      <c r="OYP15" s="343"/>
      <c r="OYQ15" s="343"/>
      <c r="OYR15" s="344"/>
      <c r="OYS15" s="344"/>
      <c r="OYT15" s="344"/>
      <c r="OYU15" s="342"/>
      <c r="OYV15" s="342"/>
      <c r="OYW15" s="342"/>
      <c r="OYX15" s="343"/>
      <c r="OYY15" s="343"/>
      <c r="OYZ15" s="344"/>
      <c r="OZA15" s="344"/>
      <c r="OZB15" s="344"/>
      <c r="OZC15" s="342"/>
      <c r="OZD15" s="342"/>
      <c r="OZE15" s="342"/>
      <c r="OZF15" s="343"/>
      <c r="OZG15" s="343"/>
      <c r="OZH15" s="344"/>
      <c r="OZI15" s="344"/>
      <c r="OZJ15" s="344"/>
      <c r="OZK15" s="342"/>
      <c r="OZL15" s="342"/>
      <c r="OZM15" s="342"/>
      <c r="OZN15" s="343"/>
      <c r="OZO15" s="343"/>
      <c r="OZP15" s="344"/>
      <c r="OZQ15" s="344"/>
      <c r="OZR15" s="344"/>
      <c r="OZS15" s="342"/>
      <c r="OZT15" s="342"/>
      <c r="OZU15" s="342"/>
      <c r="OZV15" s="343"/>
      <c r="OZW15" s="343"/>
      <c r="OZX15" s="344"/>
      <c r="OZY15" s="344"/>
      <c r="OZZ15" s="344"/>
      <c r="PAA15" s="342"/>
      <c r="PAB15" s="342"/>
      <c r="PAC15" s="342"/>
      <c r="PAD15" s="343"/>
      <c r="PAE15" s="343"/>
      <c r="PAF15" s="344"/>
      <c r="PAG15" s="344"/>
      <c r="PAH15" s="344"/>
      <c r="PAI15" s="342"/>
      <c r="PAJ15" s="342"/>
      <c r="PAK15" s="342"/>
      <c r="PAL15" s="343"/>
      <c r="PAM15" s="343"/>
      <c r="PAN15" s="344"/>
      <c r="PAO15" s="344"/>
      <c r="PAP15" s="344"/>
      <c r="PAQ15" s="342"/>
      <c r="PAR15" s="342"/>
      <c r="PAS15" s="342"/>
      <c r="PAT15" s="343"/>
      <c r="PAU15" s="343"/>
      <c r="PAV15" s="344"/>
      <c r="PAW15" s="344"/>
      <c r="PAX15" s="344"/>
      <c r="PAY15" s="342"/>
      <c r="PAZ15" s="342"/>
      <c r="PBA15" s="342"/>
      <c r="PBB15" s="343"/>
      <c r="PBC15" s="343"/>
      <c r="PBD15" s="344"/>
      <c r="PBE15" s="344"/>
      <c r="PBF15" s="344"/>
      <c r="PBG15" s="342"/>
      <c r="PBH15" s="342"/>
      <c r="PBI15" s="342"/>
      <c r="PBJ15" s="343"/>
      <c r="PBK15" s="343"/>
      <c r="PBL15" s="344"/>
      <c r="PBM15" s="344"/>
      <c r="PBN15" s="344"/>
      <c r="PBO15" s="342"/>
      <c r="PBP15" s="342"/>
      <c r="PBQ15" s="342"/>
      <c r="PBR15" s="343"/>
      <c r="PBS15" s="343"/>
      <c r="PBT15" s="344"/>
      <c r="PBU15" s="344"/>
      <c r="PBV15" s="344"/>
      <c r="PBW15" s="342"/>
      <c r="PBX15" s="342"/>
      <c r="PBY15" s="342"/>
      <c r="PBZ15" s="343"/>
      <c r="PCA15" s="343"/>
      <c r="PCB15" s="344"/>
      <c r="PCC15" s="344"/>
      <c r="PCD15" s="344"/>
      <c r="PCE15" s="342"/>
      <c r="PCF15" s="342"/>
      <c r="PCG15" s="342"/>
      <c r="PCH15" s="343"/>
      <c r="PCI15" s="343"/>
      <c r="PCJ15" s="344"/>
      <c r="PCK15" s="344"/>
      <c r="PCL15" s="344"/>
      <c r="PCM15" s="342"/>
      <c r="PCN15" s="342"/>
      <c r="PCO15" s="342"/>
      <c r="PCP15" s="343"/>
      <c r="PCQ15" s="343"/>
      <c r="PCR15" s="344"/>
      <c r="PCS15" s="344"/>
      <c r="PCT15" s="344"/>
      <c r="PCU15" s="342"/>
      <c r="PCV15" s="342"/>
      <c r="PCW15" s="342"/>
      <c r="PCX15" s="343"/>
      <c r="PCY15" s="343"/>
      <c r="PCZ15" s="344"/>
      <c r="PDA15" s="344"/>
      <c r="PDB15" s="344"/>
      <c r="PDC15" s="342"/>
      <c r="PDD15" s="342"/>
      <c r="PDE15" s="342"/>
      <c r="PDF15" s="343"/>
      <c r="PDG15" s="343"/>
      <c r="PDH15" s="344"/>
      <c r="PDI15" s="344"/>
      <c r="PDJ15" s="344"/>
      <c r="PDK15" s="342"/>
      <c r="PDL15" s="342"/>
      <c r="PDM15" s="342"/>
      <c r="PDN15" s="343"/>
      <c r="PDO15" s="343"/>
      <c r="PDP15" s="344"/>
      <c r="PDQ15" s="344"/>
      <c r="PDR15" s="344"/>
      <c r="PDS15" s="342"/>
      <c r="PDT15" s="342"/>
      <c r="PDU15" s="342"/>
      <c r="PDV15" s="343"/>
      <c r="PDW15" s="343"/>
      <c r="PDX15" s="344"/>
      <c r="PDY15" s="344"/>
      <c r="PDZ15" s="344"/>
      <c r="PEA15" s="342"/>
      <c r="PEB15" s="342"/>
      <c r="PEC15" s="342"/>
      <c r="PED15" s="343"/>
      <c r="PEE15" s="343"/>
      <c r="PEF15" s="344"/>
      <c r="PEG15" s="344"/>
      <c r="PEH15" s="344"/>
      <c r="PEI15" s="342"/>
      <c r="PEJ15" s="342"/>
      <c r="PEK15" s="342"/>
      <c r="PEL15" s="343"/>
      <c r="PEM15" s="343"/>
      <c r="PEN15" s="344"/>
      <c r="PEO15" s="344"/>
      <c r="PEP15" s="344"/>
      <c r="PEQ15" s="342"/>
      <c r="PER15" s="342"/>
      <c r="PES15" s="342"/>
      <c r="PET15" s="343"/>
      <c r="PEU15" s="343"/>
      <c r="PEV15" s="344"/>
      <c r="PEW15" s="344"/>
      <c r="PEX15" s="344"/>
      <c r="PEY15" s="342"/>
      <c r="PEZ15" s="342"/>
      <c r="PFA15" s="342"/>
      <c r="PFB15" s="343"/>
      <c r="PFC15" s="343"/>
      <c r="PFD15" s="344"/>
      <c r="PFE15" s="344"/>
      <c r="PFF15" s="344"/>
      <c r="PFG15" s="342"/>
      <c r="PFH15" s="342"/>
      <c r="PFI15" s="342"/>
      <c r="PFJ15" s="343"/>
      <c r="PFK15" s="343"/>
      <c r="PFL15" s="344"/>
      <c r="PFM15" s="344"/>
      <c r="PFN15" s="344"/>
      <c r="PFO15" s="342"/>
      <c r="PFP15" s="342"/>
      <c r="PFQ15" s="342"/>
      <c r="PFR15" s="343"/>
      <c r="PFS15" s="343"/>
      <c r="PFT15" s="344"/>
      <c r="PFU15" s="344"/>
      <c r="PFV15" s="344"/>
      <c r="PFW15" s="342"/>
      <c r="PFX15" s="342"/>
      <c r="PFY15" s="342"/>
      <c r="PFZ15" s="343"/>
      <c r="PGA15" s="343"/>
      <c r="PGB15" s="344"/>
      <c r="PGC15" s="344"/>
      <c r="PGD15" s="344"/>
      <c r="PGE15" s="342"/>
      <c r="PGF15" s="342"/>
      <c r="PGG15" s="342"/>
      <c r="PGH15" s="343"/>
      <c r="PGI15" s="343"/>
      <c r="PGJ15" s="344"/>
      <c r="PGK15" s="344"/>
      <c r="PGL15" s="344"/>
      <c r="PGM15" s="342"/>
      <c r="PGN15" s="342"/>
      <c r="PGO15" s="342"/>
      <c r="PGP15" s="343"/>
      <c r="PGQ15" s="343"/>
      <c r="PGR15" s="344"/>
      <c r="PGS15" s="344"/>
      <c r="PGT15" s="344"/>
      <c r="PGU15" s="342"/>
      <c r="PGV15" s="342"/>
      <c r="PGW15" s="342"/>
      <c r="PGX15" s="343"/>
      <c r="PGY15" s="343"/>
      <c r="PGZ15" s="344"/>
      <c r="PHA15" s="344"/>
      <c r="PHB15" s="344"/>
      <c r="PHC15" s="342"/>
      <c r="PHD15" s="342"/>
      <c r="PHE15" s="342"/>
      <c r="PHF15" s="343"/>
      <c r="PHG15" s="343"/>
      <c r="PHH15" s="344"/>
      <c r="PHI15" s="344"/>
      <c r="PHJ15" s="344"/>
      <c r="PHK15" s="342"/>
      <c r="PHL15" s="342"/>
      <c r="PHM15" s="342"/>
      <c r="PHN15" s="343"/>
      <c r="PHO15" s="343"/>
      <c r="PHP15" s="344"/>
      <c r="PHQ15" s="344"/>
      <c r="PHR15" s="344"/>
      <c r="PHS15" s="342"/>
      <c r="PHT15" s="342"/>
      <c r="PHU15" s="342"/>
      <c r="PHV15" s="343"/>
      <c r="PHW15" s="343"/>
      <c r="PHX15" s="344"/>
      <c r="PHY15" s="344"/>
      <c r="PHZ15" s="344"/>
      <c r="PIA15" s="342"/>
      <c r="PIB15" s="342"/>
      <c r="PIC15" s="342"/>
      <c r="PID15" s="343"/>
      <c r="PIE15" s="343"/>
      <c r="PIF15" s="344"/>
      <c r="PIG15" s="344"/>
      <c r="PIH15" s="344"/>
      <c r="PII15" s="342"/>
      <c r="PIJ15" s="342"/>
      <c r="PIK15" s="342"/>
      <c r="PIL15" s="343"/>
      <c r="PIM15" s="343"/>
      <c r="PIN15" s="344"/>
      <c r="PIO15" s="344"/>
      <c r="PIP15" s="344"/>
      <c r="PIQ15" s="342"/>
      <c r="PIR15" s="342"/>
      <c r="PIS15" s="342"/>
      <c r="PIT15" s="343"/>
      <c r="PIU15" s="343"/>
      <c r="PIV15" s="344"/>
      <c r="PIW15" s="344"/>
      <c r="PIX15" s="344"/>
      <c r="PIY15" s="342"/>
      <c r="PIZ15" s="342"/>
      <c r="PJA15" s="342"/>
      <c r="PJB15" s="343"/>
      <c r="PJC15" s="343"/>
      <c r="PJD15" s="344"/>
      <c r="PJE15" s="344"/>
      <c r="PJF15" s="344"/>
      <c r="PJG15" s="342"/>
      <c r="PJH15" s="342"/>
      <c r="PJI15" s="342"/>
      <c r="PJJ15" s="343"/>
      <c r="PJK15" s="343"/>
      <c r="PJL15" s="344"/>
      <c r="PJM15" s="344"/>
      <c r="PJN15" s="344"/>
      <c r="PJO15" s="342"/>
      <c r="PJP15" s="342"/>
      <c r="PJQ15" s="342"/>
      <c r="PJR15" s="343"/>
      <c r="PJS15" s="343"/>
      <c r="PJT15" s="344"/>
      <c r="PJU15" s="344"/>
      <c r="PJV15" s="344"/>
      <c r="PJW15" s="342"/>
      <c r="PJX15" s="342"/>
      <c r="PJY15" s="342"/>
      <c r="PJZ15" s="343"/>
      <c r="PKA15" s="343"/>
      <c r="PKB15" s="344"/>
      <c r="PKC15" s="344"/>
      <c r="PKD15" s="344"/>
      <c r="PKE15" s="342"/>
      <c r="PKF15" s="342"/>
      <c r="PKG15" s="342"/>
      <c r="PKH15" s="343"/>
      <c r="PKI15" s="343"/>
      <c r="PKJ15" s="344"/>
      <c r="PKK15" s="344"/>
      <c r="PKL15" s="344"/>
      <c r="PKM15" s="342"/>
      <c r="PKN15" s="342"/>
      <c r="PKO15" s="342"/>
      <c r="PKP15" s="343"/>
      <c r="PKQ15" s="343"/>
      <c r="PKR15" s="344"/>
      <c r="PKS15" s="344"/>
      <c r="PKT15" s="344"/>
      <c r="PKU15" s="342"/>
      <c r="PKV15" s="342"/>
      <c r="PKW15" s="342"/>
      <c r="PKX15" s="343"/>
      <c r="PKY15" s="343"/>
      <c r="PKZ15" s="344"/>
      <c r="PLA15" s="344"/>
      <c r="PLB15" s="344"/>
      <c r="PLC15" s="342"/>
      <c r="PLD15" s="342"/>
      <c r="PLE15" s="342"/>
      <c r="PLF15" s="343"/>
      <c r="PLG15" s="343"/>
      <c r="PLH15" s="344"/>
      <c r="PLI15" s="344"/>
      <c r="PLJ15" s="344"/>
      <c r="PLK15" s="342"/>
      <c r="PLL15" s="342"/>
      <c r="PLM15" s="342"/>
      <c r="PLN15" s="343"/>
      <c r="PLO15" s="343"/>
      <c r="PLP15" s="344"/>
      <c r="PLQ15" s="344"/>
      <c r="PLR15" s="344"/>
      <c r="PLS15" s="342"/>
      <c r="PLT15" s="342"/>
      <c r="PLU15" s="342"/>
      <c r="PLV15" s="343"/>
      <c r="PLW15" s="343"/>
      <c r="PLX15" s="344"/>
      <c r="PLY15" s="344"/>
      <c r="PLZ15" s="344"/>
      <c r="PMA15" s="342"/>
      <c r="PMB15" s="342"/>
      <c r="PMC15" s="342"/>
      <c r="PMD15" s="343"/>
      <c r="PME15" s="343"/>
      <c r="PMF15" s="344"/>
      <c r="PMG15" s="344"/>
      <c r="PMH15" s="344"/>
      <c r="PMI15" s="342"/>
      <c r="PMJ15" s="342"/>
      <c r="PMK15" s="342"/>
      <c r="PML15" s="343"/>
      <c r="PMM15" s="343"/>
      <c r="PMN15" s="344"/>
      <c r="PMO15" s="344"/>
      <c r="PMP15" s="344"/>
      <c r="PMQ15" s="342"/>
      <c r="PMR15" s="342"/>
      <c r="PMS15" s="342"/>
      <c r="PMT15" s="343"/>
      <c r="PMU15" s="343"/>
      <c r="PMV15" s="344"/>
      <c r="PMW15" s="344"/>
      <c r="PMX15" s="344"/>
      <c r="PMY15" s="342"/>
      <c r="PMZ15" s="342"/>
      <c r="PNA15" s="342"/>
      <c r="PNB15" s="343"/>
      <c r="PNC15" s="343"/>
      <c r="PND15" s="344"/>
      <c r="PNE15" s="344"/>
      <c r="PNF15" s="344"/>
      <c r="PNG15" s="342"/>
      <c r="PNH15" s="342"/>
      <c r="PNI15" s="342"/>
      <c r="PNJ15" s="343"/>
      <c r="PNK15" s="343"/>
      <c r="PNL15" s="344"/>
      <c r="PNM15" s="344"/>
      <c r="PNN15" s="344"/>
      <c r="PNO15" s="342"/>
      <c r="PNP15" s="342"/>
      <c r="PNQ15" s="342"/>
      <c r="PNR15" s="343"/>
      <c r="PNS15" s="343"/>
      <c r="PNT15" s="344"/>
      <c r="PNU15" s="344"/>
      <c r="PNV15" s="344"/>
      <c r="PNW15" s="342"/>
      <c r="PNX15" s="342"/>
      <c r="PNY15" s="342"/>
      <c r="PNZ15" s="343"/>
      <c r="POA15" s="343"/>
      <c r="POB15" s="344"/>
      <c r="POC15" s="344"/>
      <c r="POD15" s="344"/>
      <c r="POE15" s="342"/>
      <c r="POF15" s="342"/>
      <c r="POG15" s="342"/>
      <c r="POH15" s="343"/>
      <c r="POI15" s="343"/>
      <c r="POJ15" s="344"/>
      <c r="POK15" s="344"/>
      <c r="POL15" s="344"/>
      <c r="POM15" s="342"/>
      <c r="PON15" s="342"/>
      <c r="POO15" s="342"/>
      <c r="POP15" s="343"/>
      <c r="POQ15" s="343"/>
      <c r="POR15" s="344"/>
      <c r="POS15" s="344"/>
      <c r="POT15" s="344"/>
      <c r="POU15" s="342"/>
      <c r="POV15" s="342"/>
      <c r="POW15" s="342"/>
      <c r="POX15" s="343"/>
      <c r="POY15" s="343"/>
      <c r="POZ15" s="344"/>
      <c r="PPA15" s="344"/>
      <c r="PPB15" s="344"/>
      <c r="PPC15" s="342"/>
      <c r="PPD15" s="342"/>
      <c r="PPE15" s="342"/>
      <c r="PPF15" s="343"/>
      <c r="PPG15" s="343"/>
      <c r="PPH15" s="344"/>
      <c r="PPI15" s="344"/>
      <c r="PPJ15" s="344"/>
      <c r="PPK15" s="342"/>
      <c r="PPL15" s="342"/>
      <c r="PPM15" s="342"/>
      <c r="PPN15" s="343"/>
      <c r="PPO15" s="343"/>
      <c r="PPP15" s="344"/>
      <c r="PPQ15" s="344"/>
      <c r="PPR15" s="344"/>
      <c r="PPS15" s="342"/>
      <c r="PPT15" s="342"/>
      <c r="PPU15" s="342"/>
      <c r="PPV15" s="343"/>
      <c r="PPW15" s="343"/>
      <c r="PPX15" s="344"/>
      <c r="PPY15" s="344"/>
      <c r="PPZ15" s="344"/>
      <c r="PQA15" s="342"/>
      <c r="PQB15" s="342"/>
      <c r="PQC15" s="342"/>
      <c r="PQD15" s="343"/>
      <c r="PQE15" s="343"/>
      <c r="PQF15" s="344"/>
      <c r="PQG15" s="344"/>
      <c r="PQH15" s="344"/>
      <c r="PQI15" s="342"/>
      <c r="PQJ15" s="342"/>
      <c r="PQK15" s="342"/>
      <c r="PQL15" s="343"/>
      <c r="PQM15" s="343"/>
      <c r="PQN15" s="344"/>
      <c r="PQO15" s="344"/>
      <c r="PQP15" s="344"/>
      <c r="PQQ15" s="342"/>
      <c r="PQR15" s="342"/>
      <c r="PQS15" s="342"/>
      <c r="PQT15" s="343"/>
      <c r="PQU15" s="343"/>
      <c r="PQV15" s="344"/>
      <c r="PQW15" s="344"/>
      <c r="PQX15" s="344"/>
      <c r="PQY15" s="342"/>
      <c r="PQZ15" s="342"/>
      <c r="PRA15" s="342"/>
      <c r="PRB15" s="343"/>
      <c r="PRC15" s="343"/>
      <c r="PRD15" s="344"/>
      <c r="PRE15" s="344"/>
      <c r="PRF15" s="344"/>
      <c r="PRG15" s="342"/>
      <c r="PRH15" s="342"/>
      <c r="PRI15" s="342"/>
      <c r="PRJ15" s="343"/>
      <c r="PRK15" s="343"/>
      <c r="PRL15" s="344"/>
      <c r="PRM15" s="344"/>
      <c r="PRN15" s="344"/>
      <c r="PRO15" s="342"/>
      <c r="PRP15" s="342"/>
      <c r="PRQ15" s="342"/>
      <c r="PRR15" s="343"/>
      <c r="PRS15" s="343"/>
      <c r="PRT15" s="344"/>
      <c r="PRU15" s="344"/>
      <c r="PRV15" s="344"/>
      <c r="PRW15" s="342"/>
      <c r="PRX15" s="342"/>
      <c r="PRY15" s="342"/>
      <c r="PRZ15" s="343"/>
      <c r="PSA15" s="343"/>
      <c r="PSB15" s="344"/>
      <c r="PSC15" s="344"/>
      <c r="PSD15" s="344"/>
      <c r="PSE15" s="342"/>
      <c r="PSF15" s="342"/>
      <c r="PSG15" s="342"/>
      <c r="PSH15" s="343"/>
      <c r="PSI15" s="343"/>
      <c r="PSJ15" s="344"/>
      <c r="PSK15" s="344"/>
      <c r="PSL15" s="344"/>
      <c r="PSM15" s="342"/>
      <c r="PSN15" s="342"/>
      <c r="PSO15" s="342"/>
      <c r="PSP15" s="343"/>
      <c r="PSQ15" s="343"/>
      <c r="PSR15" s="344"/>
      <c r="PSS15" s="344"/>
      <c r="PST15" s="344"/>
      <c r="PSU15" s="342"/>
      <c r="PSV15" s="342"/>
      <c r="PSW15" s="342"/>
      <c r="PSX15" s="343"/>
      <c r="PSY15" s="343"/>
      <c r="PSZ15" s="344"/>
      <c r="PTA15" s="344"/>
      <c r="PTB15" s="344"/>
      <c r="PTC15" s="342"/>
      <c r="PTD15" s="342"/>
      <c r="PTE15" s="342"/>
      <c r="PTF15" s="343"/>
      <c r="PTG15" s="343"/>
      <c r="PTH15" s="344"/>
      <c r="PTI15" s="344"/>
      <c r="PTJ15" s="344"/>
      <c r="PTK15" s="342"/>
      <c r="PTL15" s="342"/>
      <c r="PTM15" s="342"/>
      <c r="PTN15" s="343"/>
      <c r="PTO15" s="343"/>
      <c r="PTP15" s="344"/>
      <c r="PTQ15" s="344"/>
      <c r="PTR15" s="344"/>
      <c r="PTS15" s="342"/>
      <c r="PTT15" s="342"/>
      <c r="PTU15" s="342"/>
      <c r="PTV15" s="343"/>
      <c r="PTW15" s="343"/>
      <c r="PTX15" s="344"/>
      <c r="PTY15" s="344"/>
      <c r="PTZ15" s="344"/>
      <c r="PUA15" s="342"/>
      <c r="PUB15" s="342"/>
      <c r="PUC15" s="342"/>
      <c r="PUD15" s="343"/>
      <c r="PUE15" s="343"/>
      <c r="PUF15" s="344"/>
      <c r="PUG15" s="344"/>
      <c r="PUH15" s="344"/>
      <c r="PUI15" s="342"/>
      <c r="PUJ15" s="342"/>
      <c r="PUK15" s="342"/>
      <c r="PUL15" s="343"/>
      <c r="PUM15" s="343"/>
      <c r="PUN15" s="344"/>
      <c r="PUO15" s="344"/>
      <c r="PUP15" s="344"/>
      <c r="PUQ15" s="342"/>
      <c r="PUR15" s="342"/>
      <c r="PUS15" s="342"/>
      <c r="PUT15" s="343"/>
      <c r="PUU15" s="343"/>
      <c r="PUV15" s="344"/>
      <c r="PUW15" s="344"/>
      <c r="PUX15" s="344"/>
      <c r="PUY15" s="342"/>
      <c r="PUZ15" s="342"/>
      <c r="PVA15" s="342"/>
      <c r="PVB15" s="343"/>
      <c r="PVC15" s="343"/>
      <c r="PVD15" s="344"/>
      <c r="PVE15" s="344"/>
      <c r="PVF15" s="344"/>
      <c r="PVG15" s="342"/>
      <c r="PVH15" s="342"/>
      <c r="PVI15" s="342"/>
      <c r="PVJ15" s="343"/>
      <c r="PVK15" s="343"/>
      <c r="PVL15" s="344"/>
      <c r="PVM15" s="344"/>
      <c r="PVN15" s="344"/>
      <c r="PVO15" s="342"/>
      <c r="PVP15" s="342"/>
      <c r="PVQ15" s="342"/>
      <c r="PVR15" s="343"/>
      <c r="PVS15" s="343"/>
      <c r="PVT15" s="344"/>
      <c r="PVU15" s="344"/>
      <c r="PVV15" s="344"/>
      <c r="PVW15" s="342"/>
      <c r="PVX15" s="342"/>
      <c r="PVY15" s="342"/>
      <c r="PVZ15" s="343"/>
      <c r="PWA15" s="343"/>
      <c r="PWB15" s="344"/>
      <c r="PWC15" s="344"/>
      <c r="PWD15" s="344"/>
      <c r="PWE15" s="342"/>
      <c r="PWF15" s="342"/>
      <c r="PWG15" s="342"/>
      <c r="PWH15" s="343"/>
      <c r="PWI15" s="343"/>
      <c r="PWJ15" s="344"/>
      <c r="PWK15" s="344"/>
      <c r="PWL15" s="344"/>
      <c r="PWM15" s="342"/>
      <c r="PWN15" s="342"/>
      <c r="PWO15" s="342"/>
      <c r="PWP15" s="343"/>
      <c r="PWQ15" s="343"/>
      <c r="PWR15" s="344"/>
      <c r="PWS15" s="344"/>
      <c r="PWT15" s="344"/>
      <c r="PWU15" s="342"/>
      <c r="PWV15" s="342"/>
      <c r="PWW15" s="342"/>
      <c r="PWX15" s="343"/>
      <c r="PWY15" s="343"/>
      <c r="PWZ15" s="344"/>
      <c r="PXA15" s="344"/>
      <c r="PXB15" s="344"/>
      <c r="PXC15" s="342"/>
      <c r="PXD15" s="342"/>
      <c r="PXE15" s="342"/>
      <c r="PXF15" s="343"/>
      <c r="PXG15" s="343"/>
      <c r="PXH15" s="344"/>
      <c r="PXI15" s="344"/>
      <c r="PXJ15" s="344"/>
      <c r="PXK15" s="342"/>
      <c r="PXL15" s="342"/>
      <c r="PXM15" s="342"/>
      <c r="PXN15" s="343"/>
      <c r="PXO15" s="343"/>
      <c r="PXP15" s="344"/>
      <c r="PXQ15" s="344"/>
      <c r="PXR15" s="344"/>
      <c r="PXS15" s="342"/>
      <c r="PXT15" s="342"/>
      <c r="PXU15" s="342"/>
      <c r="PXV15" s="343"/>
      <c r="PXW15" s="343"/>
      <c r="PXX15" s="344"/>
      <c r="PXY15" s="344"/>
      <c r="PXZ15" s="344"/>
      <c r="PYA15" s="342"/>
      <c r="PYB15" s="342"/>
      <c r="PYC15" s="342"/>
      <c r="PYD15" s="343"/>
      <c r="PYE15" s="343"/>
      <c r="PYF15" s="344"/>
      <c r="PYG15" s="344"/>
      <c r="PYH15" s="344"/>
      <c r="PYI15" s="342"/>
      <c r="PYJ15" s="342"/>
      <c r="PYK15" s="342"/>
      <c r="PYL15" s="343"/>
      <c r="PYM15" s="343"/>
      <c r="PYN15" s="344"/>
      <c r="PYO15" s="344"/>
      <c r="PYP15" s="344"/>
      <c r="PYQ15" s="342"/>
      <c r="PYR15" s="342"/>
      <c r="PYS15" s="342"/>
      <c r="PYT15" s="343"/>
      <c r="PYU15" s="343"/>
      <c r="PYV15" s="344"/>
      <c r="PYW15" s="344"/>
      <c r="PYX15" s="344"/>
      <c r="PYY15" s="342"/>
      <c r="PYZ15" s="342"/>
      <c r="PZA15" s="342"/>
      <c r="PZB15" s="343"/>
      <c r="PZC15" s="343"/>
      <c r="PZD15" s="344"/>
      <c r="PZE15" s="344"/>
      <c r="PZF15" s="344"/>
      <c r="PZG15" s="342"/>
      <c r="PZH15" s="342"/>
      <c r="PZI15" s="342"/>
      <c r="PZJ15" s="343"/>
      <c r="PZK15" s="343"/>
      <c r="PZL15" s="344"/>
      <c r="PZM15" s="344"/>
      <c r="PZN15" s="344"/>
      <c r="PZO15" s="342"/>
      <c r="PZP15" s="342"/>
      <c r="PZQ15" s="342"/>
      <c r="PZR15" s="343"/>
      <c r="PZS15" s="343"/>
      <c r="PZT15" s="344"/>
      <c r="PZU15" s="344"/>
      <c r="PZV15" s="344"/>
      <c r="PZW15" s="342"/>
      <c r="PZX15" s="342"/>
      <c r="PZY15" s="342"/>
      <c r="PZZ15" s="343"/>
      <c r="QAA15" s="343"/>
      <c r="QAB15" s="344"/>
      <c r="QAC15" s="344"/>
      <c r="QAD15" s="344"/>
      <c r="QAE15" s="342"/>
      <c r="QAF15" s="342"/>
      <c r="QAG15" s="342"/>
      <c r="QAH15" s="343"/>
      <c r="QAI15" s="343"/>
      <c r="QAJ15" s="344"/>
      <c r="QAK15" s="344"/>
      <c r="QAL15" s="344"/>
      <c r="QAM15" s="342"/>
      <c r="QAN15" s="342"/>
      <c r="QAO15" s="342"/>
      <c r="QAP15" s="343"/>
      <c r="QAQ15" s="343"/>
      <c r="QAR15" s="344"/>
      <c r="QAS15" s="344"/>
      <c r="QAT15" s="344"/>
      <c r="QAU15" s="342"/>
      <c r="QAV15" s="342"/>
      <c r="QAW15" s="342"/>
      <c r="QAX15" s="343"/>
      <c r="QAY15" s="343"/>
      <c r="QAZ15" s="344"/>
      <c r="QBA15" s="344"/>
      <c r="QBB15" s="344"/>
      <c r="QBC15" s="342"/>
      <c r="QBD15" s="342"/>
      <c r="QBE15" s="342"/>
      <c r="QBF15" s="343"/>
      <c r="QBG15" s="343"/>
      <c r="QBH15" s="344"/>
      <c r="QBI15" s="344"/>
      <c r="QBJ15" s="344"/>
      <c r="QBK15" s="342"/>
      <c r="QBL15" s="342"/>
      <c r="QBM15" s="342"/>
      <c r="QBN15" s="343"/>
      <c r="QBO15" s="343"/>
      <c r="QBP15" s="344"/>
      <c r="QBQ15" s="344"/>
      <c r="QBR15" s="344"/>
      <c r="QBS15" s="342"/>
      <c r="QBT15" s="342"/>
      <c r="QBU15" s="342"/>
      <c r="QBV15" s="343"/>
      <c r="QBW15" s="343"/>
      <c r="QBX15" s="344"/>
      <c r="QBY15" s="344"/>
      <c r="QBZ15" s="344"/>
      <c r="QCA15" s="342"/>
      <c r="QCB15" s="342"/>
      <c r="QCC15" s="342"/>
      <c r="QCD15" s="343"/>
      <c r="QCE15" s="343"/>
      <c r="QCF15" s="344"/>
      <c r="QCG15" s="344"/>
      <c r="QCH15" s="344"/>
      <c r="QCI15" s="342"/>
      <c r="QCJ15" s="342"/>
      <c r="QCK15" s="342"/>
      <c r="QCL15" s="343"/>
      <c r="QCM15" s="343"/>
      <c r="QCN15" s="344"/>
      <c r="QCO15" s="344"/>
      <c r="QCP15" s="344"/>
      <c r="QCQ15" s="342"/>
      <c r="QCR15" s="342"/>
      <c r="QCS15" s="342"/>
      <c r="QCT15" s="343"/>
      <c r="QCU15" s="343"/>
      <c r="QCV15" s="344"/>
      <c r="QCW15" s="344"/>
      <c r="QCX15" s="344"/>
      <c r="QCY15" s="342"/>
      <c r="QCZ15" s="342"/>
      <c r="QDA15" s="342"/>
      <c r="QDB15" s="343"/>
      <c r="QDC15" s="343"/>
      <c r="QDD15" s="344"/>
      <c r="QDE15" s="344"/>
      <c r="QDF15" s="344"/>
      <c r="QDG15" s="342"/>
      <c r="QDH15" s="342"/>
      <c r="QDI15" s="342"/>
      <c r="QDJ15" s="343"/>
      <c r="QDK15" s="343"/>
      <c r="QDL15" s="344"/>
      <c r="QDM15" s="344"/>
      <c r="QDN15" s="344"/>
      <c r="QDO15" s="342"/>
      <c r="QDP15" s="342"/>
      <c r="QDQ15" s="342"/>
      <c r="QDR15" s="343"/>
      <c r="QDS15" s="343"/>
      <c r="QDT15" s="344"/>
      <c r="QDU15" s="344"/>
      <c r="QDV15" s="344"/>
      <c r="QDW15" s="342"/>
      <c r="QDX15" s="342"/>
      <c r="QDY15" s="342"/>
      <c r="QDZ15" s="343"/>
      <c r="QEA15" s="343"/>
      <c r="QEB15" s="344"/>
      <c r="QEC15" s="344"/>
      <c r="QED15" s="344"/>
      <c r="QEE15" s="342"/>
      <c r="QEF15" s="342"/>
      <c r="QEG15" s="342"/>
      <c r="QEH15" s="343"/>
      <c r="QEI15" s="343"/>
      <c r="QEJ15" s="344"/>
      <c r="QEK15" s="344"/>
      <c r="QEL15" s="344"/>
      <c r="QEM15" s="342"/>
      <c r="QEN15" s="342"/>
      <c r="QEO15" s="342"/>
      <c r="QEP15" s="343"/>
      <c r="QEQ15" s="343"/>
      <c r="QER15" s="344"/>
      <c r="QES15" s="344"/>
      <c r="QET15" s="344"/>
      <c r="QEU15" s="342"/>
      <c r="QEV15" s="342"/>
      <c r="QEW15" s="342"/>
      <c r="QEX15" s="343"/>
      <c r="QEY15" s="343"/>
      <c r="QEZ15" s="344"/>
      <c r="QFA15" s="344"/>
      <c r="QFB15" s="344"/>
      <c r="QFC15" s="342"/>
      <c r="QFD15" s="342"/>
      <c r="QFE15" s="342"/>
      <c r="QFF15" s="343"/>
      <c r="QFG15" s="343"/>
      <c r="QFH15" s="344"/>
      <c r="QFI15" s="344"/>
      <c r="QFJ15" s="344"/>
      <c r="QFK15" s="342"/>
      <c r="QFL15" s="342"/>
      <c r="QFM15" s="342"/>
      <c r="QFN15" s="343"/>
      <c r="QFO15" s="343"/>
      <c r="QFP15" s="344"/>
      <c r="QFQ15" s="344"/>
      <c r="QFR15" s="344"/>
      <c r="QFS15" s="342"/>
      <c r="QFT15" s="342"/>
      <c r="QFU15" s="342"/>
      <c r="QFV15" s="343"/>
      <c r="QFW15" s="343"/>
      <c r="QFX15" s="344"/>
      <c r="QFY15" s="344"/>
      <c r="QFZ15" s="344"/>
      <c r="QGA15" s="342"/>
      <c r="QGB15" s="342"/>
      <c r="QGC15" s="342"/>
      <c r="QGD15" s="343"/>
      <c r="QGE15" s="343"/>
      <c r="QGF15" s="344"/>
      <c r="QGG15" s="344"/>
      <c r="QGH15" s="344"/>
      <c r="QGI15" s="342"/>
      <c r="QGJ15" s="342"/>
      <c r="QGK15" s="342"/>
      <c r="QGL15" s="343"/>
      <c r="QGM15" s="343"/>
      <c r="QGN15" s="344"/>
      <c r="QGO15" s="344"/>
      <c r="QGP15" s="344"/>
      <c r="QGQ15" s="342"/>
      <c r="QGR15" s="342"/>
      <c r="QGS15" s="342"/>
      <c r="QGT15" s="343"/>
      <c r="QGU15" s="343"/>
      <c r="QGV15" s="344"/>
      <c r="QGW15" s="344"/>
      <c r="QGX15" s="344"/>
      <c r="QGY15" s="342"/>
      <c r="QGZ15" s="342"/>
      <c r="QHA15" s="342"/>
      <c r="QHB15" s="343"/>
      <c r="QHC15" s="343"/>
      <c r="QHD15" s="344"/>
      <c r="QHE15" s="344"/>
      <c r="QHF15" s="344"/>
      <c r="QHG15" s="342"/>
      <c r="QHH15" s="342"/>
      <c r="QHI15" s="342"/>
      <c r="QHJ15" s="343"/>
      <c r="QHK15" s="343"/>
      <c r="QHL15" s="344"/>
      <c r="QHM15" s="344"/>
      <c r="QHN15" s="344"/>
      <c r="QHO15" s="342"/>
      <c r="QHP15" s="342"/>
      <c r="QHQ15" s="342"/>
      <c r="QHR15" s="343"/>
      <c r="QHS15" s="343"/>
      <c r="QHT15" s="344"/>
      <c r="QHU15" s="344"/>
      <c r="QHV15" s="344"/>
      <c r="QHW15" s="342"/>
      <c r="QHX15" s="342"/>
      <c r="QHY15" s="342"/>
      <c r="QHZ15" s="343"/>
      <c r="QIA15" s="343"/>
      <c r="QIB15" s="344"/>
      <c r="QIC15" s="344"/>
      <c r="QID15" s="344"/>
      <c r="QIE15" s="342"/>
      <c r="QIF15" s="342"/>
      <c r="QIG15" s="342"/>
      <c r="QIH15" s="343"/>
      <c r="QII15" s="343"/>
      <c r="QIJ15" s="344"/>
      <c r="QIK15" s="344"/>
      <c r="QIL15" s="344"/>
      <c r="QIM15" s="342"/>
      <c r="QIN15" s="342"/>
      <c r="QIO15" s="342"/>
      <c r="QIP15" s="343"/>
      <c r="QIQ15" s="343"/>
      <c r="QIR15" s="344"/>
      <c r="QIS15" s="344"/>
      <c r="QIT15" s="344"/>
      <c r="QIU15" s="342"/>
      <c r="QIV15" s="342"/>
      <c r="QIW15" s="342"/>
      <c r="QIX15" s="343"/>
      <c r="QIY15" s="343"/>
      <c r="QIZ15" s="344"/>
      <c r="QJA15" s="344"/>
      <c r="QJB15" s="344"/>
      <c r="QJC15" s="342"/>
      <c r="QJD15" s="342"/>
      <c r="QJE15" s="342"/>
      <c r="QJF15" s="343"/>
      <c r="QJG15" s="343"/>
      <c r="QJH15" s="344"/>
      <c r="QJI15" s="344"/>
      <c r="QJJ15" s="344"/>
      <c r="QJK15" s="342"/>
      <c r="QJL15" s="342"/>
      <c r="QJM15" s="342"/>
      <c r="QJN15" s="343"/>
      <c r="QJO15" s="343"/>
      <c r="QJP15" s="344"/>
      <c r="QJQ15" s="344"/>
      <c r="QJR15" s="344"/>
      <c r="QJS15" s="342"/>
      <c r="QJT15" s="342"/>
      <c r="QJU15" s="342"/>
      <c r="QJV15" s="343"/>
      <c r="QJW15" s="343"/>
      <c r="QJX15" s="344"/>
      <c r="QJY15" s="344"/>
      <c r="QJZ15" s="344"/>
      <c r="QKA15" s="342"/>
      <c r="QKB15" s="342"/>
      <c r="QKC15" s="342"/>
      <c r="QKD15" s="343"/>
      <c r="QKE15" s="343"/>
      <c r="QKF15" s="344"/>
      <c r="QKG15" s="344"/>
      <c r="QKH15" s="344"/>
      <c r="QKI15" s="342"/>
      <c r="QKJ15" s="342"/>
      <c r="QKK15" s="342"/>
      <c r="QKL15" s="343"/>
      <c r="QKM15" s="343"/>
      <c r="QKN15" s="344"/>
      <c r="QKO15" s="344"/>
      <c r="QKP15" s="344"/>
      <c r="QKQ15" s="342"/>
      <c r="QKR15" s="342"/>
      <c r="QKS15" s="342"/>
      <c r="QKT15" s="343"/>
      <c r="QKU15" s="343"/>
      <c r="QKV15" s="344"/>
      <c r="QKW15" s="344"/>
      <c r="QKX15" s="344"/>
      <c r="QKY15" s="342"/>
      <c r="QKZ15" s="342"/>
      <c r="QLA15" s="342"/>
      <c r="QLB15" s="343"/>
      <c r="QLC15" s="343"/>
      <c r="QLD15" s="344"/>
      <c r="QLE15" s="344"/>
      <c r="QLF15" s="344"/>
      <c r="QLG15" s="342"/>
      <c r="QLH15" s="342"/>
      <c r="QLI15" s="342"/>
      <c r="QLJ15" s="343"/>
      <c r="QLK15" s="343"/>
      <c r="QLL15" s="344"/>
      <c r="QLM15" s="344"/>
      <c r="QLN15" s="344"/>
      <c r="QLO15" s="342"/>
      <c r="QLP15" s="342"/>
      <c r="QLQ15" s="342"/>
      <c r="QLR15" s="343"/>
      <c r="QLS15" s="343"/>
      <c r="QLT15" s="344"/>
      <c r="QLU15" s="344"/>
      <c r="QLV15" s="344"/>
      <c r="QLW15" s="342"/>
      <c r="QLX15" s="342"/>
      <c r="QLY15" s="342"/>
      <c r="QLZ15" s="343"/>
      <c r="QMA15" s="343"/>
      <c r="QMB15" s="344"/>
      <c r="QMC15" s="344"/>
      <c r="QMD15" s="344"/>
      <c r="QME15" s="342"/>
      <c r="QMF15" s="342"/>
      <c r="QMG15" s="342"/>
      <c r="QMH15" s="343"/>
      <c r="QMI15" s="343"/>
      <c r="QMJ15" s="344"/>
      <c r="QMK15" s="344"/>
      <c r="QML15" s="344"/>
      <c r="QMM15" s="342"/>
      <c r="QMN15" s="342"/>
      <c r="QMO15" s="342"/>
      <c r="QMP15" s="343"/>
      <c r="QMQ15" s="343"/>
      <c r="QMR15" s="344"/>
      <c r="QMS15" s="344"/>
      <c r="QMT15" s="344"/>
      <c r="QMU15" s="342"/>
      <c r="QMV15" s="342"/>
      <c r="QMW15" s="342"/>
      <c r="QMX15" s="343"/>
      <c r="QMY15" s="343"/>
      <c r="QMZ15" s="344"/>
      <c r="QNA15" s="344"/>
      <c r="QNB15" s="344"/>
      <c r="QNC15" s="342"/>
      <c r="QND15" s="342"/>
      <c r="QNE15" s="342"/>
      <c r="QNF15" s="343"/>
      <c r="QNG15" s="343"/>
      <c r="QNH15" s="344"/>
      <c r="QNI15" s="344"/>
      <c r="QNJ15" s="344"/>
      <c r="QNK15" s="342"/>
      <c r="QNL15" s="342"/>
      <c r="QNM15" s="342"/>
      <c r="QNN15" s="343"/>
      <c r="QNO15" s="343"/>
      <c r="QNP15" s="344"/>
      <c r="QNQ15" s="344"/>
      <c r="QNR15" s="344"/>
      <c r="QNS15" s="342"/>
      <c r="QNT15" s="342"/>
      <c r="QNU15" s="342"/>
      <c r="QNV15" s="343"/>
      <c r="QNW15" s="343"/>
      <c r="QNX15" s="344"/>
      <c r="QNY15" s="344"/>
      <c r="QNZ15" s="344"/>
      <c r="QOA15" s="342"/>
      <c r="QOB15" s="342"/>
      <c r="QOC15" s="342"/>
      <c r="QOD15" s="343"/>
      <c r="QOE15" s="343"/>
      <c r="QOF15" s="344"/>
      <c r="QOG15" s="344"/>
      <c r="QOH15" s="344"/>
      <c r="QOI15" s="342"/>
      <c r="QOJ15" s="342"/>
      <c r="QOK15" s="342"/>
      <c r="QOL15" s="343"/>
      <c r="QOM15" s="343"/>
      <c r="QON15" s="344"/>
      <c r="QOO15" s="344"/>
      <c r="QOP15" s="344"/>
      <c r="QOQ15" s="342"/>
      <c r="QOR15" s="342"/>
      <c r="QOS15" s="342"/>
      <c r="QOT15" s="343"/>
      <c r="QOU15" s="343"/>
      <c r="QOV15" s="344"/>
      <c r="QOW15" s="344"/>
      <c r="QOX15" s="344"/>
      <c r="QOY15" s="342"/>
      <c r="QOZ15" s="342"/>
      <c r="QPA15" s="342"/>
      <c r="QPB15" s="343"/>
      <c r="QPC15" s="343"/>
      <c r="QPD15" s="344"/>
      <c r="QPE15" s="344"/>
      <c r="QPF15" s="344"/>
      <c r="QPG15" s="342"/>
      <c r="QPH15" s="342"/>
      <c r="QPI15" s="342"/>
      <c r="QPJ15" s="343"/>
      <c r="QPK15" s="343"/>
      <c r="QPL15" s="344"/>
      <c r="QPM15" s="344"/>
      <c r="QPN15" s="344"/>
      <c r="QPO15" s="342"/>
      <c r="QPP15" s="342"/>
      <c r="QPQ15" s="342"/>
      <c r="QPR15" s="343"/>
      <c r="QPS15" s="343"/>
      <c r="QPT15" s="344"/>
      <c r="QPU15" s="344"/>
      <c r="QPV15" s="344"/>
      <c r="QPW15" s="342"/>
      <c r="QPX15" s="342"/>
      <c r="QPY15" s="342"/>
      <c r="QPZ15" s="343"/>
      <c r="QQA15" s="343"/>
      <c r="QQB15" s="344"/>
      <c r="QQC15" s="344"/>
      <c r="QQD15" s="344"/>
      <c r="QQE15" s="342"/>
      <c r="QQF15" s="342"/>
      <c r="QQG15" s="342"/>
      <c r="QQH15" s="343"/>
      <c r="QQI15" s="343"/>
      <c r="QQJ15" s="344"/>
      <c r="QQK15" s="344"/>
      <c r="QQL15" s="344"/>
      <c r="QQM15" s="342"/>
      <c r="QQN15" s="342"/>
      <c r="QQO15" s="342"/>
      <c r="QQP15" s="343"/>
      <c r="QQQ15" s="343"/>
      <c r="QQR15" s="344"/>
      <c r="QQS15" s="344"/>
      <c r="QQT15" s="344"/>
      <c r="QQU15" s="342"/>
      <c r="QQV15" s="342"/>
      <c r="QQW15" s="342"/>
      <c r="QQX15" s="343"/>
      <c r="QQY15" s="343"/>
      <c r="QQZ15" s="344"/>
      <c r="QRA15" s="344"/>
      <c r="QRB15" s="344"/>
      <c r="QRC15" s="342"/>
      <c r="QRD15" s="342"/>
      <c r="QRE15" s="342"/>
      <c r="QRF15" s="343"/>
      <c r="QRG15" s="343"/>
      <c r="QRH15" s="344"/>
      <c r="QRI15" s="344"/>
      <c r="QRJ15" s="344"/>
      <c r="QRK15" s="342"/>
      <c r="QRL15" s="342"/>
      <c r="QRM15" s="342"/>
      <c r="QRN15" s="343"/>
      <c r="QRO15" s="343"/>
      <c r="QRP15" s="344"/>
      <c r="QRQ15" s="344"/>
      <c r="QRR15" s="344"/>
      <c r="QRS15" s="342"/>
      <c r="QRT15" s="342"/>
      <c r="QRU15" s="342"/>
      <c r="QRV15" s="343"/>
      <c r="QRW15" s="343"/>
      <c r="QRX15" s="344"/>
      <c r="QRY15" s="344"/>
      <c r="QRZ15" s="344"/>
      <c r="QSA15" s="342"/>
      <c r="QSB15" s="342"/>
      <c r="QSC15" s="342"/>
      <c r="QSD15" s="343"/>
      <c r="QSE15" s="343"/>
      <c r="QSF15" s="344"/>
      <c r="QSG15" s="344"/>
      <c r="QSH15" s="344"/>
      <c r="QSI15" s="342"/>
      <c r="QSJ15" s="342"/>
      <c r="QSK15" s="342"/>
      <c r="QSL15" s="343"/>
      <c r="QSM15" s="343"/>
      <c r="QSN15" s="344"/>
      <c r="QSO15" s="344"/>
      <c r="QSP15" s="344"/>
      <c r="QSQ15" s="342"/>
      <c r="QSR15" s="342"/>
      <c r="QSS15" s="342"/>
      <c r="QST15" s="343"/>
      <c r="QSU15" s="343"/>
      <c r="QSV15" s="344"/>
      <c r="QSW15" s="344"/>
      <c r="QSX15" s="344"/>
      <c r="QSY15" s="342"/>
      <c r="QSZ15" s="342"/>
      <c r="QTA15" s="342"/>
      <c r="QTB15" s="343"/>
      <c r="QTC15" s="343"/>
      <c r="QTD15" s="344"/>
      <c r="QTE15" s="344"/>
      <c r="QTF15" s="344"/>
      <c r="QTG15" s="342"/>
      <c r="QTH15" s="342"/>
      <c r="QTI15" s="342"/>
      <c r="QTJ15" s="343"/>
      <c r="QTK15" s="343"/>
      <c r="QTL15" s="344"/>
      <c r="QTM15" s="344"/>
      <c r="QTN15" s="344"/>
      <c r="QTO15" s="342"/>
      <c r="QTP15" s="342"/>
      <c r="QTQ15" s="342"/>
      <c r="QTR15" s="343"/>
      <c r="QTS15" s="343"/>
      <c r="QTT15" s="344"/>
      <c r="QTU15" s="344"/>
      <c r="QTV15" s="344"/>
      <c r="QTW15" s="342"/>
      <c r="QTX15" s="342"/>
      <c r="QTY15" s="342"/>
      <c r="QTZ15" s="343"/>
      <c r="QUA15" s="343"/>
      <c r="QUB15" s="344"/>
      <c r="QUC15" s="344"/>
      <c r="QUD15" s="344"/>
      <c r="QUE15" s="342"/>
      <c r="QUF15" s="342"/>
      <c r="QUG15" s="342"/>
      <c r="QUH15" s="343"/>
      <c r="QUI15" s="343"/>
      <c r="QUJ15" s="344"/>
      <c r="QUK15" s="344"/>
      <c r="QUL15" s="344"/>
      <c r="QUM15" s="342"/>
      <c r="QUN15" s="342"/>
      <c r="QUO15" s="342"/>
      <c r="QUP15" s="343"/>
      <c r="QUQ15" s="343"/>
      <c r="QUR15" s="344"/>
      <c r="QUS15" s="344"/>
      <c r="QUT15" s="344"/>
      <c r="QUU15" s="342"/>
      <c r="QUV15" s="342"/>
      <c r="QUW15" s="342"/>
      <c r="QUX15" s="343"/>
      <c r="QUY15" s="343"/>
      <c r="QUZ15" s="344"/>
      <c r="QVA15" s="344"/>
      <c r="QVB15" s="344"/>
      <c r="QVC15" s="342"/>
      <c r="QVD15" s="342"/>
      <c r="QVE15" s="342"/>
      <c r="QVF15" s="343"/>
      <c r="QVG15" s="343"/>
      <c r="QVH15" s="344"/>
      <c r="QVI15" s="344"/>
      <c r="QVJ15" s="344"/>
      <c r="QVK15" s="342"/>
      <c r="QVL15" s="342"/>
      <c r="QVM15" s="342"/>
      <c r="QVN15" s="343"/>
      <c r="QVO15" s="343"/>
      <c r="QVP15" s="344"/>
      <c r="QVQ15" s="344"/>
      <c r="QVR15" s="344"/>
      <c r="QVS15" s="342"/>
      <c r="QVT15" s="342"/>
      <c r="QVU15" s="342"/>
      <c r="QVV15" s="343"/>
      <c r="QVW15" s="343"/>
      <c r="QVX15" s="344"/>
      <c r="QVY15" s="344"/>
      <c r="QVZ15" s="344"/>
      <c r="QWA15" s="342"/>
      <c r="QWB15" s="342"/>
      <c r="QWC15" s="342"/>
      <c r="QWD15" s="343"/>
      <c r="QWE15" s="343"/>
      <c r="QWF15" s="344"/>
      <c r="QWG15" s="344"/>
      <c r="QWH15" s="344"/>
      <c r="QWI15" s="342"/>
      <c r="QWJ15" s="342"/>
      <c r="QWK15" s="342"/>
      <c r="QWL15" s="343"/>
      <c r="QWM15" s="343"/>
      <c r="QWN15" s="344"/>
      <c r="QWO15" s="344"/>
      <c r="QWP15" s="344"/>
      <c r="QWQ15" s="342"/>
      <c r="QWR15" s="342"/>
      <c r="QWS15" s="342"/>
      <c r="QWT15" s="343"/>
      <c r="QWU15" s="343"/>
      <c r="QWV15" s="344"/>
      <c r="QWW15" s="344"/>
      <c r="QWX15" s="344"/>
      <c r="QWY15" s="342"/>
      <c r="QWZ15" s="342"/>
      <c r="QXA15" s="342"/>
      <c r="QXB15" s="343"/>
      <c r="QXC15" s="343"/>
      <c r="QXD15" s="344"/>
      <c r="QXE15" s="344"/>
      <c r="QXF15" s="344"/>
      <c r="QXG15" s="342"/>
      <c r="QXH15" s="342"/>
      <c r="QXI15" s="342"/>
      <c r="QXJ15" s="343"/>
      <c r="QXK15" s="343"/>
      <c r="QXL15" s="344"/>
      <c r="QXM15" s="344"/>
      <c r="QXN15" s="344"/>
      <c r="QXO15" s="342"/>
      <c r="QXP15" s="342"/>
      <c r="QXQ15" s="342"/>
      <c r="QXR15" s="343"/>
      <c r="QXS15" s="343"/>
      <c r="QXT15" s="344"/>
      <c r="QXU15" s="344"/>
      <c r="QXV15" s="344"/>
      <c r="QXW15" s="342"/>
      <c r="QXX15" s="342"/>
      <c r="QXY15" s="342"/>
      <c r="QXZ15" s="343"/>
      <c r="QYA15" s="343"/>
      <c r="QYB15" s="344"/>
      <c r="QYC15" s="344"/>
      <c r="QYD15" s="344"/>
      <c r="QYE15" s="342"/>
      <c r="QYF15" s="342"/>
      <c r="QYG15" s="342"/>
      <c r="QYH15" s="343"/>
      <c r="QYI15" s="343"/>
      <c r="QYJ15" s="344"/>
      <c r="QYK15" s="344"/>
      <c r="QYL15" s="344"/>
      <c r="QYM15" s="342"/>
      <c r="QYN15" s="342"/>
      <c r="QYO15" s="342"/>
      <c r="QYP15" s="343"/>
      <c r="QYQ15" s="343"/>
      <c r="QYR15" s="344"/>
      <c r="QYS15" s="344"/>
      <c r="QYT15" s="344"/>
      <c r="QYU15" s="342"/>
      <c r="QYV15" s="342"/>
      <c r="QYW15" s="342"/>
      <c r="QYX15" s="343"/>
      <c r="QYY15" s="343"/>
      <c r="QYZ15" s="344"/>
      <c r="QZA15" s="344"/>
      <c r="QZB15" s="344"/>
      <c r="QZC15" s="342"/>
      <c r="QZD15" s="342"/>
      <c r="QZE15" s="342"/>
      <c r="QZF15" s="343"/>
      <c r="QZG15" s="343"/>
      <c r="QZH15" s="344"/>
      <c r="QZI15" s="344"/>
      <c r="QZJ15" s="344"/>
      <c r="QZK15" s="342"/>
      <c r="QZL15" s="342"/>
      <c r="QZM15" s="342"/>
      <c r="QZN15" s="343"/>
      <c r="QZO15" s="343"/>
      <c r="QZP15" s="344"/>
      <c r="QZQ15" s="344"/>
      <c r="QZR15" s="344"/>
      <c r="QZS15" s="342"/>
      <c r="QZT15" s="342"/>
      <c r="QZU15" s="342"/>
      <c r="QZV15" s="343"/>
      <c r="QZW15" s="343"/>
      <c r="QZX15" s="344"/>
      <c r="QZY15" s="344"/>
      <c r="QZZ15" s="344"/>
      <c r="RAA15" s="342"/>
      <c r="RAB15" s="342"/>
      <c r="RAC15" s="342"/>
      <c r="RAD15" s="343"/>
      <c r="RAE15" s="343"/>
      <c r="RAF15" s="344"/>
      <c r="RAG15" s="344"/>
      <c r="RAH15" s="344"/>
      <c r="RAI15" s="342"/>
      <c r="RAJ15" s="342"/>
      <c r="RAK15" s="342"/>
      <c r="RAL15" s="343"/>
      <c r="RAM15" s="343"/>
      <c r="RAN15" s="344"/>
      <c r="RAO15" s="344"/>
      <c r="RAP15" s="344"/>
      <c r="RAQ15" s="342"/>
      <c r="RAR15" s="342"/>
      <c r="RAS15" s="342"/>
      <c r="RAT15" s="343"/>
      <c r="RAU15" s="343"/>
      <c r="RAV15" s="344"/>
      <c r="RAW15" s="344"/>
      <c r="RAX15" s="344"/>
      <c r="RAY15" s="342"/>
      <c r="RAZ15" s="342"/>
      <c r="RBA15" s="342"/>
      <c r="RBB15" s="343"/>
      <c r="RBC15" s="343"/>
      <c r="RBD15" s="344"/>
      <c r="RBE15" s="344"/>
      <c r="RBF15" s="344"/>
      <c r="RBG15" s="342"/>
      <c r="RBH15" s="342"/>
      <c r="RBI15" s="342"/>
      <c r="RBJ15" s="343"/>
      <c r="RBK15" s="343"/>
      <c r="RBL15" s="344"/>
      <c r="RBM15" s="344"/>
      <c r="RBN15" s="344"/>
      <c r="RBO15" s="342"/>
      <c r="RBP15" s="342"/>
      <c r="RBQ15" s="342"/>
      <c r="RBR15" s="343"/>
      <c r="RBS15" s="343"/>
      <c r="RBT15" s="344"/>
      <c r="RBU15" s="344"/>
      <c r="RBV15" s="344"/>
      <c r="RBW15" s="342"/>
      <c r="RBX15" s="342"/>
      <c r="RBY15" s="342"/>
      <c r="RBZ15" s="343"/>
      <c r="RCA15" s="343"/>
      <c r="RCB15" s="344"/>
      <c r="RCC15" s="344"/>
      <c r="RCD15" s="344"/>
      <c r="RCE15" s="342"/>
      <c r="RCF15" s="342"/>
      <c r="RCG15" s="342"/>
      <c r="RCH15" s="343"/>
      <c r="RCI15" s="343"/>
      <c r="RCJ15" s="344"/>
      <c r="RCK15" s="344"/>
      <c r="RCL15" s="344"/>
      <c r="RCM15" s="342"/>
      <c r="RCN15" s="342"/>
      <c r="RCO15" s="342"/>
      <c r="RCP15" s="343"/>
      <c r="RCQ15" s="343"/>
      <c r="RCR15" s="344"/>
      <c r="RCS15" s="344"/>
      <c r="RCT15" s="344"/>
      <c r="RCU15" s="342"/>
      <c r="RCV15" s="342"/>
      <c r="RCW15" s="342"/>
      <c r="RCX15" s="343"/>
      <c r="RCY15" s="343"/>
      <c r="RCZ15" s="344"/>
      <c r="RDA15" s="344"/>
      <c r="RDB15" s="344"/>
      <c r="RDC15" s="342"/>
      <c r="RDD15" s="342"/>
      <c r="RDE15" s="342"/>
      <c r="RDF15" s="343"/>
      <c r="RDG15" s="343"/>
      <c r="RDH15" s="344"/>
      <c r="RDI15" s="344"/>
      <c r="RDJ15" s="344"/>
      <c r="RDK15" s="342"/>
      <c r="RDL15" s="342"/>
      <c r="RDM15" s="342"/>
      <c r="RDN15" s="343"/>
      <c r="RDO15" s="343"/>
      <c r="RDP15" s="344"/>
      <c r="RDQ15" s="344"/>
      <c r="RDR15" s="344"/>
      <c r="RDS15" s="342"/>
      <c r="RDT15" s="342"/>
      <c r="RDU15" s="342"/>
      <c r="RDV15" s="343"/>
      <c r="RDW15" s="343"/>
      <c r="RDX15" s="344"/>
      <c r="RDY15" s="344"/>
      <c r="RDZ15" s="344"/>
      <c r="REA15" s="342"/>
      <c r="REB15" s="342"/>
      <c r="REC15" s="342"/>
      <c r="RED15" s="343"/>
      <c r="REE15" s="343"/>
      <c r="REF15" s="344"/>
      <c r="REG15" s="344"/>
      <c r="REH15" s="344"/>
      <c r="REI15" s="342"/>
      <c r="REJ15" s="342"/>
      <c r="REK15" s="342"/>
      <c r="REL15" s="343"/>
      <c r="REM15" s="343"/>
      <c r="REN15" s="344"/>
      <c r="REO15" s="344"/>
      <c r="REP15" s="344"/>
      <c r="REQ15" s="342"/>
      <c r="RER15" s="342"/>
      <c r="RES15" s="342"/>
      <c r="RET15" s="343"/>
      <c r="REU15" s="343"/>
      <c r="REV15" s="344"/>
      <c r="REW15" s="344"/>
      <c r="REX15" s="344"/>
      <c r="REY15" s="342"/>
      <c r="REZ15" s="342"/>
      <c r="RFA15" s="342"/>
      <c r="RFB15" s="343"/>
      <c r="RFC15" s="343"/>
      <c r="RFD15" s="344"/>
      <c r="RFE15" s="344"/>
      <c r="RFF15" s="344"/>
      <c r="RFG15" s="342"/>
      <c r="RFH15" s="342"/>
      <c r="RFI15" s="342"/>
      <c r="RFJ15" s="343"/>
      <c r="RFK15" s="343"/>
      <c r="RFL15" s="344"/>
      <c r="RFM15" s="344"/>
      <c r="RFN15" s="344"/>
      <c r="RFO15" s="342"/>
      <c r="RFP15" s="342"/>
      <c r="RFQ15" s="342"/>
      <c r="RFR15" s="343"/>
      <c r="RFS15" s="343"/>
      <c r="RFT15" s="344"/>
      <c r="RFU15" s="344"/>
      <c r="RFV15" s="344"/>
      <c r="RFW15" s="342"/>
      <c r="RFX15" s="342"/>
      <c r="RFY15" s="342"/>
      <c r="RFZ15" s="343"/>
      <c r="RGA15" s="343"/>
      <c r="RGB15" s="344"/>
      <c r="RGC15" s="344"/>
      <c r="RGD15" s="344"/>
      <c r="RGE15" s="342"/>
      <c r="RGF15" s="342"/>
      <c r="RGG15" s="342"/>
      <c r="RGH15" s="343"/>
      <c r="RGI15" s="343"/>
      <c r="RGJ15" s="344"/>
      <c r="RGK15" s="344"/>
      <c r="RGL15" s="344"/>
      <c r="RGM15" s="342"/>
      <c r="RGN15" s="342"/>
      <c r="RGO15" s="342"/>
      <c r="RGP15" s="343"/>
      <c r="RGQ15" s="343"/>
      <c r="RGR15" s="344"/>
      <c r="RGS15" s="344"/>
      <c r="RGT15" s="344"/>
      <c r="RGU15" s="342"/>
      <c r="RGV15" s="342"/>
      <c r="RGW15" s="342"/>
      <c r="RGX15" s="343"/>
      <c r="RGY15" s="343"/>
      <c r="RGZ15" s="344"/>
      <c r="RHA15" s="344"/>
      <c r="RHB15" s="344"/>
      <c r="RHC15" s="342"/>
      <c r="RHD15" s="342"/>
      <c r="RHE15" s="342"/>
      <c r="RHF15" s="343"/>
      <c r="RHG15" s="343"/>
      <c r="RHH15" s="344"/>
      <c r="RHI15" s="344"/>
      <c r="RHJ15" s="344"/>
      <c r="RHK15" s="342"/>
      <c r="RHL15" s="342"/>
      <c r="RHM15" s="342"/>
      <c r="RHN15" s="343"/>
      <c r="RHO15" s="343"/>
      <c r="RHP15" s="344"/>
      <c r="RHQ15" s="344"/>
      <c r="RHR15" s="344"/>
      <c r="RHS15" s="342"/>
      <c r="RHT15" s="342"/>
      <c r="RHU15" s="342"/>
      <c r="RHV15" s="343"/>
      <c r="RHW15" s="343"/>
      <c r="RHX15" s="344"/>
      <c r="RHY15" s="344"/>
      <c r="RHZ15" s="344"/>
      <c r="RIA15" s="342"/>
      <c r="RIB15" s="342"/>
      <c r="RIC15" s="342"/>
      <c r="RID15" s="343"/>
      <c r="RIE15" s="343"/>
      <c r="RIF15" s="344"/>
      <c r="RIG15" s="344"/>
      <c r="RIH15" s="344"/>
      <c r="RII15" s="342"/>
      <c r="RIJ15" s="342"/>
      <c r="RIK15" s="342"/>
      <c r="RIL15" s="343"/>
      <c r="RIM15" s="343"/>
      <c r="RIN15" s="344"/>
      <c r="RIO15" s="344"/>
      <c r="RIP15" s="344"/>
      <c r="RIQ15" s="342"/>
      <c r="RIR15" s="342"/>
      <c r="RIS15" s="342"/>
      <c r="RIT15" s="343"/>
      <c r="RIU15" s="343"/>
      <c r="RIV15" s="344"/>
      <c r="RIW15" s="344"/>
      <c r="RIX15" s="344"/>
      <c r="RIY15" s="342"/>
      <c r="RIZ15" s="342"/>
      <c r="RJA15" s="342"/>
      <c r="RJB15" s="343"/>
      <c r="RJC15" s="343"/>
      <c r="RJD15" s="344"/>
      <c r="RJE15" s="344"/>
      <c r="RJF15" s="344"/>
      <c r="RJG15" s="342"/>
      <c r="RJH15" s="342"/>
      <c r="RJI15" s="342"/>
      <c r="RJJ15" s="343"/>
      <c r="RJK15" s="343"/>
      <c r="RJL15" s="344"/>
      <c r="RJM15" s="344"/>
      <c r="RJN15" s="344"/>
      <c r="RJO15" s="342"/>
      <c r="RJP15" s="342"/>
      <c r="RJQ15" s="342"/>
      <c r="RJR15" s="343"/>
      <c r="RJS15" s="343"/>
      <c r="RJT15" s="344"/>
      <c r="RJU15" s="344"/>
      <c r="RJV15" s="344"/>
      <c r="RJW15" s="342"/>
      <c r="RJX15" s="342"/>
      <c r="RJY15" s="342"/>
      <c r="RJZ15" s="343"/>
      <c r="RKA15" s="343"/>
      <c r="RKB15" s="344"/>
      <c r="RKC15" s="344"/>
      <c r="RKD15" s="344"/>
      <c r="RKE15" s="342"/>
      <c r="RKF15" s="342"/>
      <c r="RKG15" s="342"/>
      <c r="RKH15" s="343"/>
      <c r="RKI15" s="343"/>
      <c r="RKJ15" s="344"/>
      <c r="RKK15" s="344"/>
      <c r="RKL15" s="344"/>
      <c r="RKM15" s="342"/>
      <c r="RKN15" s="342"/>
      <c r="RKO15" s="342"/>
      <c r="RKP15" s="343"/>
      <c r="RKQ15" s="343"/>
      <c r="RKR15" s="344"/>
      <c r="RKS15" s="344"/>
      <c r="RKT15" s="344"/>
      <c r="RKU15" s="342"/>
      <c r="RKV15" s="342"/>
      <c r="RKW15" s="342"/>
      <c r="RKX15" s="343"/>
      <c r="RKY15" s="343"/>
      <c r="RKZ15" s="344"/>
      <c r="RLA15" s="344"/>
      <c r="RLB15" s="344"/>
      <c r="RLC15" s="342"/>
      <c r="RLD15" s="342"/>
      <c r="RLE15" s="342"/>
      <c r="RLF15" s="343"/>
      <c r="RLG15" s="343"/>
      <c r="RLH15" s="344"/>
      <c r="RLI15" s="344"/>
      <c r="RLJ15" s="344"/>
      <c r="RLK15" s="342"/>
      <c r="RLL15" s="342"/>
      <c r="RLM15" s="342"/>
      <c r="RLN15" s="343"/>
      <c r="RLO15" s="343"/>
      <c r="RLP15" s="344"/>
      <c r="RLQ15" s="344"/>
      <c r="RLR15" s="344"/>
      <c r="RLS15" s="342"/>
      <c r="RLT15" s="342"/>
      <c r="RLU15" s="342"/>
      <c r="RLV15" s="343"/>
      <c r="RLW15" s="343"/>
      <c r="RLX15" s="344"/>
      <c r="RLY15" s="344"/>
      <c r="RLZ15" s="344"/>
      <c r="RMA15" s="342"/>
      <c r="RMB15" s="342"/>
      <c r="RMC15" s="342"/>
      <c r="RMD15" s="343"/>
      <c r="RME15" s="343"/>
      <c r="RMF15" s="344"/>
      <c r="RMG15" s="344"/>
      <c r="RMH15" s="344"/>
      <c r="RMI15" s="342"/>
      <c r="RMJ15" s="342"/>
      <c r="RMK15" s="342"/>
      <c r="RML15" s="343"/>
      <c r="RMM15" s="343"/>
      <c r="RMN15" s="344"/>
      <c r="RMO15" s="344"/>
      <c r="RMP15" s="344"/>
      <c r="RMQ15" s="342"/>
      <c r="RMR15" s="342"/>
      <c r="RMS15" s="342"/>
      <c r="RMT15" s="343"/>
      <c r="RMU15" s="343"/>
      <c r="RMV15" s="344"/>
      <c r="RMW15" s="344"/>
      <c r="RMX15" s="344"/>
      <c r="RMY15" s="342"/>
      <c r="RMZ15" s="342"/>
      <c r="RNA15" s="342"/>
      <c r="RNB15" s="343"/>
      <c r="RNC15" s="343"/>
      <c r="RND15" s="344"/>
      <c r="RNE15" s="344"/>
      <c r="RNF15" s="344"/>
      <c r="RNG15" s="342"/>
      <c r="RNH15" s="342"/>
      <c r="RNI15" s="342"/>
      <c r="RNJ15" s="343"/>
      <c r="RNK15" s="343"/>
      <c r="RNL15" s="344"/>
      <c r="RNM15" s="344"/>
      <c r="RNN15" s="344"/>
      <c r="RNO15" s="342"/>
      <c r="RNP15" s="342"/>
      <c r="RNQ15" s="342"/>
      <c r="RNR15" s="343"/>
      <c r="RNS15" s="343"/>
      <c r="RNT15" s="344"/>
      <c r="RNU15" s="344"/>
      <c r="RNV15" s="344"/>
      <c r="RNW15" s="342"/>
      <c r="RNX15" s="342"/>
      <c r="RNY15" s="342"/>
      <c r="RNZ15" s="343"/>
      <c r="ROA15" s="343"/>
      <c r="ROB15" s="344"/>
      <c r="ROC15" s="344"/>
      <c r="ROD15" s="344"/>
      <c r="ROE15" s="342"/>
      <c r="ROF15" s="342"/>
      <c r="ROG15" s="342"/>
      <c r="ROH15" s="343"/>
      <c r="ROI15" s="343"/>
      <c r="ROJ15" s="344"/>
      <c r="ROK15" s="344"/>
      <c r="ROL15" s="344"/>
      <c r="ROM15" s="342"/>
      <c r="RON15" s="342"/>
      <c r="ROO15" s="342"/>
      <c r="ROP15" s="343"/>
      <c r="ROQ15" s="343"/>
      <c r="ROR15" s="344"/>
      <c r="ROS15" s="344"/>
      <c r="ROT15" s="344"/>
      <c r="ROU15" s="342"/>
      <c r="ROV15" s="342"/>
      <c r="ROW15" s="342"/>
      <c r="ROX15" s="343"/>
      <c r="ROY15" s="343"/>
      <c r="ROZ15" s="344"/>
      <c r="RPA15" s="344"/>
      <c r="RPB15" s="344"/>
      <c r="RPC15" s="342"/>
      <c r="RPD15" s="342"/>
      <c r="RPE15" s="342"/>
      <c r="RPF15" s="343"/>
      <c r="RPG15" s="343"/>
      <c r="RPH15" s="344"/>
      <c r="RPI15" s="344"/>
      <c r="RPJ15" s="344"/>
      <c r="RPK15" s="342"/>
      <c r="RPL15" s="342"/>
      <c r="RPM15" s="342"/>
      <c r="RPN15" s="343"/>
      <c r="RPO15" s="343"/>
      <c r="RPP15" s="344"/>
      <c r="RPQ15" s="344"/>
      <c r="RPR15" s="344"/>
      <c r="RPS15" s="342"/>
      <c r="RPT15" s="342"/>
      <c r="RPU15" s="342"/>
      <c r="RPV15" s="343"/>
      <c r="RPW15" s="343"/>
      <c r="RPX15" s="344"/>
      <c r="RPY15" s="344"/>
      <c r="RPZ15" s="344"/>
      <c r="RQA15" s="342"/>
      <c r="RQB15" s="342"/>
      <c r="RQC15" s="342"/>
      <c r="RQD15" s="343"/>
      <c r="RQE15" s="343"/>
      <c r="RQF15" s="344"/>
      <c r="RQG15" s="344"/>
      <c r="RQH15" s="344"/>
      <c r="RQI15" s="342"/>
      <c r="RQJ15" s="342"/>
      <c r="RQK15" s="342"/>
      <c r="RQL15" s="343"/>
      <c r="RQM15" s="343"/>
      <c r="RQN15" s="344"/>
      <c r="RQO15" s="344"/>
      <c r="RQP15" s="344"/>
      <c r="RQQ15" s="342"/>
      <c r="RQR15" s="342"/>
      <c r="RQS15" s="342"/>
      <c r="RQT15" s="343"/>
      <c r="RQU15" s="343"/>
      <c r="RQV15" s="344"/>
      <c r="RQW15" s="344"/>
      <c r="RQX15" s="344"/>
      <c r="RQY15" s="342"/>
      <c r="RQZ15" s="342"/>
      <c r="RRA15" s="342"/>
      <c r="RRB15" s="343"/>
      <c r="RRC15" s="343"/>
      <c r="RRD15" s="344"/>
      <c r="RRE15" s="344"/>
      <c r="RRF15" s="344"/>
      <c r="RRG15" s="342"/>
      <c r="RRH15" s="342"/>
      <c r="RRI15" s="342"/>
      <c r="RRJ15" s="343"/>
      <c r="RRK15" s="343"/>
      <c r="RRL15" s="344"/>
      <c r="RRM15" s="344"/>
      <c r="RRN15" s="344"/>
      <c r="RRO15" s="342"/>
      <c r="RRP15" s="342"/>
      <c r="RRQ15" s="342"/>
      <c r="RRR15" s="343"/>
      <c r="RRS15" s="343"/>
      <c r="RRT15" s="344"/>
      <c r="RRU15" s="344"/>
      <c r="RRV15" s="344"/>
      <c r="RRW15" s="342"/>
      <c r="RRX15" s="342"/>
      <c r="RRY15" s="342"/>
      <c r="RRZ15" s="343"/>
      <c r="RSA15" s="343"/>
      <c r="RSB15" s="344"/>
      <c r="RSC15" s="344"/>
      <c r="RSD15" s="344"/>
      <c r="RSE15" s="342"/>
      <c r="RSF15" s="342"/>
      <c r="RSG15" s="342"/>
      <c r="RSH15" s="343"/>
      <c r="RSI15" s="343"/>
      <c r="RSJ15" s="344"/>
      <c r="RSK15" s="344"/>
      <c r="RSL15" s="344"/>
      <c r="RSM15" s="342"/>
      <c r="RSN15" s="342"/>
      <c r="RSO15" s="342"/>
      <c r="RSP15" s="343"/>
      <c r="RSQ15" s="343"/>
      <c r="RSR15" s="344"/>
      <c r="RSS15" s="344"/>
      <c r="RST15" s="344"/>
      <c r="RSU15" s="342"/>
      <c r="RSV15" s="342"/>
      <c r="RSW15" s="342"/>
      <c r="RSX15" s="343"/>
      <c r="RSY15" s="343"/>
      <c r="RSZ15" s="344"/>
      <c r="RTA15" s="344"/>
      <c r="RTB15" s="344"/>
      <c r="RTC15" s="342"/>
      <c r="RTD15" s="342"/>
      <c r="RTE15" s="342"/>
      <c r="RTF15" s="343"/>
      <c r="RTG15" s="343"/>
      <c r="RTH15" s="344"/>
      <c r="RTI15" s="344"/>
      <c r="RTJ15" s="344"/>
      <c r="RTK15" s="342"/>
      <c r="RTL15" s="342"/>
      <c r="RTM15" s="342"/>
      <c r="RTN15" s="343"/>
      <c r="RTO15" s="343"/>
      <c r="RTP15" s="344"/>
      <c r="RTQ15" s="344"/>
      <c r="RTR15" s="344"/>
      <c r="RTS15" s="342"/>
      <c r="RTT15" s="342"/>
      <c r="RTU15" s="342"/>
      <c r="RTV15" s="343"/>
      <c r="RTW15" s="343"/>
      <c r="RTX15" s="344"/>
      <c r="RTY15" s="344"/>
      <c r="RTZ15" s="344"/>
      <c r="RUA15" s="342"/>
      <c r="RUB15" s="342"/>
      <c r="RUC15" s="342"/>
      <c r="RUD15" s="343"/>
      <c r="RUE15" s="343"/>
      <c r="RUF15" s="344"/>
      <c r="RUG15" s="344"/>
      <c r="RUH15" s="344"/>
      <c r="RUI15" s="342"/>
      <c r="RUJ15" s="342"/>
      <c r="RUK15" s="342"/>
      <c r="RUL15" s="343"/>
      <c r="RUM15" s="343"/>
      <c r="RUN15" s="344"/>
      <c r="RUO15" s="344"/>
      <c r="RUP15" s="344"/>
      <c r="RUQ15" s="342"/>
      <c r="RUR15" s="342"/>
      <c r="RUS15" s="342"/>
      <c r="RUT15" s="343"/>
      <c r="RUU15" s="343"/>
      <c r="RUV15" s="344"/>
      <c r="RUW15" s="344"/>
      <c r="RUX15" s="344"/>
      <c r="RUY15" s="342"/>
      <c r="RUZ15" s="342"/>
      <c r="RVA15" s="342"/>
      <c r="RVB15" s="343"/>
      <c r="RVC15" s="343"/>
      <c r="RVD15" s="344"/>
      <c r="RVE15" s="344"/>
      <c r="RVF15" s="344"/>
      <c r="RVG15" s="342"/>
      <c r="RVH15" s="342"/>
      <c r="RVI15" s="342"/>
      <c r="RVJ15" s="343"/>
      <c r="RVK15" s="343"/>
      <c r="RVL15" s="344"/>
      <c r="RVM15" s="344"/>
      <c r="RVN15" s="344"/>
      <c r="RVO15" s="342"/>
      <c r="RVP15" s="342"/>
      <c r="RVQ15" s="342"/>
      <c r="RVR15" s="343"/>
      <c r="RVS15" s="343"/>
      <c r="RVT15" s="344"/>
      <c r="RVU15" s="344"/>
      <c r="RVV15" s="344"/>
      <c r="RVW15" s="342"/>
      <c r="RVX15" s="342"/>
      <c r="RVY15" s="342"/>
      <c r="RVZ15" s="343"/>
      <c r="RWA15" s="343"/>
      <c r="RWB15" s="344"/>
      <c r="RWC15" s="344"/>
      <c r="RWD15" s="344"/>
      <c r="RWE15" s="342"/>
      <c r="RWF15" s="342"/>
      <c r="RWG15" s="342"/>
      <c r="RWH15" s="343"/>
      <c r="RWI15" s="343"/>
      <c r="RWJ15" s="344"/>
      <c r="RWK15" s="344"/>
      <c r="RWL15" s="344"/>
      <c r="RWM15" s="342"/>
      <c r="RWN15" s="342"/>
      <c r="RWO15" s="342"/>
      <c r="RWP15" s="343"/>
      <c r="RWQ15" s="343"/>
      <c r="RWR15" s="344"/>
      <c r="RWS15" s="344"/>
      <c r="RWT15" s="344"/>
      <c r="RWU15" s="342"/>
      <c r="RWV15" s="342"/>
      <c r="RWW15" s="342"/>
      <c r="RWX15" s="343"/>
      <c r="RWY15" s="343"/>
      <c r="RWZ15" s="344"/>
      <c r="RXA15" s="344"/>
      <c r="RXB15" s="344"/>
      <c r="RXC15" s="342"/>
      <c r="RXD15" s="342"/>
      <c r="RXE15" s="342"/>
      <c r="RXF15" s="343"/>
      <c r="RXG15" s="343"/>
      <c r="RXH15" s="344"/>
      <c r="RXI15" s="344"/>
      <c r="RXJ15" s="344"/>
      <c r="RXK15" s="342"/>
      <c r="RXL15" s="342"/>
      <c r="RXM15" s="342"/>
      <c r="RXN15" s="343"/>
      <c r="RXO15" s="343"/>
      <c r="RXP15" s="344"/>
      <c r="RXQ15" s="344"/>
      <c r="RXR15" s="344"/>
      <c r="RXS15" s="342"/>
      <c r="RXT15" s="342"/>
      <c r="RXU15" s="342"/>
      <c r="RXV15" s="343"/>
      <c r="RXW15" s="343"/>
      <c r="RXX15" s="344"/>
      <c r="RXY15" s="344"/>
      <c r="RXZ15" s="344"/>
      <c r="RYA15" s="342"/>
      <c r="RYB15" s="342"/>
      <c r="RYC15" s="342"/>
      <c r="RYD15" s="343"/>
      <c r="RYE15" s="343"/>
      <c r="RYF15" s="344"/>
      <c r="RYG15" s="344"/>
      <c r="RYH15" s="344"/>
      <c r="RYI15" s="342"/>
      <c r="RYJ15" s="342"/>
      <c r="RYK15" s="342"/>
      <c r="RYL15" s="343"/>
      <c r="RYM15" s="343"/>
      <c r="RYN15" s="344"/>
      <c r="RYO15" s="344"/>
      <c r="RYP15" s="344"/>
      <c r="RYQ15" s="342"/>
      <c r="RYR15" s="342"/>
      <c r="RYS15" s="342"/>
      <c r="RYT15" s="343"/>
      <c r="RYU15" s="343"/>
      <c r="RYV15" s="344"/>
      <c r="RYW15" s="344"/>
      <c r="RYX15" s="344"/>
      <c r="RYY15" s="342"/>
      <c r="RYZ15" s="342"/>
      <c r="RZA15" s="342"/>
      <c r="RZB15" s="343"/>
      <c r="RZC15" s="343"/>
      <c r="RZD15" s="344"/>
      <c r="RZE15" s="344"/>
      <c r="RZF15" s="344"/>
      <c r="RZG15" s="342"/>
      <c r="RZH15" s="342"/>
      <c r="RZI15" s="342"/>
      <c r="RZJ15" s="343"/>
      <c r="RZK15" s="343"/>
      <c r="RZL15" s="344"/>
      <c r="RZM15" s="344"/>
      <c r="RZN15" s="344"/>
      <c r="RZO15" s="342"/>
      <c r="RZP15" s="342"/>
      <c r="RZQ15" s="342"/>
      <c r="RZR15" s="343"/>
      <c r="RZS15" s="343"/>
      <c r="RZT15" s="344"/>
      <c r="RZU15" s="344"/>
      <c r="RZV15" s="344"/>
      <c r="RZW15" s="342"/>
      <c r="RZX15" s="342"/>
      <c r="RZY15" s="342"/>
      <c r="RZZ15" s="343"/>
      <c r="SAA15" s="343"/>
      <c r="SAB15" s="344"/>
      <c r="SAC15" s="344"/>
      <c r="SAD15" s="344"/>
      <c r="SAE15" s="342"/>
      <c r="SAF15" s="342"/>
      <c r="SAG15" s="342"/>
      <c r="SAH15" s="343"/>
      <c r="SAI15" s="343"/>
      <c r="SAJ15" s="344"/>
      <c r="SAK15" s="344"/>
      <c r="SAL15" s="344"/>
      <c r="SAM15" s="342"/>
      <c r="SAN15" s="342"/>
      <c r="SAO15" s="342"/>
      <c r="SAP15" s="343"/>
      <c r="SAQ15" s="343"/>
      <c r="SAR15" s="344"/>
      <c r="SAS15" s="344"/>
      <c r="SAT15" s="344"/>
      <c r="SAU15" s="342"/>
      <c r="SAV15" s="342"/>
      <c r="SAW15" s="342"/>
      <c r="SAX15" s="343"/>
      <c r="SAY15" s="343"/>
      <c r="SAZ15" s="344"/>
      <c r="SBA15" s="344"/>
      <c r="SBB15" s="344"/>
      <c r="SBC15" s="342"/>
      <c r="SBD15" s="342"/>
      <c r="SBE15" s="342"/>
      <c r="SBF15" s="343"/>
      <c r="SBG15" s="343"/>
      <c r="SBH15" s="344"/>
      <c r="SBI15" s="344"/>
      <c r="SBJ15" s="344"/>
      <c r="SBK15" s="342"/>
      <c r="SBL15" s="342"/>
      <c r="SBM15" s="342"/>
      <c r="SBN15" s="343"/>
      <c r="SBO15" s="343"/>
      <c r="SBP15" s="344"/>
      <c r="SBQ15" s="344"/>
      <c r="SBR15" s="344"/>
      <c r="SBS15" s="342"/>
      <c r="SBT15" s="342"/>
      <c r="SBU15" s="342"/>
      <c r="SBV15" s="343"/>
      <c r="SBW15" s="343"/>
      <c r="SBX15" s="344"/>
      <c r="SBY15" s="344"/>
      <c r="SBZ15" s="344"/>
      <c r="SCA15" s="342"/>
      <c r="SCB15" s="342"/>
      <c r="SCC15" s="342"/>
      <c r="SCD15" s="343"/>
      <c r="SCE15" s="343"/>
      <c r="SCF15" s="344"/>
      <c r="SCG15" s="344"/>
      <c r="SCH15" s="344"/>
      <c r="SCI15" s="342"/>
      <c r="SCJ15" s="342"/>
      <c r="SCK15" s="342"/>
      <c r="SCL15" s="343"/>
      <c r="SCM15" s="343"/>
      <c r="SCN15" s="344"/>
      <c r="SCO15" s="344"/>
      <c r="SCP15" s="344"/>
      <c r="SCQ15" s="342"/>
      <c r="SCR15" s="342"/>
      <c r="SCS15" s="342"/>
      <c r="SCT15" s="343"/>
      <c r="SCU15" s="343"/>
      <c r="SCV15" s="344"/>
      <c r="SCW15" s="344"/>
      <c r="SCX15" s="344"/>
      <c r="SCY15" s="342"/>
      <c r="SCZ15" s="342"/>
      <c r="SDA15" s="342"/>
      <c r="SDB15" s="343"/>
      <c r="SDC15" s="343"/>
      <c r="SDD15" s="344"/>
      <c r="SDE15" s="344"/>
      <c r="SDF15" s="344"/>
      <c r="SDG15" s="342"/>
      <c r="SDH15" s="342"/>
      <c r="SDI15" s="342"/>
      <c r="SDJ15" s="343"/>
      <c r="SDK15" s="343"/>
      <c r="SDL15" s="344"/>
      <c r="SDM15" s="344"/>
      <c r="SDN15" s="344"/>
      <c r="SDO15" s="342"/>
      <c r="SDP15" s="342"/>
      <c r="SDQ15" s="342"/>
      <c r="SDR15" s="343"/>
      <c r="SDS15" s="343"/>
      <c r="SDT15" s="344"/>
      <c r="SDU15" s="344"/>
      <c r="SDV15" s="344"/>
      <c r="SDW15" s="342"/>
      <c r="SDX15" s="342"/>
      <c r="SDY15" s="342"/>
      <c r="SDZ15" s="343"/>
      <c r="SEA15" s="343"/>
      <c r="SEB15" s="344"/>
      <c r="SEC15" s="344"/>
      <c r="SED15" s="344"/>
      <c r="SEE15" s="342"/>
      <c r="SEF15" s="342"/>
      <c r="SEG15" s="342"/>
      <c r="SEH15" s="343"/>
      <c r="SEI15" s="343"/>
      <c r="SEJ15" s="344"/>
      <c r="SEK15" s="344"/>
      <c r="SEL15" s="344"/>
      <c r="SEM15" s="342"/>
      <c r="SEN15" s="342"/>
      <c r="SEO15" s="342"/>
      <c r="SEP15" s="343"/>
      <c r="SEQ15" s="343"/>
      <c r="SER15" s="344"/>
      <c r="SES15" s="344"/>
      <c r="SET15" s="344"/>
      <c r="SEU15" s="342"/>
      <c r="SEV15" s="342"/>
      <c r="SEW15" s="342"/>
      <c r="SEX15" s="343"/>
      <c r="SEY15" s="343"/>
      <c r="SEZ15" s="344"/>
      <c r="SFA15" s="344"/>
      <c r="SFB15" s="344"/>
      <c r="SFC15" s="342"/>
      <c r="SFD15" s="342"/>
      <c r="SFE15" s="342"/>
      <c r="SFF15" s="343"/>
      <c r="SFG15" s="343"/>
      <c r="SFH15" s="344"/>
      <c r="SFI15" s="344"/>
      <c r="SFJ15" s="344"/>
      <c r="SFK15" s="342"/>
      <c r="SFL15" s="342"/>
      <c r="SFM15" s="342"/>
      <c r="SFN15" s="343"/>
      <c r="SFO15" s="343"/>
      <c r="SFP15" s="344"/>
      <c r="SFQ15" s="344"/>
      <c r="SFR15" s="344"/>
      <c r="SFS15" s="342"/>
      <c r="SFT15" s="342"/>
      <c r="SFU15" s="342"/>
      <c r="SFV15" s="343"/>
      <c r="SFW15" s="343"/>
      <c r="SFX15" s="344"/>
      <c r="SFY15" s="344"/>
      <c r="SFZ15" s="344"/>
      <c r="SGA15" s="342"/>
      <c r="SGB15" s="342"/>
      <c r="SGC15" s="342"/>
      <c r="SGD15" s="343"/>
      <c r="SGE15" s="343"/>
      <c r="SGF15" s="344"/>
      <c r="SGG15" s="344"/>
      <c r="SGH15" s="344"/>
      <c r="SGI15" s="342"/>
      <c r="SGJ15" s="342"/>
      <c r="SGK15" s="342"/>
      <c r="SGL15" s="343"/>
      <c r="SGM15" s="343"/>
      <c r="SGN15" s="344"/>
      <c r="SGO15" s="344"/>
      <c r="SGP15" s="344"/>
      <c r="SGQ15" s="342"/>
      <c r="SGR15" s="342"/>
      <c r="SGS15" s="342"/>
      <c r="SGT15" s="343"/>
      <c r="SGU15" s="343"/>
      <c r="SGV15" s="344"/>
      <c r="SGW15" s="344"/>
      <c r="SGX15" s="344"/>
      <c r="SGY15" s="342"/>
      <c r="SGZ15" s="342"/>
      <c r="SHA15" s="342"/>
      <c r="SHB15" s="343"/>
      <c r="SHC15" s="343"/>
      <c r="SHD15" s="344"/>
      <c r="SHE15" s="344"/>
      <c r="SHF15" s="344"/>
      <c r="SHG15" s="342"/>
      <c r="SHH15" s="342"/>
      <c r="SHI15" s="342"/>
      <c r="SHJ15" s="343"/>
      <c r="SHK15" s="343"/>
      <c r="SHL15" s="344"/>
      <c r="SHM15" s="344"/>
      <c r="SHN15" s="344"/>
      <c r="SHO15" s="342"/>
      <c r="SHP15" s="342"/>
      <c r="SHQ15" s="342"/>
      <c r="SHR15" s="343"/>
      <c r="SHS15" s="343"/>
      <c r="SHT15" s="344"/>
      <c r="SHU15" s="344"/>
      <c r="SHV15" s="344"/>
      <c r="SHW15" s="342"/>
      <c r="SHX15" s="342"/>
      <c r="SHY15" s="342"/>
      <c r="SHZ15" s="343"/>
      <c r="SIA15" s="343"/>
      <c r="SIB15" s="344"/>
      <c r="SIC15" s="344"/>
      <c r="SID15" s="344"/>
      <c r="SIE15" s="342"/>
      <c r="SIF15" s="342"/>
      <c r="SIG15" s="342"/>
      <c r="SIH15" s="343"/>
      <c r="SII15" s="343"/>
      <c r="SIJ15" s="344"/>
      <c r="SIK15" s="344"/>
      <c r="SIL15" s="344"/>
      <c r="SIM15" s="342"/>
      <c r="SIN15" s="342"/>
      <c r="SIO15" s="342"/>
      <c r="SIP15" s="343"/>
      <c r="SIQ15" s="343"/>
      <c r="SIR15" s="344"/>
      <c r="SIS15" s="344"/>
      <c r="SIT15" s="344"/>
      <c r="SIU15" s="342"/>
      <c r="SIV15" s="342"/>
      <c r="SIW15" s="342"/>
      <c r="SIX15" s="343"/>
      <c r="SIY15" s="343"/>
      <c r="SIZ15" s="344"/>
      <c r="SJA15" s="344"/>
      <c r="SJB15" s="344"/>
      <c r="SJC15" s="342"/>
      <c r="SJD15" s="342"/>
      <c r="SJE15" s="342"/>
      <c r="SJF15" s="343"/>
      <c r="SJG15" s="343"/>
      <c r="SJH15" s="344"/>
      <c r="SJI15" s="344"/>
      <c r="SJJ15" s="344"/>
      <c r="SJK15" s="342"/>
      <c r="SJL15" s="342"/>
      <c r="SJM15" s="342"/>
      <c r="SJN15" s="343"/>
      <c r="SJO15" s="343"/>
      <c r="SJP15" s="344"/>
      <c r="SJQ15" s="344"/>
      <c r="SJR15" s="344"/>
      <c r="SJS15" s="342"/>
      <c r="SJT15" s="342"/>
      <c r="SJU15" s="342"/>
      <c r="SJV15" s="343"/>
      <c r="SJW15" s="343"/>
      <c r="SJX15" s="344"/>
      <c r="SJY15" s="344"/>
      <c r="SJZ15" s="344"/>
      <c r="SKA15" s="342"/>
      <c r="SKB15" s="342"/>
      <c r="SKC15" s="342"/>
      <c r="SKD15" s="343"/>
      <c r="SKE15" s="343"/>
      <c r="SKF15" s="344"/>
      <c r="SKG15" s="344"/>
      <c r="SKH15" s="344"/>
      <c r="SKI15" s="342"/>
      <c r="SKJ15" s="342"/>
      <c r="SKK15" s="342"/>
      <c r="SKL15" s="343"/>
      <c r="SKM15" s="343"/>
      <c r="SKN15" s="344"/>
      <c r="SKO15" s="344"/>
      <c r="SKP15" s="344"/>
      <c r="SKQ15" s="342"/>
      <c r="SKR15" s="342"/>
      <c r="SKS15" s="342"/>
      <c r="SKT15" s="343"/>
      <c r="SKU15" s="343"/>
      <c r="SKV15" s="344"/>
      <c r="SKW15" s="344"/>
      <c r="SKX15" s="344"/>
      <c r="SKY15" s="342"/>
      <c r="SKZ15" s="342"/>
      <c r="SLA15" s="342"/>
      <c r="SLB15" s="343"/>
      <c r="SLC15" s="343"/>
      <c r="SLD15" s="344"/>
      <c r="SLE15" s="344"/>
      <c r="SLF15" s="344"/>
      <c r="SLG15" s="342"/>
      <c r="SLH15" s="342"/>
      <c r="SLI15" s="342"/>
      <c r="SLJ15" s="343"/>
      <c r="SLK15" s="343"/>
      <c r="SLL15" s="344"/>
      <c r="SLM15" s="344"/>
      <c r="SLN15" s="344"/>
      <c r="SLO15" s="342"/>
      <c r="SLP15" s="342"/>
      <c r="SLQ15" s="342"/>
      <c r="SLR15" s="343"/>
      <c r="SLS15" s="343"/>
      <c r="SLT15" s="344"/>
      <c r="SLU15" s="344"/>
      <c r="SLV15" s="344"/>
      <c r="SLW15" s="342"/>
      <c r="SLX15" s="342"/>
      <c r="SLY15" s="342"/>
      <c r="SLZ15" s="343"/>
      <c r="SMA15" s="343"/>
      <c r="SMB15" s="344"/>
      <c r="SMC15" s="344"/>
      <c r="SMD15" s="344"/>
      <c r="SME15" s="342"/>
      <c r="SMF15" s="342"/>
      <c r="SMG15" s="342"/>
      <c r="SMH15" s="343"/>
      <c r="SMI15" s="343"/>
      <c r="SMJ15" s="344"/>
      <c r="SMK15" s="344"/>
      <c r="SML15" s="344"/>
      <c r="SMM15" s="342"/>
      <c r="SMN15" s="342"/>
      <c r="SMO15" s="342"/>
      <c r="SMP15" s="343"/>
      <c r="SMQ15" s="343"/>
      <c r="SMR15" s="344"/>
      <c r="SMS15" s="344"/>
      <c r="SMT15" s="344"/>
      <c r="SMU15" s="342"/>
      <c r="SMV15" s="342"/>
      <c r="SMW15" s="342"/>
      <c r="SMX15" s="343"/>
      <c r="SMY15" s="343"/>
      <c r="SMZ15" s="344"/>
      <c r="SNA15" s="344"/>
      <c r="SNB15" s="344"/>
      <c r="SNC15" s="342"/>
      <c r="SND15" s="342"/>
      <c r="SNE15" s="342"/>
      <c r="SNF15" s="343"/>
      <c r="SNG15" s="343"/>
      <c r="SNH15" s="344"/>
      <c r="SNI15" s="344"/>
      <c r="SNJ15" s="344"/>
      <c r="SNK15" s="342"/>
      <c r="SNL15" s="342"/>
      <c r="SNM15" s="342"/>
      <c r="SNN15" s="343"/>
      <c r="SNO15" s="343"/>
      <c r="SNP15" s="344"/>
      <c r="SNQ15" s="344"/>
      <c r="SNR15" s="344"/>
      <c r="SNS15" s="342"/>
      <c r="SNT15" s="342"/>
      <c r="SNU15" s="342"/>
      <c r="SNV15" s="343"/>
      <c r="SNW15" s="343"/>
      <c r="SNX15" s="344"/>
      <c r="SNY15" s="344"/>
      <c r="SNZ15" s="344"/>
      <c r="SOA15" s="342"/>
      <c r="SOB15" s="342"/>
      <c r="SOC15" s="342"/>
      <c r="SOD15" s="343"/>
      <c r="SOE15" s="343"/>
      <c r="SOF15" s="344"/>
      <c r="SOG15" s="344"/>
      <c r="SOH15" s="344"/>
      <c r="SOI15" s="342"/>
      <c r="SOJ15" s="342"/>
      <c r="SOK15" s="342"/>
      <c r="SOL15" s="343"/>
      <c r="SOM15" s="343"/>
      <c r="SON15" s="344"/>
      <c r="SOO15" s="344"/>
      <c r="SOP15" s="344"/>
      <c r="SOQ15" s="342"/>
      <c r="SOR15" s="342"/>
      <c r="SOS15" s="342"/>
      <c r="SOT15" s="343"/>
      <c r="SOU15" s="343"/>
      <c r="SOV15" s="344"/>
      <c r="SOW15" s="344"/>
      <c r="SOX15" s="344"/>
      <c r="SOY15" s="342"/>
      <c r="SOZ15" s="342"/>
      <c r="SPA15" s="342"/>
      <c r="SPB15" s="343"/>
      <c r="SPC15" s="343"/>
      <c r="SPD15" s="344"/>
      <c r="SPE15" s="344"/>
      <c r="SPF15" s="344"/>
      <c r="SPG15" s="342"/>
      <c r="SPH15" s="342"/>
      <c r="SPI15" s="342"/>
      <c r="SPJ15" s="343"/>
      <c r="SPK15" s="343"/>
      <c r="SPL15" s="344"/>
      <c r="SPM15" s="344"/>
      <c r="SPN15" s="344"/>
      <c r="SPO15" s="342"/>
      <c r="SPP15" s="342"/>
      <c r="SPQ15" s="342"/>
      <c r="SPR15" s="343"/>
      <c r="SPS15" s="343"/>
      <c r="SPT15" s="344"/>
      <c r="SPU15" s="344"/>
      <c r="SPV15" s="344"/>
      <c r="SPW15" s="342"/>
      <c r="SPX15" s="342"/>
      <c r="SPY15" s="342"/>
      <c r="SPZ15" s="343"/>
      <c r="SQA15" s="343"/>
      <c r="SQB15" s="344"/>
      <c r="SQC15" s="344"/>
      <c r="SQD15" s="344"/>
      <c r="SQE15" s="342"/>
      <c r="SQF15" s="342"/>
      <c r="SQG15" s="342"/>
      <c r="SQH15" s="343"/>
      <c r="SQI15" s="343"/>
      <c r="SQJ15" s="344"/>
      <c r="SQK15" s="344"/>
      <c r="SQL15" s="344"/>
      <c r="SQM15" s="342"/>
      <c r="SQN15" s="342"/>
      <c r="SQO15" s="342"/>
      <c r="SQP15" s="343"/>
      <c r="SQQ15" s="343"/>
      <c r="SQR15" s="344"/>
      <c r="SQS15" s="344"/>
      <c r="SQT15" s="344"/>
      <c r="SQU15" s="342"/>
      <c r="SQV15" s="342"/>
      <c r="SQW15" s="342"/>
      <c r="SQX15" s="343"/>
      <c r="SQY15" s="343"/>
      <c r="SQZ15" s="344"/>
      <c r="SRA15" s="344"/>
      <c r="SRB15" s="344"/>
      <c r="SRC15" s="342"/>
      <c r="SRD15" s="342"/>
      <c r="SRE15" s="342"/>
      <c r="SRF15" s="343"/>
      <c r="SRG15" s="343"/>
      <c r="SRH15" s="344"/>
      <c r="SRI15" s="344"/>
      <c r="SRJ15" s="344"/>
      <c r="SRK15" s="342"/>
      <c r="SRL15" s="342"/>
      <c r="SRM15" s="342"/>
      <c r="SRN15" s="343"/>
      <c r="SRO15" s="343"/>
      <c r="SRP15" s="344"/>
      <c r="SRQ15" s="344"/>
      <c r="SRR15" s="344"/>
      <c r="SRS15" s="342"/>
      <c r="SRT15" s="342"/>
      <c r="SRU15" s="342"/>
      <c r="SRV15" s="343"/>
      <c r="SRW15" s="343"/>
      <c r="SRX15" s="344"/>
      <c r="SRY15" s="344"/>
      <c r="SRZ15" s="344"/>
      <c r="SSA15" s="342"/>
      <c r="SSB15" s="342"/>
      <c r="SSC15" s="342"/>
      <c r="SSD15" s="343"/>
      <c r="SSE15" s="343"/>
      <c r="SSF15" s="344"/>
      <c r="SSG15" s="344"/>
      <c r="SSH15" s="344"/>
      <c r="SSI15" s="342"/>
      <c r="SSJ15" s="342"/>
      <c r="SSK15" s="342"/>
      <c r="SSL15" s="343"/>
      <c r="SSM15" s="343"/>
      <c r="SSN15" s="344"/>
      <c r="SSO15" s="344"/>
      <c r="SSP15" s="344"/>
      <c r="SSQ15" s="342"/>
      <c r="SSR15" s="342"/>
      <c r="SSS15" s="342"/>
      <c r="SST15" s="343"/>
      <c r="SSU15" s="343"/>
      <c r="SSV15" s="344"/>
      <c r="SSW15" s="344"/>
      <c r="SSX15" s="344"/>
      <c r="SSY15" s="342"/>
      <c r="SSZ15" s="342"/>
      <c r="STA15" s="342"/>
      <c r="STB15" s="343"/>
      <c r="STC15" s="343"/>
      <c r="STD15" s="344"/>
      <c r="STE15" s="344"/>
      <c r="STF15" s="344"/>
      <c r="STG15" s="342"/>
      <c r="STH15" s="342"/>
      <c r="STI15" s="342"/>
      <c r="STJ15" s="343"/>
      <c r="STK15" s="343"/>
      <c r="STL15" s="344"/>
      <c r="STM15" s="344"/>
      <c r="STN15" s="344"/>
      <c r="STO15" s="342"/>
      <c r="STP15" s="342"/>
      <c r="STQ15" s="342"/>
      <c r="STR15" s="343"/>
      <c r="STS15" s="343"/>
      <c r="STT15" s="344"/>
      <c r="STU15" s="344"/>
      <c r="STV15" s="344"/>
      <c r="STW15" s="342"/>
      <c r="STX15" s="342"/>
      <c r="STY15" s="342"/>
      <c r="STZ15" s="343"/>
      <c r="SUA15" s="343"/>
      <c r="SUB15" s="344"/>
      <c r="SUC15" s="344"/>
      <c r="SUD15" s="344"/>
      <c r="SUE15" s="342"/>
      <c r="SUF15" s="342"/>
      <c r="SUG15" s="342"/>
      <c r="SUH15" s="343"/>
      <c r="SUI15" s="343"/>
      <c r="SUJ15" s="344"/>
      <c r="SUK15" s="344"/>
      <c r="SUL15" s="344"/>
      <c r="SUM15" s="342"/>
      <c r="SUN15" s="342"/>
      <c r="SUO15" s="342"/>
      <c r="SUP15" s="343"/>
      <c r="SUQ15" s="343"/>
      <c r="SUR15" s="344"/>
      <c r="SUS15" s="344"/>
      <c r="SUT15" s="344"/>
      <c r="SUU15" s="342"/>
      <c r="SUV15" s="342"/>
      <c r="SUW15" s="342"/>
      <c r="SUX15" s="343"/>
      <c r="SUY15" s="343"/>
      <c r="SUZ15" s="344"/>
      <c r="SVA15" s="344"/>
      <c r="SVB15" s="344"/>
      <c r="SVC15" s="342"/>
      <c r="SVD15" s="342"/>
      <c r="SVE15" s="342"/>
      <c r="SVF15" s="343"/>
      <c r="SVG15" s="343"/>
      <c r="SVH15" s="344"/>
      <c r="SVI15" s="344"/>
      <c r="SVJ15" s="344"/>
      <c r="SVK15" s="342"/>
      <c r="SVL15" s="342"/>
      <c r="SVM15" s="342"/>
      <c r="SVN15" s="343"/>
      <c r="SVO15" s="343"/>
      <c r="SVP15" s="344"/>
      <c r="SVQ15" s="344"/>
      <c r="SVR15" s="344"/>
      <c r="SVS15" s="342"/>
      <c r="SVT15" s="342"/>
      <c r="SVU15" s="342"/>
      <c r="SVV15" s="343"/>
      <c r="SVW15" s="343"/>
      <c r="SVX15" s="344"/>
      <c r="SVY15" s="344"/>
      <c r="SVZ15" s="344"/>
      <c r="SWA15" s="342"/>
      <c r="SWB15" s="342"/>
      <c r="SWC15" s="342"/>
      <c r="SWD15" s="343"/>
      <c r="SWE15" s="343"/>
      <c r="SWF15" s="344"/>
      <c r="SWG15" s="344"/>
      <c r="SWH15" s="344"/>
      <c r="SWI15" s="342"/>
      <c r="SWJ15" s="342"/>
      <c r="SWK15" s="342"/>
      <c r="SWL15" s="343"/>
      <c r="SWM15" s="343"/>
      <c r="SWN15" s="344"/>
      <c r="SWO15" s="344"/>
      <c r="SWP15" s="344"/>
      <c r="SWQ15" s="342"/>
      <c r="SWR15" s="342"/>
      <c r="SWS15" s="342"/>
      <c r="SWT15" s="343"/>
      <c r="SWU15" s="343"/>
      <c r="SWV15" s="344"/>
      <c r="SWW15" s="344"/>
      <c r="SWX15" s="344"/>
      <c r="SWY15" s="342"/>
      <c r="SWZ15" s="342"/>
      <c r="SXA15" s="342"/>
      <c r="SXB15" s="343"/>
      <c r="SXC15" s="343"/>
      <c r="SXD15" s="344"/>
      <c r="SXE15" s="344"/>
      <c r="SXF15" s="344"/>
      <c r="SXG15" s="342"/>
      <c r="SXH15" s="342"/>
      <c r="SXI15" s="342"/>
      <c r="SXJ15" s="343"/>
      <c r="SXK15" s="343"/>
      <c r="SXL15" s="344"/>
      <c r="SXM15" s="344"/>
      <c r="SXN15" s="344"/>
      <c r="SXO15" s="342"/>
      <c r="SXP15" s="342"/>
      <c r="SXQ15" s="342"/>
      <c r="SXR15" s="343"/>
      <c r="SXS15" s="343"/>
      <c r="SXT15" s="344"/>
      <c r="SXU15" s="344"/>
      <c r="SXV15" s="344"/>
      <c r="SXW15" s="342"/>
      <c r="SXX15" s="342"/>
      <c r="SXY15" s="342"/>
      <c r="SXZ15" s="343"/>
      <c r="SYA15" s="343"/>
      <c r="SYB15" s="344"/>
      <c r="SYC15" s="344"/>
      <c r="SYD15" s="344"/>
      <c r="SYE15" s="342"/>
      <c r="SYF15" s="342"/>
      <c r="SYG15" s="342"/>
      <c r="SYH15" s="343"/>
      <c r="SYI15" s="343"/>
      <c r="SYJ15" s="344"/>
      <c r="SYK15" s="344"/>
      <c r="SYL15" s="344"/>
      <c r="SYM15" s="342"/>
      <c r="SYN15" s="342"/>
      <c r="SYO15" s="342"/>
      <c r="SYP15" s="343"/>
      <c r="SYQ15" s="343"/>
      <c r="SYR15" s="344"/>
      <c r="SYS15" s="344"/>
      <c r="SYT15" s="344"/>
      <c r="SYU15" s="342"/>
      <c r="SYV15" s="342"/>
      <c r="SYW15" s="342"/>
      <c r="SYX15" s="343"/>
      <c r="SYY15" s="343"/>
      <c r="SYZ15" s="344"/>
      <c r="SZA15" s="344"/>
      <c r="SZB15" s="344"/>
      <c r="SZC15" s="342"/>
      <c r="SZD15" s="342"/>
      <c r="SZE15" s="342"/>
      <c r="SZF15" s="343"/>
      <c r="SZG15" s="343"/>
      <c r="SZH15" s="344"/>
      <c r="SZI15" s="344"/>
      <c r="SZJ15" s="344"/>
      <c r="SZK15" s="342"/>
      <c r="SZL15" s="342"/>
      <c r="SZM15" s="342"/>
      <c r="SZN15" s="343"/>
      <c r="SZO15" s="343"/>
      <c r="SZP15" s="344"/>
      <c r="SZQ15" s="344"/>
      <c r="SZR15" s="344"/>
      <c r="SZS15" s="342"/>
      <c r="SZT15" s="342"/>
      <c r="SZU15" s="342"/>
      <c r="SZV15" s="343"/>
      <c r="SZW15" s="343"/>
      <c r="SZX15" s="344"/>
      <c r="SZY15" s="344"/>
      <c r="SZZ15" s="344"/>
      <c r="TAA15" s="342"/>
      <c r="TAB15" s="342"/>
      <c r="TAC15" s="342"/>
      <c r="TAD15" s="343"/>
      <c r="TAE15" s="343"/>
      <c r="TAF15" s="344"/>
      <c r="TAG15" s="344"/>
      <c r="TAH15" s="344"/>
      <c r="TAI15" s="342"/>
      <c r="TAJ15" s="342"/>
      <c r="TAK15" s="342"/>
      <c r="TAL15" s="343"/>
      <c r="TAM15" s="343"/>
      <c r="TAN15" s="344"/>
      <c r="TAO15" s="344"/>
      <c r="TAP15" s="344"/>
      <c r="TAQ15" s="342"/>
      <c r="TAR15" s="342"/>
      <c r="TAS15" s="342"/>
      <c r="TAT15" s="343"/>
      <c r="TAU15" s="343"/>
      <c r="TAV15" s="344"/>
      <c r="TAW15" s="344"/>
      <c r="TAX15" s="344"/>
      <c r="TAY15" s="342"/>
      <c r="TAZ15" s="342"/>
      <c r="TBA15" s="342"/>
      <c r="TBB15" s="343"/>
      <c r="TBC15" s="343"/>
      <c r="TBD15" s="344"/>
      <c r="TBE15" s="344"/>
      <c r="TBF15" s="344"/>
      <c r="TBG15" s="342"/>
      <c r="TBH15" s="342"/>
      <c r="TBI15" s="342"/>
      <c r="TBJ15" s="343"/>
      <c r="TBK15" s="343"/>
      <c r="TBL15" s="344"/>
      <c r="TBM15" s="344"/>
      <c r="TBN15" s="344"/>
      <c r="TBO15" s="342"/>
      <c r="TBP15" s="342"/>
      <c r="TBQ15" s="342"/>
      <c r="TBR15" s="343"/>
      <c r="TBS15" s="343"/>
      <c r="TBT15" s="344"/>
      <c r="TBU15" s="344"/>
      <c r="TBV15" s="344"/>
      <c r="TBW15" s="342"/>
      <c r="TBX15" s="342"/>
      <c r="TBY15" s="342"/>
      <c r="TBZ15" s="343"/>
      <c r="TCA15" s="343"/>
      <c r="TCB15" s="344"/>
      <c r="TCC15" s="344"/>
      <c r="TCD15" s="344"/>
      <c r="TCE15" s="342"/>
      <c r="TCF15" s="342"/>
      <c r="TCG15" s="342"/>
      <c r="TCH15" s="343"/>
      <c r="TCI15" s="343"/>
      <c r="TCJ15" s="344"/>
      <c r="TCK15" s="344"/>
      <c r="TCL15" s="344"/>
      <c r="TCM15" s="342"/>
      <c r="TCN15" s="342"/>
      <c r="TCO15" s="342"/>
      <c r="TCP15" s="343"/>
      <c r="TCQ15" s="343"/>
      <c r="TCR15" s="344"/>
      <c r="TCS15" s="344"/>
      <c r="TCT15" s="344"/>
      <c r="TCU15" s="342"/>
      <c r="TCV15" s="342"/>
      <c r="TCW15" s="342"/>
      <c r="TCX15" s="343"/>
      <c r="TCY15" s="343"/>
      <c r="TCZ15" s="344"/>
      <c r="TDA15" s="344"/>
      <c r="TDB15" s="344"/>
      <c r="TDC15" s="342"/>
      <c r="TDD15" s="342"/>
      <c r="TDE15" s="342"/>
      <c r="TDF15" s="343"/>
      <c r="TDG15" s="343"/>
      <c r="TDH15" s="344"/>
      <c r="TDI15" s="344"/>
      <c r="TDJ15" s="344"/>
      <c r="TDK15" s="342"/>
      <c r="TDL15" s="342"/>
      <c r="TDM15" s="342"/>
      <c r="TDN15" s="343"/>
      <c r="TDO15" s="343"/>
      <c r="TDP15" s="344"/>
      <c r="TDQ15" s="344"/>
      <c r="TDR15" s="344"/>
      <c r="TDS15" s="342"/>
      <c r="TDT15" s="342"/>
      <c r="TDU15" s="342"/>
      <c r="TDV15" s="343"/>
      <c r="TDW15" s="343"/>
      <c r="TDX15" s="344"/>
      <c r="TDY15" s="344"/>
      <c r="TDZ15" s="344"/>
      <c r="TEA15" s="342"/>
      <c r="TEB15" s="342"/>
      <c r="TEC15" s="342"/>
      <c r="TED15" s="343"/>
      <c r="TEE15" s="343"/>
      <c r="TEF15" s="344"/>
      <c r="TEG15" s="344"/>
      <c r="TEH15" s="344"/>
      <c r="TEI15" s="342"/>
      <c r="TEJ15" s="342"/>
      <c r="TEK15" s="342"/>
      <c r="TEL15" s="343"/>
      <c r="TEM15" s="343"/>
      <c r="TEN15" s="344"/>
      <c r="TEO15" s="344"/>
      <c r="TEP15" s="344"/>
      <c r="TEQ15" s="342"/>
      <c r="TER15" s="342"/>
      <c r="TES15" s="342"/>
      <c r="TET15" s="343"/>
      <c r="TEU15" s="343"/>
      <c r="TEV15" s="344"/>
      <c r="TEW15" s="344"/>
      <c r="TEX15" s="344"/>
      <c r="TEY15" s="342"/>
      <c r="TEZ15" s="342"/>
      <c r="TFA15" s="342"/>
      <c r="TFB15" s="343"/>
      <c r="TFC15" s="343"/>
      <c r="TFD15" s="344"/>
      <c r="TFE15" s="344"/>
      <c r="TFF15" s="344"/>
      <c r="TFG15" s="342"/>
      <c r="TFH15" s="342"/>
      <c r="TFI15" s="342"/>
      <c r="TFJ15" s="343"/>
      <c r="TFK15" s="343"/>
      <c r="TFL15" s="344"/>
      <c r="TFM15" s="344"/>
      <c r="TFN15" s="344"/>
      <c r="TFO15" s="342"/>
      <c r="TFP15" s="342"/>
      <c r="TFQ15" s="342"/>
      <c r="TFR15" s="343"/>
      <c r="TFS15" s="343"/>
      <c r="TFT15" s="344"/>
      <c r="TFU15" s="344"/>
      <c r="TFV15" s="344"/>
      <c r="TFW15" s="342"/>
      <c r="TFX15" s="342"/>
      <c r="TFY15" s="342"/>
      <c r="TFZ15" s="343"/>
      <c r="TGA15" s="343"/>
      <c r="TGB15" s="344"/>
      <c r="TGC15" s="344"/>
      <c r="TGD15" s="344"/>
      <c r="TGE15" s="342"/>
      <c r="TGF15" s="342"/>
      <c r="TGG15" s="342"/>
      <c r="TGH15" s="343"/>
      <c r="TGI15" s="343"/>
      <c r="TGJ15" s="344"/>
      <c r="TGK15" s="344"/>
      <c r="TGL15" s="344"/>
      <c r="TGM15" s="342"/>
      <c r="TGN15" s="342"/>
      <c r="TGO15" s="342"/>
      <c r="TGP15" s="343"/>
      <c r="TGQ15" s="343"/>
      <c r="TGR15" s="344"/>
      <c r="TGS15" s="344"/>
      <c r="TGT15" s="344"/>
      <c r="TGU15" s="342"/>
      <c r="TGV15" s="342"/>
      <c r="TGW15" s="342"/>
      <c r="TGX15" s="343"/>
      <c r="TGY15" s="343"/>
      <c r="TGZ15" s="344"/>
      <c r="THA15" s="344"/>
      <c r="THB15" s="344"/>
      <c r="THC15" s="342"/>
      <c r="THD15" s="342"/>
      <c r="THE15" s="342"/>
      <c r="THF15" s="343"/>
      <c r="THG15" s="343"/>
      <c r="THH15" s="344"/>
      <c r="THI15" s="344"/>
      <c r="THJ15" s="344"/>
      <c r="THK15" s="342"/>
      <c r="THL15" s="342"/>
      <c r="THM15" s="342"/>
      <c r="THN15" s="343"/>
      <c r="THO15" s="343"/>
      <c r="THP15" s="344"/>
      <c r="THQ15" s="344"/>
      <c r="THR15" s="344"/>
      <c r="THS15" s="342"/>
      <c r="THT15" s="342"/>
      <c r="THU15" s="342"/>
      <c r="THV15" s="343"/>
      <c r="THW15" s="343"/>
      <c r="THX15" s="344"/>
      <c r="THY15" s="344"/>
      <c r="THZ15" s="344"/>
      <c r="TIA15" s="342"/>
      <c r="TIB15" s="342"/>
      <c r="TIC15" s="342"/>
      <c r="TID15" s="343"/>
      <c r="TIE15" s="343"/>
      <c r="TIF15" s="344"/>
      <c r="TIG15" s="344"/>
      <c r="TIH15" s="344"/>
      <c r="TII15" s="342"/>
      <c r="TIJ15" s="342"/>
      <c r="TIK15" s="342"/>
      <c r="TIL15" s="343"/>
      <c r="TIM15" s="343"/>
      <c r="TIN15" s="344"/>
      <c r="TIO15" s="344"/>
      <c r="TIP15" s="344"/>
      <c r="TIQ15" s="342"/>
      <c r="TIR15" s="342"/>
      <c r="TIS15" s="342"/>
      <c r="TIT15" s="343"/>
      <c r="TIU15" s="343"/>
      <c r="TIV15" s="344"/>
      <c r="TIW15" s="344"/>
      <c r="TIX15" s="344"/>
      <c r="TIY15" s="342"/>
      <c r="TIZ15" s="342"/>
      <c r="TJA15" s="342"/>
      <c r="TJB15" s="343"/>
      <c r="TJC15" s="343"/>
      <c r="TJD15" s="344"/>
      <c r="TJE15" s="344"/>
      <c r="TJF15" s="344"/>
      <c r="TJG15" s="342"/>
      <c r="TJH15" s="342"/>
      <c r="TJI15" s="342"/>
      <c r="TJJ15" s="343"/>
      <c r="TJK15" s="343"/>
      <c r="TJL15" s="344"/>
      <c r="TJM15" s="344"/>
      <c r="TJN15" s="344"/>
      <c r="TJO15" s="342"/>
      <c r="TJP15" s="342"/>
      <c r="TJQ15" s="342"/>
      <c r="TJR15" s="343"/>
      <c r="TJS15" s="343"/>
      <c r="TJT15" s="344"/>
      <c r="TJU15" s="344"/>
      <c r="TJV15" s="344"/>
      <c r="TJW15" s="342"/>
      <c r="TJX15" s="342"/>
      <c r="TJY15" s="342"/>
      <c r="TJZ15" s="343"/>
      <c r="TKA15" s="343"/>
      <c r="TKB15" s="344"/>
      <c r="TKC15" s="344"/>
      <c r="TKD15" s="344"/>
      <c r="TKE15" s="342"/>
      <c r="TKF15" s="342"/>
      <c r="TKG15" s="342"/>
      <c r="TKH15" s="343"/>
      <c r="TKI15" s="343"/>
      <c r="TKJ15" s="344"/>
      <c r="TKK15" s="344"/>
      <c r="TKL15" s="344"/>
      <c r="TKM15" s="342"/>
      <c r="TKN15" s="342"/>
      <c r="TKO15" s="342"/>
      <c r="TKP15" s="343"/>
      <c r="TKQ15" s="343"/>
      <c r="TKR15" s="344"/>
      <c r="TKS15" s="344"/>
      <c r="TKT15" s="344"/>
      <c r="TKU15" s="342"/>
      <c r="TKV15" s="342"/>
      <c r="TKW15" s="342"/>
      <c r="TKX15" s="343"/>
      <c r="TKY15" s="343"/>
      <c r="TKZ15" s="344"/>
      <c r="TLA15" s="344"/>
      <c r="TLB15" s="344"/>
      <c r="TLC15" s="342"/>
      <c r="TLD15" s="342"/>
      <c r="TLE15" s="342"/>
      <c r="TLF15" s="343"/>
      <c r="TLG15" s="343"/>
      <c r="TLH15" s="344"/>
      <c r="TLI15" s="344"/>
      <c r="TLJ15" s="344"/>
      <c r="TLK15" s="342"/>
      <c r="TLL15" s="342"/>
      <c r="TLM15" s="342"/>
      <c r="TLN15" s="343"/>
      <c r="TLO15" s="343"/>
      <c r="TLP15" s="344"/>
      <c r="TLQ15" s="344"/>
      <c r="TLR15" s="344"/>
      <c r="TLS15" s="342"/>
      <c r="TLT15" s="342"/>
      <c r="TLU15" s="342"/>
      <c r="TLV15" s="343"/>
      <c r="TLW15" s="343"/>
      <c r="TLX15" s="344"/>
      <c r="TLY15" s="344"/>
      <c r="TLZ15" s="344"/>
      <c r="TMA15" s="342"/>
      <c r="TMB15" s="342"/>
      <c r="TMC15" s="342"/>
      <c r="TMD15" s="343"/>
      <c r="TME15" s="343"/>
      <c r="TMF15" s="344"/>
      <c r="TMG15" s="344"/>
      <c r="TMH15" s="344"/>
      <c r="TMI15" s="342"/>
      <c r="TMJ15" s="342"/>
      <c r="TMK15" s="342"/>
      <c r="TML15" s="343"/>
      <c r="TMM15" s="343"/>
      <c r="TMN15" s="344"/>
      <c r="TMO15" s="344"/>
      <c r="TMP15" s="344"/>
      <c r="TMQ15" s="342"/>
      <c r="TMR15" s="342"/>
      <c r="TMS15" s="342"/>
      <c r="TMT15" s="343"/>
      <c r="TMU15" s="343"/>
      <c r="TMV15" s="344"/>
      <c r="TMW15" s="344"/>
      <c r="TMX15" s="344"/>
      <c r="TMY15" s="342"/>
      <c r="TMZ15" s="342"/>
      <c r="TNA15" s="342"/>
      <c r="TNB15" s="343"/>
      <c r="TNC15" s="343"/>
      <c r="TND15" s="344"/>
      <c r="TNE15" s="344"/>
      <c r="TNF15" s="344"/>
      <c r="TNG15" s="342"/>
      <c r="TNH15" s="342"/>
      <c r="TNI15" s="342"/>
      <c r="TNJ15" s="343"/>
      <c r="TNK15" s="343"/>
      <c r="TNL15" s="344"/>
      <c r="TNM15" s="344"/>
      <c r="TNN15" s="344"/>
      <c r="TNO15" s="342"/>
      <c r="TNP15" s="342"/>
      <c r="TNQ15" s="342"/>
      <c r="TNR15" s="343"/>
      <c r="TNS15" s="343"/>
      <c r="TNT15" s="344"/>
      <c r="TNU15" s="344"/>
      <c r="TNV15" s="344"/>
      <c r="TNW15" s="342"/>
      <c r="TNX15" s="342"/>
      <c r="TNY15" s="342"/>
      <c r="TNZ15" s="343"/>
      <c r="TOA15" s="343"/>
      <c r="TOB15" s="344"/>
      <c r="TOC15" s="344"/>
      <c r="TOD15" s="344"/>
      <c r="TOE15" s="342"/>
      <c r="TOF15" s="342"/>
      <c r="TOG15" s="342"/>
      <c r="TOH15" s="343"/>
      <c r="TOI15" s="343"/>
      <c r="TOJ15" s="344"/>
      <c r="TOK15" s="344"/>
      <c r="TOL15" s="344"/>
      <c r="TOM15" s="342"/>
      <c r="TON15" s="342"/>
      <c r="TOO15" s="342"/>
      <c r="TOP15" s="343"/>
      <c r="TOQ15" s="343"/>
      <c r="TOR15" s="344"/>
      <c r="TOS15" s="344"/>
      <c r="TOT15" s="344"/>
      <c r="TOU15" s="342"/>
      <c r="TOV15" s="342"/>
      <c r="TOW15" s="342"/>
      <c r="TOX15" s="343"/>
      <c r="TOY15" s="343"/>
      <c r="TOZ15" s="344"/>
      <c r="TPA15" s="344"/>
      <c r="TPB15" s="344"/>
      <c r="TPC15" s="342"/>
      <c r="TPD15" s="342"/>
      <c r="TPE15" s="342"/>
      <c r="TPF15" s="343"/>
      <c r="TPG15" s="343"/>
      <c r="TPH15" s="344"/>
      <c r="TPI15" s="344"/>
      <c r="TPJ15" s="344"/>
      <c r="TPK15" s="342"/>
      <c r="TPL15" s="342"/>
      <c r="TPM15" s="342"/>
      <c r="TPN15" s="343"/>
      <c r="TPO15" s="343"/>
      <c r="TPP15" s="344"/>
      <c r="TPQ15" s="344"/>
      <c r="TPR15" s="344"/>
      <c r="TPS15" s="342"/>
      <c r="TPT15" s="342"/>
      <c r="TPU15" s="342"/>
      <c r="TPV15" s="343"/>
      <c r="TPW15" s="343"/>
      <c r="TPX15" s="344"/>
      <c r="TPY15" s="344"/>
      <c r="TPZ15" s="344"/>
      <c r="TQA15" s="342"/>
      <c r="TQB15" s="342"/>
      <c r="TQC15" s="342"/>
      <c r="TQD15" s="343"/>
      <c r="TQE15" s="343"/>
      <c r="TQF15" s="344"/>
      <c r="TQG15" s="344"/>
      <c r="TQH15" s="344"/>
      <c r="TQI15" s="342"/>
      <c r="TQJ15" s="342"/>
      <c r="TQK15" s="342"/>
      <c r="TQL15" s="343"/>
      <c r="TQM15" s="343"/>
      <c r="TQN15" s="344"/>
      <c r="TQO15" s="344"/>
      <c r="TQP15" s="344"/>
      <c r="TQQ15" s="342"/>
      <c r="TQR15" s="342"/>
      <c r="TQS15" s="342"/>
      <c r="TQT15" s="343"/>
      <c r="TQU15" s="343"/>
      <c r="TQV15" s="344"/>
      <c r="TQW15" s="344"/>
      <c r="TQX15" s="344"/>
      <c r="TQY15" s="342"/>
      <c r="TQZ15" s="342"/>
      <c r="TRA15" s="342"/>
      <c r="TRB15" s="343"/>
      <c r="TRC15" s="343"/>
      <c r="TRD15" s="344"/>
      <c r="TRE15" s="344"/>
      <c r="TRF15" s="344"/>
      <c r="TRG15" s="342"/>
      <c r="TRH15" s="342"/>
      <c r="TRI15" s="342"/>
      <c r="TRJ15" s="343"/>
      <c r="TRK15" s="343"/>
      <c r="TRL15" s="344"/>
      <c r="TRM15" s="344"/>
      <c r="TRN15" s="344"/>
      <c r="TRO15" s="342"/>
      <c r="TRP15" s="342"/>
      <c r="TRQ15" s="342"/>
      <c r="TRR15" s="343"/>
      <c r="TRS15" s="343"/>
      <c r="TRT15" s="344"/>
      <c r="TRU15" s="344"/>
      <c r="TRV15" s="344"/>
      <c r="TRW15" s="342"/>
      <c r="TRX15" s="342"/>
      <c r="TRY15" s="342"/>
      <c r="TRZ15" s="343"/>
      <c r="TSA15" s="343"/>
      <c r="TSB15" s="344"/>
      <c r="TSC15" s="344"/>
      <c r="TSD15" s="344"/>
      <c r="TSE15" s="342"/>
      <c r="TSF15" s="342"/>
      <c r="TSG15" s="342"/>
      <c r="TSH15" s="343"/>
      <c r="TSI15" s="343"/>
      <c r="TSJ15" s="344"/>
      <c r="TSK15" s="344"/>
      <c r="TSL15" s="344"/>
      <c r="TSM15" s="342"/>
      <c r="TSN15" s="342"/>
      <c r="TSO15" s="342"/>
      <c r="TSP15" s="343"/>
      <c r="TSQ15" s="343"/>
      <c r="TSR15" s="344"/>
      <c r="TSS15" s="344"/>
      <c r="TST15" s="344"/>
      <c r="TSU15" s="342"/>
      <c r="TSV15" s="342"/>
      <c r="TSW15" s="342"/>
      <c r="TSX15" s="343"/>
      <c r="TSY15" s="343"/>
      <c r="TSZ15" s="344"/>
      <c r="TTA15" s="344"/>
      <c r="TTB15" s="344"/>
      <c r="TTC15" s="342"/>
      <c r="TTD15" s="342"/>
      <c r="TTE15" s="342"/>
      <c r="TTF15" s="343"/>
      <c r="TTG15" s="343"/>
      <c r="TTH15" s="344"/>
      <c r="TTI15" s="344"/>
      <c r="TTJ15" s="344"/>
      <c r="TTK15" s="342"/>
      <c r="TTL15" s="342"/>
      <c r="TTM15" s="342"/>
      <c r="TTN15" s="343"/>
      <c r="TTO15" s="343"/>
      <c r="TTP15" s="344"/>
      <c r="TTQ15" s="344"/>
      <c r="TTR15" s="344"/>
      <c r="TTS15" s="342"/>
      <c r="TTT15" s="342"/>
      <c r="TTU15" s="342"/>
      <c r="TTV15" s="343"/>
      <c r="TTW15" s="343"/>
      <c r="TTX15" s="344"/>
      <c r="TTY15" s="344"/>
      <c r="TTZ15" s="344"/>
      <c r="TUA15" s="342"/>
      <c r="TUB15" s="342"/>
      <c r="TUC15" s="342"/>
      <c r="TUD15" s="343"/>
      <c r="TUE15" s="343"/>
      <c r="TUF15" s="344"/>
      <c r="TUG15" s="344"/>
      <c r="TUH15" s="344"/>
      <c r="TUI15" s="342"/>
      <c r="TUJ15" s="342"/>
      <c r="TUK15" s="342"/>
      <c r="TUL15" s="343"/>
      <c r="TUM15" s="343"/>
      <c r="TUN15" s="344"/>
      <c r="TUO15" s="344"/>
      <c r="TUP15" s="344"/>
      <c r="TUQ15" s="342"/>
      <c r="TUR15" s="342"/>
      <c r="TUS15" s="342"/>
      <c r="TUT15" s="343"/>
      <c r="TUU15" s="343"/>
      <c r="TUV15" s="344"/>
      <c r="TUW15" s="344"/>
      <c r="TUX15" s="344"/>
      <c r="TUY15" s="342"/>
      <c r="TUZ15" s="342"/>
      <c r="TVA15" s="342"/>
      <c r="TVB15" s="343"/>
      <c r="TVC15" s="343"/>
      <c r="TVD15" s="344"/>
      <c r="TVE15" s="344"/>
      <c r="TVF15" s="344"/>
      <c r="TVG15" s="342"/>
      <c r="TVH15" s="342"/>
      <c r="TVI15" s="342"/>
      <c r="TVJ15" s="343"/>
      <c r="TVK15" s="343"/>
      <c r="TVL15" s="344"/>
      <c r="TVM15" s="344"/>
      <c r="TVN15" s="344"/>
      <c r="TVO15" s="342"/>
      <c r="TVP15" s="342"/>
      <c r="TVQ15" s="342"/>
      <c r="TVR15" s="343"/>
      <c r="TVS15" s="343"/>
      <c r="TVT15" s="344"/>
      <c r="TVU15" s="344"/>
      <c r="TVV15" s="344"/>
      <c r="TVW15" s="342"/>
      <c r="TVX15" s="342"/>
      <c r="TVY15" s="342"/>
      <c r="TVZ15" s="343"/>
      <c r="TWA15" s="343"/>
      <c r="TWB15" s="344"/>
      <c r="TWC15" s="344"/>
      <c r="TWD15" s="344"/>
      <c r="TWE15" s="342"/>
      <c r="TWF15" s="342"/>
      <c r="TWG15" s="342"/>
      <c r="TWH15" s="343"/>
      <c r="TWI15" s="343"/>
      <c r="TWJ15" s="344"/>
      <c r="TWK15" s="344"/>
      <c r="TWL15" s="344"/>
      <c r="TWM15" s="342"/>
      <c r="TWN15" s="342"/>
      <c r="TWO15" s="342"/>
      <c r="TWP15" s="343"/>
      <c r="TWQ15" s="343"/>
      <c r="TWR15" s="344"/>
      <c r="TWS15" s="344"/>
      <c r="TWT15" s="344"/>
      <c r="TWU15" s="342"/>
      <c r="TWV15" s="342"/>
      <c r="TWW15" s="342"/>
      <c r="TWX15" s="343"/>
      <c r="TWY15" s="343"/>
      <c r="TWZ15" s="344"/>
      <c r="TXA15" s="344"/>
      <c r="TXB15" s="344"/>
      <c r="TXC15" s="342"/>
      <c r="TXD15" s="342"/>
      <c r="TXE15" s="342"/>
      <c r="TXF15" s="343"/>
      <c r="TXG15" s="343"/>
      <c r="TXH15" s="344"/>
      <c r="TXI15" s="344"/>
      <c r="TXJ15" s="344"/>
      <c r="TXK15" s="342"/>
      <c r="TXL15" s="342"/>
      <c r="TXM15" s="342"/>
      <c r="TXN15" s="343"/>
      <c r="TXO15" s="343"/>
      <c r="TXP15" s="344"/>
      <c r="TXQ15" s="344"/>
      <c r="TXR15" s="344"/>
      <c r="TXS15" s="342"/>
      <c r="TXT15" s="342"/>
      <c r="TXU15" s="342"/>
      <c r="TXV15" s="343"/>
      <c r="TXW15" s="343"/>
      <c r="TXX15" s="344"/>
      <c r="TXY15" s="344"/>
      <c r="TXZ15" s="344"/>
      <c r="TYA15" s="342"/>
      <c r="TYB15" s="342"/>
      <c r="TYC15" s="342"/>
      <c r="TYD15" s="343"/>
      <c r="TYE15" s="343"/>
      <c r="TYF15" s="344"/>
      <c r="TYG15" s="344"/>
      <c r="TYH15" s="344"/>
      <c r="TYI15" s="342"/>
      <c r="TYJ15" s="342"/>
      <c r="TYK15" s="342"/>
      <c r="TYL15" s="343"/>
      <c r="TYM15" s="343"/>
      <c r="TYN15" s="344"/>
      <c r="TYO15" s="344"/>
      <c r="TYP15" s="344"/>
      <c r="TYQ15" s="342"/>
      <c r="TYR15" s="342"/>
      <c r="TYS15" s="342"/>
      <c r="TYT15" s="343"/>
      <c r="TYU15" s="343"/>
      <c r="TYV15" s="344"/>
      <c r="TYW15" s="344"/>
      <c r="TYX15" s="344"/>
      <c r="TYY15" s="342"/>
      <c r="TYZ15" s="342"/>
      <c r="TZA15" s="342"/>
      <c r="TZB15" s="343"/>
      <c r="TZC15" s="343"/>
      <c r="TZD15" s="344"/>
      <c r="TZE15" s="344"/>
      <c r="TZF15" s="344"/>
      <c r="TZG15" s="342"/>
      <c r="TZH15" s="342"/>
      <c r="TZI15" s="342"/>
      <c r="TZJ15" s="343"/>
      <c r="TZK15" s="343"/>
      <c r="TZL15" s="344"/>
      <c r="TZM15" s="344"/>
      <c r="TZN15" s="344"/>
      <c r="TZO15" s="342"/>
      <c r="TZP15" s="342"/>
      <c r="TZQ15" s="342"/>
      <c r="TZR15" s="343"/>
      <c r="TZS15" s="343"/>
      <c r="TZT15" s="344"/>
      <c r="TZU15" s="344"/>
      <c r="TZV15" s="344"/>
      <c r="TZW15" s="342"/>
      <c r="TZX15" s="342"/>
      <c r="TZY15" s="342"/>
      <c r="TZZ15" s="343"/>
      <c r="UAA15" s="343"/>
      <c r="UAB15" s="344"/>
      <c r="UAC15" s="344"/>
      <c r="UAD15" s="344"/>
      <c r="UAE15" s="342"/>
      <c r="UAF15" s="342"/>
      <c r="UAG15" s="342"/>
      <c r="UAH15" s="343"/>
      <c r="UAI15" s="343"/>
      <c r="UAJ15" s="344"/>
      <c r="UAK15" s="344"/>
      <c r="UAL15" s="344"/>
      <c r="UAM15" s="342"/>
      <c r="UAN15" s="342"/>
      <c r="UAO15" s="342"/>
      <c r="UAP15" s="343"/>
      <c r="UAQ15" s="343"/>
      <c r="UAR15" s="344"/>
      <c r="UAS15" s="344"/>
      <c r="UAT15" s="344"/>
      <c r="UAU15" s="342"/>
      <c r="UAV15" s="342"/>
      <c r="UAW15" s="342"/>
      <c r="UAX15" s="343"/>
      <c r="UAY15" s="343"/>
      <c r="UAZ15" s="344"/>
      <c r="UBA15" s="344"/>
      <c r="UBB15" s="344"/>
      <c r="UBC15" s="342"/>
      <c r="UBD15" s="342"/>
      <c r="UBE15" s="342"/>
      <c r="UBF15" s="343"/>
      <c r="UBG15" s="343"/>
      <c r="UBH15" s="344"/>
      <c r="UBI15" s="344"/>
      <c r="UBJ15" s="344"/>
      <c r="UBK15" s="342"/>
      <c r="UBL15" s="342"/>
      <c r="UBM15" s="342"/>
      <c r="UBN15" s="343"/>
      <c r="UBO15" s="343"/>
      <c r="UBP15" s="344"/>
      <c r="UBQ15" s="344"/>
      <c r="UBR15" s="344"/>
      <c r="UBS15" s="342"/>
      <c r="UBT15" s="342"/>
      <c r="UBU15" s="342"/>
      <c r="UBV15" s="343"/>
      <c r="UBW15" s="343"/>
      <c r="UBX15" s="344"/>
      <c r="UBY15" s="344"/>
      <c r="UBZ15" s="344"/>
      <c r="UCA15" s="342"/>
      <c r="UCB15" s="342"/>
      <c r="UCC15" s="342"/>
      <c r="UCD15" s="343"/>
      <c r="UCE15" s="343"/>
      <c r="UCF15" s="344"/>
      <c r="UCG15" s="344"/>
      <c r="UCH15" s="344"/>
      <c r="UCI15" s="342"/>
      <c r="UCJ15" s="342"/>
      <c r="UCK15" s="342"/>
      <c r="UCL15" s="343"/>
      <c r="UCM15" s="343"/>
      <c r="UCN15" s="344"/>
      <c r="UCO15" s="344"/>
      <c r="UCP15" s="344"/>
      <c r="UCQ15" s="342"/>
      <c r="UCR15" s="342"/>
      <c r="UCS15" s="342"/>
      <c r="UCT15" s="343"/>
      <c r="UCU15" s="343"/>
      <c r="UCV15" s="344"/>
      <c r="UCW15" s="344"/>
      <c r="UCX15" s="344"/>
      <c r="UCY15" s="342"/>
      <c r="UCZ15" s="342"/>
      <c r="UDA15" s="342"/>
      <c r="UDB15" s="343"/>
      <c r="UDC15" s="343"/>
      <c r="UDD15" s="344"/>
      <c r="UDE15" s="344"/>
      <c r="UDF15" s="344"/>
      <c r="UDG15" s="342"/>
      <c r="UDH15" s="342"/>
      <c r="UDI15" s="342"/>
      <c r="UDJ15" s="343"/>
      <c r="UDK15" s="343"/>
      <c r="UDL15" s="344"/>
      <c r="UDM15" s="344"/>
      <c r="UDN15" s="344"/>
      <c r="UDO15" s="342"/>
      <c r="UDP15" s="342"/>
      <c r="UDQ15" s="342"/>
      <c r="UDR15" s="343"/>
      <c r="UDS15" s="343"/>
      <c r="UDT15" s="344"/>
      <c r="UDU15" s="344"/>
      <c r="UDV15" s="344"/>
      <c r="UDW15" s="342"/>
      <c r="UDX15" s="342"/>
      <c r="UDY15" s="342"/>
      <c r="UDZ15" s="343"/>
      <c r="UEA15" s="343"/>
      <c r="UEB15" s="344"/>
      <c r="UEC15" s="344"/>
      <c r="UED15" s="344"/>
      <c r="UEE15" s="342"/>
      <c r="UEF15" s="342"/>
      <c r="UEG15" s="342"/>
      <c r="UEH15" s="343"/>
      <c r="UEI15" s="343"/>
      <c r="UEJ15" s="344"/>
      <c r="UEK15" s="344"/>
      <c r="UEL15" s="344"/>
      <c r="UEM15" s="342"/>
      <c r="UEN15" s="342"/>
      <c r="UEO15" s="342"/>
      <c r="UEP15" s="343"/>
      <c r="UEQ15" s="343"/>
      <c r="UER15" s="344"/>
      <c r="UES15" s="344"/>
      <c r="UET15" s="344"/>
      <c r="UEU15" s="342"/>
      <c r="UEV15" s="342"/>
      <c r="UEW15" s="342"/>
      <c r="UEX15" s="343"/>
      <c r="UEY15" s="343"/>
      <c r="UEZ15" s="344"/>
      <c r="UFA15" s="344"/>
      <c r="UFB15" s="344"/>
      <c r="UFC15" s="342"/>
      <c r="UFD15" s="342"/>
      <c r="UFE15" s="342"/>
      <c r="UFF15" s="343"/>
      <c r="UFG15" s="343"/>
      <c r="UFH15" s="344"/>
      <c r="UFI15" s="344"/>
      <c r="UFJ15" s="344"/>
      <c r="UFK15" s="342"/>
      <c r="UFL15" s="342"/>
      <c r="UFM15" s="342"/>
      <c r="UFN15" s="343"/>
      <c r="UFO15" s="343"/>
      <c r="UFP15" s="344"/>
      <c r="UFQ15" s="344"/>
      <c r="UFR15" s="344"/>
      <c r="UFS15" s="342"/>
      <c r="UFT15" s="342"/>
      <c r="UFU15" s="342"/>
      <c r="UFV15" s="343"/>
      <c r="UFW15" s="343"/>
      <c r="UFX15" s="344"/>
      <c r="UFY15" s="344"/>
      <c r="UFZ15" s="344"/>
      <c r="UGA15" s="342"/>
      <c r="UGB15" s="342"/>
      <c r="UGC15" s="342"/>
      <c r="UGD15" s="343"/>
      <c r="UGE15" s="343"/>
      <c r="UGF15" s="344"/>
      <c r="UGG15" s="344"/>
      <c r="UGH15" s="344"/>
      <c r="UGI15" s="342"/>
      <c r="UGJ15" s="342"/>
      <c r="UGK15" s="342"/>
      <c r="UGL15" s="343"/>
      <c r="UGM15" s="343"/>
      <c r="UGN15" s="344"/>
      <c r="UGO15" s="344"/>
      <c r="UGP15" s="344"/>
      <c r="UGQ15" s="342"/>
      <c r="UGR15" s="342"/>
      <c r="UGS15" s="342"/>
      <c r="UGT15" s="343"/>
      <c r="UGU15" s="343"/>
      <c r="UGV15" s="344"/>
      <c r="UGW15" s="344"/>
      <c r="UGX15" s="344"/>
      <c r="UGY15" s="342"/>
      <c r="UGZ15" s="342"/>
      <c r="UHA15" s="342"/>
      <c r="UHB15" s="343"/>
      <c r="UHC15" s="343"/>
      <c r="UHD15" s="344"/>
      <c r="UHE15" s="344"/>
      <c r="UHF15" s="344"/>
      <c r="UHG15" s="342"/>
      <c r="UHH15" s="342"/>
      <c r="UHI15" s="342"/>
      <c r="UHJ15" s="343"/>
      <c r="UHK15" s="343"/>
      <c r="UHL15" s="344"/>
      <c r="UHM15" s="344"/>
      <c r="UHN15" s="344"/>
      <c r="UHO15" s="342"/>
      <c r="UHP15" s="342"/>
      <c r="UHQ15" s="342"/>
      <c r="UHR15" s="343"/>
      <c r="UHS15" s="343"/>
      <c r="UHT15" s="344"/>
      <c r="UHU15" s="344"/>
      <c r="UHV15" s="344"/>
      <c r="UHW15" s="342"/>
      <c r="UHX15" s="342"/>
      <c r="UHY15" s="342"/>
      <c r="UHZ15" s="343"/>
      <c r="UIA15" s="343"/>
      <c r="UIB15" s="344"/>
      <c r="UIC15" s="344"/>
      <c r="UID15" s="344"/>
      <c r="UIE15" s="342"/>
      <c r="UIF15" s="342"/>
      <c r="UIG15" s="342"/>
      <c r="UIH15" s="343"/>
      <c r="UII15" s="343"/>
      <c r="UIJ15" s="344"/>
      <c r="UIK15" s="344"/>
      <c r="UIL15" s="344"/>
      <c r="UIM15" s="342"/>
      <c r="UIN15" s="342"/>
      <c r="UIO15" s="342"/>
      <c r="UIP15" s="343"/>
      <c r="UIQ15" s="343"/>
      <c r="UIR15" s="344"/>
      <c r="UIS15" s="344"/>
      <c r="UIT15" s="344"/>
      <c r="UIU15" s="342"/>
      <c r="UIV15" s="342"/>
      <c r="UIW15" s="342"/>
      <c r="UIX15" s="343"/>
      <c r="UIY15" s="343"/>
      <c r="UIZ15" s="344"/>
      <c r="UJA15" s="344"/>
      <c r="UJB15" s="344"/>
      <c r="UJC15" s="342"/>
      <c r="UJD15" s="342"/>
      <c r="UJE15" s="342"/>
      <c r="UJF15" s="343"/>
      <c r="UJG15" s="343"/>
      <c r="UJH15" s="344"/>
      <c r="UJI15" s="344"/>
      <c r="UJJ15" s="344"/>
      <c r="UJK15" s="342"/>
      <c r="UJL15" s="342"/>
      <c r="UJM15" s="342"/>
      <c r="UJN15" s="343"/>
      <c r="UJO15" s="343"/>
      <c r="UJP15" s="344"/>
      <c r="UJQ15" s="344"/>
      <c r="UJR15" s="344"/>
      <c r="UJS15" s="342"/>
      <c r="UJT15" s="342"/>
      <c r="UJU15" s="342"/>
      <c r="UJV15" s="343"/>
      <c r="UJW15" s="343"/>
      <c r="UJX15" s="344"/>
      <c r="UJY15" s="344"/>
      <c r="UJZ15" s="344"/>
      <c r="UKA15" s="342"/>
      <c r="UKB15" s="342"/>
      <c r="UKC15" s="342"/>
      <c r="UKD15" s="343"/>
      <c r="UKE15" s="343"/>
      <c r="UKF15" s="344"/>
      <c r="UKG15" s="344"/>
      <c r="UKH15" s="344"/>
      <c r="UKI15" s="342"/>
      <c r="UKJ15" s="342"/>
      <c r="UKK15" s="342"/>
      <c r="UKL15" s="343"/>
      <c r="UKM15" s="343"/>
      <c r="UKN15" s="344"/>
      <c r="UKO15" s="344"/>
      <c r="UKP15" s="344"/>
      <c r="UKQ15" s="342"/>
      <c r="UKR15" s="342"/>
      <c r="UKS15" s="342"/>
      <c r="UKT15" s="343"/>
      <c r="UKU15" s="343"/>
      <c r="UKV15" s="344"/>
      <c r="UKW15" s="344"/>
      <c r="UKX15" s="344"/>
      <c r="UKY15" s="342"/>
      <c r="UKZ15" s="342"/>
      <c r="ULA15" s="342"/>
      <c r="ULB15" s="343"/>
      <c r="ULC15" s="343"/>
      <c r="ULD15" s="344"/>
      <c r="ULE15" s="344"/>
      <c r="ULF15" s="344"/>
      <c r="ULG15" s="342"/>
      <c r="ULH15" s="342"/>
      <c r="ULI15" s="342"/>
      <c r="ULJ15" s="343"/>
      <c r="ULK15" s="343"/>
      <c r="ULL15" s="344"/>
      <c r="ULM15" s="344"/>
      <c r="ULN15" s="344"/>
      <c r="ULO15" s="342"/>
      <c r="ULP15" s="342"/>
      <c r="ULQ15" s="342"/>
      <c r="ULR15" s="343"/>
      <c r="ULS15" s="343"/>
      <c r="ULT15" s="344"/>
      <c r="ULU15" s="344"/>
      <c r="ULV15" s="344"/>
      <c r="ULW15" s="342"/>
      <c r="ULX15" s="342"/>
      <c r="ULY15" s="342"/>
      <c r="ULZ15" s="343"/>
      <c r="UMA15" s="343"/>
      <c r="UMB15" s="344"/>
      <c r="UMC15" s="344"/>
      <c r="UMD15" s="344"/>
      <c r="UME15" s="342"/>
      <c r="UMF15" s="342"/>
      <c r="UMG15" s="342"/>
      <c r="UMH15" s="343"/>
      <c r="UMI15" s="343"/>
      <c r="UMJ15" s="344"/>
      <c r="UMK15" s="344"/>
      <c r="UML15" s="344"/>
      <c r="UMM15" s="342"/>
      <c r="UMN15" s="342"/>
      <c r="UMO15" s="342"/>
      <c r="UMP15" s="343"/>
      <c r="UMQ15" s="343"/>
      <c r="UMR15" s="344"/>
      <c r="UMS15" s="344"/>
      <c r="UMT15" s="344"/>
      <c r="UMU15" s="342"/>
      <c r="UMV15" s="342"/>
      <c r="UMW15" s="342"/>
      <c r="UMX15" s="343"/>
      <c r="UMY15" s="343"/>
      <c r="UMZ15" s="344"/>
      <c r="UNA15" s="344"/>
      <c r="UNB15" s="344"/>
      <c r="UNC15" s="342"/>
      <c r="UND15" s="342"/>
      <c r="UNE15" s="342"/>
      <c r="UNF15" s="343"/>
      <c r="UNG15" s="343"/>
      <c r="UNH15" s="344"/>
      <c r="UNI15" s="344"/>
      <c r="UNJ15" s="344"/>
      <c r="UNK15" s="342"/>
      <c r="UNL15" s="342"/>
      <c r="UNM15" s="342"/>
      <c r="UNN15" s="343"/>
      <c r="UNO15" s="343"/>
      <c r="UNP15" s="344"/>
      <c r="UNQ15" s="344"/>
      <c r="UNR15" s="344"/>
      <c r="UNS15" s="342"/>
      <c r="UNT15" s="342"/>
      <c r="UNU15" s="342"/>
      <c r="UNV15" s="343"/>
      <c r="UNW15" s="343"/>
      <c r="UNX15" s="344"/>
      <c r="UNY15" s="344"/>
      <c r="UNZ15" s="344"/>
      <c r="UOA15" s="342"/>
      <c r="UOB15" s="342"/>
      <c r="UOC15" s="342"/>
      <c r="UOD15" s="343"/>
      <c r="UOE15" s="343"/>
      <c r="UOF15" s="344"/>
      <c r="UOG15" s="344"/>
      <c r="UOH15" s="344"/>
      <c r="UOI15" s="342"/>
      <c r="UOJ15" s="342"/>
      <c r="UOK15" s="342"/>
      <c r="UOL15" s="343"/>
      <c r="UOM15" s="343"/>
      <c r="UON15" s="344"/>
      <c r="UOO15" s="344"/>
      <c r="UOP15" s="344"/>
      <c r="UOQ15" s="342"/>
      <c r="UOR15" s="342"/>
      <c r="UOS15" s="342"/>
      <c r="UOT15" s="343"/>
      <c r="UOU15" s="343"/>
      <c r="UOV15" s="344"/>
      <c r="UOW15" s="344"/>
      <c r="UOX15" s="344"/>
      <c r="UOY15" s="342"/>
      <c r="UOZ15" s="342"/>
      <c r="UPA15" s="342"/>
      <c r="UPB15" s="343"/>
      <c r="UPC15" s="343"/>
      <c r="UPD15" s="344"/>
      <c r="UPE15" s="344"/>
      <c r="UPF15" s="344"/>
      <c r="UPG15" s="342"/>
      <c r="UPH15" s="342"/>
      <c r="UPI15" s="342"/>
      <c r="UPJ15" s="343"/>
      <c r="UPK15" s="343"/>
      <c r="UPL15" s="344"/>
      <c r="UPM15" s="344"/>
      <c r="UPN15" s="344"/>
      <c r="UPO15" s="342"/>
      <c r="UPP15" s="342"/>
      <c r="UPQ15" s="342"/>
      <c r="UPR15" s="343"/>
      <c r="UPS15" s="343"/>
      <c r="UPT15" s="344"/>
      <c r="UPU15" s="344"/>
      <c r="UPV15" s="344"/>
      <c r="UPW15" s="342"/>
      <c r="UPX15" s="342"/>
      <c r="UPY15" s="342"/>
      <c r="UPZ15" s="343"/>
      <c r="UQA15" s="343"/>
      <c r="UQB15" s="344"/>
      <c r="UQC15" s="344"/>
      <c r="UQD15" s="344"/>
      <c r="UQE15" s="342"/>
      <c r="UQF15" s="342"/>
      <c r="UQG15" s="342"/>
      <c r="UQH15" s="343"/>
      <c r="UQI15" s="343"/>
      <c r="UQJ15" s="344"/>
      <c r="UQK15" s="344"/>
      <c r="UQL15" s="344"/>
      <c r="UQM15" s="342"/>
      <c r="UQN15" s="342"/>
      <c r="UQO15" s="342"/>
      <c r="UQP15" s="343"/>
      <c r="UQQ15" s="343"/>
      <c r="UQR15" s="344"/>
      <c r="UQS15" s="344"/>
      <c r="UQT15" s="344"/>
      <c r="UQU15" s="342"/>
      <c r="UQV15" s="342"/>
      <c r="UQW15" s="342"/>
      <c r="UQX15" s="343"/>
      <c r="UQY15" s="343"/>
      <c r="UQZ15" s="344"/>
      <c r="URA15" s="344"/>
      <c r="URB15" s="344"/>
      <c r="URC15" s="342"/>
      <c r="URD15" s="342"/>
      <c r="URE15" s="342"/>
      <c r="URF15" s="343"/>
      <c r="URG15" s="343"/>
      <c r="URH15" s="344"/>
      <c r="URI15" s="344"/>
      <c r="URJ15" s="344"/>
      <c r="URK15" s="342"/>
      <c r="URL15" s="342"/>
      <c r="URM15" s="342"/>
      <c r="URN15" s="343"/>
      <c r="URO15" s="343"/>
      <c r="URP15" s="344"/>
      <c r="URQ15" s="344"/>
      <c r="URR15" s="344"/>
      <c r="URS15" s="342"/>
      <c r="URT15" s="342"/>
      <c r="URU15" s="342"/>
      <c r="URV15" s="343"/>
      <c r="URW15" s="343"/>
      <c r="URX15" s="344"/>
      <c r="URY15" s="344"/>
      <c r="URZ15" s="344"/>
      <c r="USA15" s="342"/>
      <c r="USB15" s="342"/>
      <c r="USC15" s="342"/>
      <c r="USD15" s="343"/>
      <c r="USE15" s="343"/>
      <c r="USF15" s="344"/>
      <c r="USG15" s="344"/>
      <c r="USH15" s="344"/>
      <c r="USI15" s="342"/>
      <c r="USJ15" s="342"/>
      <c r="USK15" s="342"/>
      <c r="USL15" s="343"/>
      <c r="USM15" s="343"/>
      <c r="USN15" s="344"/>
      <c r="USO15" s="344"/>
      <c r="USP15" s="344"/>
      <c r="USQ15" s="342"/>
      <c r="USR15" s="342"/>
      <c r="USS15" s="342"/>
      <c r="UST15" s="343"/>
      <c r="USU15" s="343"/>
      <c r="USV15" s="344"/>
      <c r="USW15" s="344"/>
      <c r="USX15" s="344"/>
      <c r="USY15" s="342"/>
      <c r="USZ15" s="342"/>
      <c r="UTA15" s="342"/>
      <c r="UTB15" s="343"/>
      <c r="UTC15" s="343"/>
      <c r="UTD15" s="344"/>
      <c r="UTE15" s="344"/>
      <c r="UTF15" s="344"/>
      <c r="UTG15" s="342"/>
      <c r="UTH15" s="342"/>
      <c r="UTI15" s="342"/>
      <c r="UTJ15" s="343"/>
      <c r="UTK15" s="343"/>
      <c r="UTL15" s="344"/>
      <c r="UTM15" s="344"/>
      <c r="UTN15" s="344"/>
      <c r="UTO15" s="342"/>
      <c r="UTP15" s="342"/>
      <c r="UTQ15" s="342"/>
      <c r="UTR15" s="343"/>
      <c r="UTS15" s="343"/>
      <c r="UTT15" s="344"/>
      <c r="UTU15" s="344"/>
      <c r="UTV15" s="344"/>
      <c r="UTW15" s="342"/>
      <c r="UTX15" s="342"/>
      <c r="UTY15" s="342"/>
      <c r="UTZ15" s="343"/>
      <c r="UUA15" s="343"/>
      <c r="UUB15" s="344"/>
      <c r="UUC15" s="344"/>
      <c r="UUD15" s="344"/>
      <c r="UUE15" s="342"/>
      <c r="UUF15" s="342"/>
      <c r="UUG15" s="342"/>
      <c r="UUH15" s="343"/>
      <c r="UUI15" s="343"/>
      <c r="UUJ15" s="344"/>
      <c r="UUK15" s="344"/>
      <c r="UUL15" s="344"/>
      <c r="UUM15" s="342"/>
      <c r="UUN15" s="342"/>
      <c r="UUO15" s="342"/>
      <c r="UUP15" s="343"/>
      <c r="UUQ15" s="343"/>
      <c r="UUR15" s="344"/>
      <c r="UUS15" s="344"/>
      <c r="UUT15" s="344"/>
      <c r="UUU15" s="342"/>
      <c r="UUV15" s="342"/>
      <c r="UUW15" s="342"/>
      <c r="UUX15" s="343"/>
      <c r="UUY15" s="343"/>
      <c r="UUZ15" s="344"/>
      <c r="UVA15" s="344"/>
      <c r="UVB15" s="344"/>
      <c r="UVC15" s="342"/>
      <c r="UVD15" s="342"/>
      <c r="UVE15" s="342"/>
      <c r="UVF15" s="343"/>
      <c r="UVG15" s="343"/>
      <c r="UVH15" s="344"/>
      <c r="UVI15" s="344"/>
      <c r="UVJ15" s="344"/>
      <c r="UVK15" s="342"/>
      <c r="UVL15" s="342"/>
      <c r="UVM15" s="342"/>
      <c r="UVN15" s="343"/>
      <c r="UVO15" s="343"/>
      <c r="UVP15" s="344"/>
      <c r="UVQ15" s="344"/>
      <c r="UVR15" s="344"/>
      <c r="UVS15" s="342"/>
      <c r="UVT15" s="342"/>
      <c r="UVU15" s="342"/>
      <c r="UVV15" s="343"/>
      <c r="UVW15" s="343"/>
      <c r="UVX15" s="344"/>
      <c r="UVY15" s="344"/>
      <c r="UVZ15" s="344"/>
      <c r="UWA15" s="342"/>
      <c r="UWB15" s="342"/>
      <c r="UWC15" s="342"/>
      <c r="UWD15" s="343"/>
      <c r="UWE15" s="343"/>
      <c r="UWF15" s="344"/>
      <c r="UWG15" s="344"/>
      <c r="UWH15" s="344"/>
      <c r="UWI15" s="342"/>
      <c r="UWJ15" s="342"/>
      <c r="UWK15" s="342"/>
      <c r="UWL15" s="343"/>
      <c r="UWM15" s="343"/>
      <c r="UWN15" s="344"/>
      <c r="UWO15" s="344"/>
      <c r="UWP15" s="344"/>
      <c r="UWQ15" s="342"/>
      <c r="UWR15" s="342"/>
      <c r="UWS15" s="342"/>
      <c r="UWT15" s="343"/>
      <c r="UWU15" s="343"/>
      <c r="UWV15" s="344"/>
      <c r="UWW15" s="344"/>
      <c r="UWX15" s="344"/>
      <c r="UWY15" s="342"/>
      <c r="UWZ15" s="342"/>
      <c r="UXA15" s="342"/>
      <c r="UXB15" s="343"/>
      <c r="UXC15" s="343"/>
      <c r="UXD15" s="344"/>
      <c r="UXE15" s="344"/>
      <c r="UXF15" s="344"/>
      <c r="UXG15" s="342"/>
      <c r="UXH15" s="342"/>
      <c r="UXI15" s="342"/>
      <c r="UXJ15" s="343"/>
      <c r="UXK15" s="343"/>
      <c r="UXL15" s="344"/>
      <c r="UXM15" s="344"/>
      <c r="UXN15" s="344"/>
      <c r="UXO15" s="342"/>
      <c r="UXP15" s="342"/>
      <c r="UXQ15" s="342"/>
      <c r="UXR15" s="343"/>
      <c r="UXS15" s="343"/>
      <c r="UXT15" s="344"/>
      <c r="UXU15" s="344"/>
      <c r="UXV15" s="344"/>
      <c r="UXW15" s="342"/>
      <c r="UXX15" s="342"/>
      <c r="UXY15" s="342"/>
      <c r="UXZ15" s="343"/>
      <c r="UYA15" s="343"/>
      <c r="UYB15" s="344"/>
      <c r="UYC15" s="344"/>
      <c r="UYD15" s="344"/>
      <c r="UYE15" s="342"/>
      <c r="UYF15" s="342"/>
      <c r="UYG15" s="342"/>
      <c r="UYH15" s="343"/>
      <c r="UYI15" s="343"/>
      <c r="UYJ15" s="344"/>
      <c r="UYK15" s="344"/>
      <c r="UYL15" s="344"/>
      <c r="UYM15" s="342"/>
      <c r="UYN15" s="342"/>
      <c r="UYO15" s="342"/>
      <c r="UYP15" s="343"/>
      <c r="UYQ15" s="343"/>
      <c r="UYR15" s="344"/>
      <c r="UYS15" s="344"/>
      <c r="UYT15" s="344"/>
      <c r="UYU15" s="342"/>
      <c r="UYV15" s="342"/>
      <c r="UYW15" s="342"/>
      <c r="UYX15" s="343"/>
      <c r="UYY15" s="343"/>
      <c r="UYZ15" s="344"/>
      <c r="UZA15" s="344"/>
      <c r="UZB15" s="344"/>
      <c r="UZC15" s="342"/>
      <c r="UZD15" s="342"/>
      <c r="UZE15" s="342"/>
      <c r="UZF15" s="343"/>
      <c r="UZG15" s="343"/>
      <c r="UZH15" s="344"/>
      <c r="UZI15" s="344"/>
      <c r="UZJ15" s="344"/>
      <c r="UZK15" s="342"/>
      <c r="UZL15" s="342"/>
      <c r="UZM15" s="342"/>
      <c r="UZN15" s="343"/>
      <c r="UZO15" s="343"/>
      <c r="UZP15" s="344"/>
      <c r="UZQ15" s="344"/>
      <c r="UZR15" s="344"/>
      <c r="UZS15" s="342"/>
      <c r="UZT15" s="342"/>
      <c r="UZU15" s="342"/>
      <c r="UZV15" s="343"/>
      <c r="UZW15" s="343"/>
      <c r="UZX15" s="344"/>
      <c r="UZY15" s="344"/>
      <c r="UZZ15" s="344"/>
      <c r="VAA15" s="342"/>
      <c r="VAB15" s="342"/>
      <c r="VAC15" s="342"/>
      <c r="VAD15" s="343"/>
      <c r="VAE15" s="343"/>
      <c r="VAF15" s="344"/>
      <c r="VAG15" s="344"/>
      <c r="VAH15" s="344"/>
      <c r="VAI15" s="342"/>
      <c r="VAJ15" s="342"/>
      <c r="VAK15" s="342"/>
      <c r="VAL15" s="343"/>
      <c r="VAM15" s="343"/>
      <c r="VAN15" s="344"/>
      <c r="VAO15" s="344"/>
      <c r="VAP15" s="344"/>
      <c r="VAQ15" s="342"/>
      <c r="VAR15" s="342"/>
      <c r="VAS15" s="342"/>
      <c r="VAT15" s="343"/>
      <c r="VAU15" s="343"/>
      <c r="VAV15" s="344"/>
      <c r="VAW15" s="344"/>
      <c r="VAX15" s="344"/>
      <c r="VAY15" s="342"/>
      <c r="VAZ15" s="342"/>
      <c r="VBA15" s="342"/>
      <c r="VBB15" s="343"/>
      <c r="VBC15" s="343"/>
      <c r="VBD15" s="344"/>
      <c r="VBE15" s="344"/>
      <c r="VBF15" s="344"/>
      <c r="VBG15" s="342"/>
      <c r="VBH15" s="342"/>
      <c r="VBI15" s="342"/>
      <c r="VBJ15" s="343"/>
      <c r="VBK15" s="343"/>
      <c r="VBL15" s="344"/>
      <c r="VBM15" s="344"/>
      <c r="VBN15" s="344"/>
      <c r="VBO15" s="342"/>
      <c r="VBP15" s="342"/>
      <c r="VBQ15" s="342"/>
      <c r="VBR15" s="343"/>
      <c r="VBS15" s="343"/>
      <c r="VBT15" s="344"/>
      <c r="VBU15" s="344"/>
      <c r="VBV15" s="344"/>
      <c r="VBW15" s="342"/>
      <c r="VBX15" s="342"/>
      <c r="VBY15" s="342"/>
      <c r="VBZ15" s="343"/>
      <c r="VCA15" s="343"/>
      <c r="VCB15" s="344"/>
      <c r="VCC15" s="344"/>
      <c r="VCD15" s="344"/>
      <c r="VCE15" s="342"/>
      <c r="VCF15" s="342"/>
      <c r="VCG15" s="342"/>
      <c r="VCH15" s="343"/>
      <c r="VCI15" s="343"/>
      <c r="VCJ15" s="344"/>
      <c r="VCK15" s="344"/>
      <c r="VCL15" s="344"/>
      <c r="VCM15" s="342"/>
      <c r="VCN15" s="342"/>
      <c r="VCO15" s="342"/>
      <c r="VCP15" s="343"/>
      <c r="VCQ15" s="343"/>
      <c r="VCR15" s="344"/>
      <c r="VCS15" s="344"/>
      <c r="VCT15" s="344"/>
      <c r="VCU15" s="342"/>
      <c r="VCV15" s="342"/>
      <c r="VCW15" s="342"/>
      <c r="VCX15" s="343"/>
      <c r="VCY15" s="343"/>
      <c r="VCZ15" s="344"/>
      <c r="VDA15" s="344"/>
      <c r="VDB15" s="344"/>
      <c r="VDC15" s="342"/>
      <c r="VDD15" s="342"/>
      <c r="VDE15" s="342"/>
      <c r="VDF15" s="343"/>
      <c r="VDG15" s="343"/>
      <c r="VDH15" s="344"/>
      <c r="VDI15" s="344"/>
      <c r="VDJ15" s="344"/>
      <c r="VDK15" s="342"/>
      <c r="VDL15" s="342"/>
      <c r="VDM15" s="342"/>
      <c r="VDN15" s="343"/>
      <c r="VDO15" s="343"/>
      <c r="VDP15" s="344"/>
      <c r="VDQ15" s="344"/>
      <c r="VDR15" s="344"/>
      <c r="VDS15" s="342"/>
      <c r="VDT15" s="342"/>
      <c r="VDU15" s="342"/>
      <c r="VDV15" s="343"/>
      <c r="VDW15" s="343"/>
      <c r="VDX15" s="344"/>
      <c r="VDY15" s="344"/>
      <c r="VDZ15" s="344"/>
      <c r="VEA15" s="342"/>
      <c r="VEB15" s="342"/>
      <c r="VEC15" s="342"/>
      <c r="VED15" s="343"/>
      <c r="VEE15" s="343"/>
      <c r="VEF15" s="344"/>
      <c r="VEG15" s="344"/>
      <c r="VEH15" s="344"/>
      <c r="VEI15" s="342"/>
      <c r="VEJ15" s="342"/>
      <c r="VEK15" s="342"/>
      <c r="VEL15" s="343"/>
      <c r="VEM15" s="343"/>
      <c r="VEN15" s="344"/>
      <c r="VEO15" s="344"/>
      <c r="VEP15" s="344"/>
      <c r="VEQ15" s="342"/>
      <c r="VER15" s="342"/>
      <c r="VES15" s="342"/>
      <c r="VET15" s="343"/>
      <c r="VEU15" s="343"/>
      <c r="VEV15" s="344"/>
      <c r="VEW15" s="344"/>
      <c r="VEX15" s="344"/>
      <c r="VEY15" s="342"/>
      <c r="VEZ15" s="342"/>
      <c r="VFA15" s="342"/>
      <c r="VFB15" s="343"/>
      <c r="VFC15" s="343"/>
      <c r="VFD15" s="344"/>
      <c r="VFE15" s="344"/>
      <c r="VFF15" s="344"/>
      <c r="VFG15" s="342"/>
      <c r="VFH15" s="342"/>
      <c r="VFI15" s="342"/>
      <c r="VFJ15" s="343"/>
      <c r="VFK15" s="343"/>
      <c r="VFL15" s="344"/>
      <c r="VFM15" s="344"/>
      <c r="VFN15" s="344"/>
      <c r="VFO15" s="342"/>
      <c r="VFP15" s="342"/>
      <c r="VFQ15" s="342"/>
      <c r="VFR15" s="343"/>
      <c r="VFS15" s="343"/>
      <c r="VFT15" s="344"/>
      <c r="VFU15" s="344"/>
      <c r="VFV15" s="344"/>
      <c r="VFW15" s="342"/>
      <c r="VFX15" s="342"/>
      <c r="VFY15" s="342"/>
      <c r="VFZ15" s="343"/>
      <c r="VGA15" s="343"/>
      <c r="VGB15" s="344"/>
      <c r="VGC15" s="344"/>
      <c r="VGD15" s="344"/>
      <c r="VGE15" s="342"/>
      <c r="VGF15" s="342"/>
      <c r="VGG15" s="342"/>
      <c r="VGH15" s="343"/>
      <c r="VGI15" s="343"/>
      <c r="VGJ15" s="344"/>
      <c r="VGK15" s="344"/>
      <c r="VGL15" s="344"/>
      <c r="VGM15" s="342"/>
      <c r="VGN15" s="342"/>
      <c r="VGO15" s="342"/>
      <c r="VGP15" s="343"/>
      <c r="VGQ15" s="343"/>
      <c r="VGR15" s="344"/>
      <c r="VGS15" s="344"/>
      <c r="VGT15" s="344"/>
      <c r="VGU15" s="342"/>
      <c r="VGV15" s="342"/>
      <c r="VGW15" s="342"/>
      <c r="VGX15" s="343"/>
      <c r="VGY15" s="343"/>
      <c r="VGZ15" s="344"/>
      <c r="VHA15" s="344"/>
      <c r="VHB15" s="344"/>
      <c r="VHC15" s="342"/>
      <c r="VHD15" s="342"/>
      <c r="VHE15" s="342"/>
      <c r="VHF15" s="343"/>
      <c r="VHG15" s="343"/>
      <c r="VHH15" s="344"/>
      <c r="VHI15" s="344"/>
      <c r="VHJ15" s="344"/>
      <c r="VHK15" s="342"/>
      <c r="VHL15" s="342"/>
      <c r="VHM15" s="342"/>
      <c r="VHN15" s="343"/>
      <c r="VHO15" s="343"/>
      <c r="VHP15" s="344"/>
      <c r="VHQ15" s="344"/>
      <c r="VHR15" s="344"/>
      <c r="VHS15" s="342"/>
      <c r="VHT15" s="342"/>
      <c r="VHU15" s="342"/>
      <c r="VHV15" s="343"/>
      <c r="VHW15" s="343"/>
      <c r="VHX15" s="344"/>
      <c r="VHY15" s="344"/>
      <c r="VHZ15" s="344"/>
      <c r="VIA15" s="342"/>
      <c r="VIB15" s="342"/>
      <c r="VIC15" s="342"/>
      <c r="VID15" s="343"/>
      <c r="VIE15" s="343"/>
      <c r="VIF15" s="344"/>
      <c r="VIG15" s="344"/>
      <c r="VIH15" s="344"/>
      <c r="VII15" s="342"/>
      <c r="VIJ15" s="342"/>
      <c r="VIK15" s="342"/>
      <c r="VIL15" s="343"/>
      <c r="VIM15" s="343"/>
      <c r="VIN15" s="344"/>
      <c r="VIO15" s="344"/>
      <c r="VIP15" s="344"/>
      <c r="VIQ15" s="342"/>
      <c r="VIR15" s="342"/>
      <c r="VIS15" s="342"/>
      <c r="VIT15" s="343"/>
      <c r="VIU15" s="343"/>
      <c r="VIV15" s="344"/>
      <c r="VIW15" s="344"/>
      <c r="VIX15" s="344"/>
      <c r="VIY15" s="342"/>
      <c r="VIZ15" s="342"/>
      <c r="VJA15" s="342"/>
      <c r="VJB15" s="343"/>
      <c r="VJC15" s="343"/>
      <c r="VJD15" s="344"/>
      <c r="VJE15" s="344"/>
      <c r="VJF15" s="344"/>
      <c r="VJG15" s="342"/>
      <c r="VJH15" s="342"/>
      <c r="VJI15" s="342"/>
      <c r="VJJ15" s="343"/>
      <c r="VJK15" s="343"/>
      <c r="VJL15" s="344"/>
      <c r="VJM15" s="344"/>
      <c r="VJN15" s="344"/>
      <c r="VJO15" s="342"/>
      <c r="VJP15" s="342"/>
      <c r="VJQ15" s="342"/>
      <c r="VJR15" s="343"/>
      <c r="VJS15" s="343"/>
      <c r="VJT15" s="344"/>
      <c r="VJU15" s="344"/>
      <c r="VJV15" s="344"/>
      <c r="VJW15" s="342"/>
      <c r="VJX15" s="342"/>
      <c r="VJY15" s="342"/>
      <c r="VJZ15" s="343"/>
      <c r="VKA15" s="343"/>
      <c r="VKB15" s="344"/>
      <c r="VKC15" s="344"/>
      <c r="VKD15" s="344"/>
      <c r="VKE15" s="342"/>
      <c r="VKF15" s="342"/>
      <c r="VKG15" s="342"/>
      <c r="VKH15" s="343"/>
      <c r="VKI15" s="343"/>
      <c r="VKJ15" s="344"/>
      <c r="VKK15" s="344"/>
      <c r="VKL15" s="344"/>
      <c r="VKM15" s="342"/>
      <c r="VKN15" s="342"/>
      <c r="VKO15" s="342"/>
      <c r="VKP15" s="343"/>
      <c r="VKQ15" s="343"/>
      <c r="VKR15" s="344"/>
      <c r="VKS15" s="344"/>
      <c r="VKT15" s="344"/>
      <c r="VKU15" s="342"/>
      <c r="VKV15" s="342"/>
      <c r="VKW15" s="342"/>
      <c r="VKX15" s="343"/>
      <c r="VKY15" s="343"/>
      <c r="VKZ15" s="344"/>
      <c r="VLA15" s="344"/>
      <c r="VLB15" s="344"/>
      <c r="VLC15" s="342"/>
      <c r="VLD15" s="342"/>
      <c r="VLE15" s="342"/>
      <c r="VLF15" s="343"/>
      <c r="VLG15" s="343"/>
      <c r="VLH15" s="344"/>
      <c r="VLI15" s="344"/>
      <c r="VLJ15" s="344"/>
      <c r="VLK15" s="342"/>
      <c r="VLL15" s="342"/>
      <c r="VLM15" s="342"/>
      <c r="VLN15" s="343"/>
      <c r="VLO15" s="343"/>
      <c r="VLP15" s="344"/>
      <c r="VLQ15" s="344"/>
      <c r="VLR15" s="344"/>
      <c r="VLS15" s="342"/>
      <c r="VLT15" s="342"/>
      <c r="VLU15" s="342"/>
      <c r="VLV15" s="343"/>
      <c r="VLW15" s="343"/>
      <c r="VLX15" s="344"/>
      <c r="VLY15" s="344"/>
      <c r="VLZ15" s="344"/>
      <c r="VMA15" s="342"/>
      <c r="VMB15" s="342"/>
      <c r="VMC15" s="342"/>
      <c r="VMD15" s="343"/>
      <c r="VME15" s="343"/>
      <c r="VMF15" s="344"/>
      <c r="VMG15" s="344"/>
      <c r="VMH15" s="344"/>
      <c r="VMI15" s="342"/>
      <c r="VMJ15" s="342"/>
      <c r="VMK15" s="342"/>
      <c r="VML15" s="343"/>
      <c r="VMM15" s="343"/>
      <c r="VMN15" s="344"/>
      <c r="VMO15" s="344"/>
      <c r="VMP15" s="344"/>
      <c r="VMQ15" s="342"/>
      <c r="VMR15" s="342"/>
      <c r="VMS15" s="342"/>
      <c r="VMT15" s="343"/>
      <c r="VMU15" s="343"/>
      <c r="VMV15" s="344"/>
      <c r="VMW15" s="344"/>
      <c r="VMX15" s="344"/>
      <c r="VMY15" s="342"/>
      <c r="VMZ15" s="342"/>
      <c r="VNA15" s="342"/>
      <c r="VNB15" s="343"/>
      <c r="VNC15" s="343"/>
      <c r="VND15" s="344"/>
      <c r="VNE15" s="344"/>
      <c r="VNF15" s="344"/>
      <c r="VNG15" s="342"/>
      <c r="VNH15" s="342"/>
      <c r="VNI15" s="342"/>
      <c r="VNJ15" s="343"/>
      <c r="VNK15" s="343"/>
      <c r="VNL15" s="344"/>
      <c r="VNM15" s="344"/>
      <c r="VNN15" s="344"/>
      <c r="VNO15" s="342"/>
      <c r="VNP15" s="342"/>
      <c r="VNQ15" s="342"/>
      <c r="VNR15" s="343"/>
      <c r="VNS15" s="343"/>
      <c r="VNT15" s="344"/>
      <c r="VNU15" s="344"/>
      <c r="VNV15" s="344"/>
      <c r="VNW15" s="342"/>
      <c r="VNX15" s="342"/>
      <c r="VNY15" s="342"/>
      <c r="VNZ15" s="343"/>
      <c r="VOA15" s="343"/>
      <c r="VOB15" s="344"/>
      <c r="VOC15" s="344"/>
      <c r="VOD15" s="344"/>
      <c r="VOE15" s="342"/>
      <c r="VOF15" s="342"/>
      <c r="VOG15" s="342"/>
      <c r="VOH15" s="343"/>
      <c r="VOI15" s="343"/>
      <c r="VOJ15" s="344"/>
      <c r="VOK15" s="344"/>
      <c r="VOL15" s="344"/>
      <c r="VOM15" s="342"/>
      <c r="VON15" s="342"/>
      <c r="VOO15" s="342"/>
      <c r="VOP15" s="343"/>
      <c r="VOQ15" s="343"/>
      <c r="VOR15" s="344"/>
      <c r="VOS15" s="344"/>
      <c r="VOT15" s="344"/>
      <c r="VOU15" s="342"/>
      <c r="VOV15" s="342"/>
      <c r="VOW15" s="342"/>
      <c r="VOX15" s="343"/>
      <c r="VOY15" s="343"/>
      <c r="VOZ15" s="344"/>
      <c r="VPA15" s="344"/>
      <c r="VPB15" s="344"/>
      <c r="VPC15" s="342"/>
      <c r="VPD15" s="342"/>
      <c r="VPE15" s="342"/>
      <c r="VPF15" s="343"/>
      <c r="VPG15" s="343"/>
      <c r="VPH15" s="344"/>
      <c r="VPI15" s="344"/>
      <c r="VPJ15" s="344"/>
      <c r="VPK15" s="342"/>
      <c r="VPL15" s="342"/>
      <c r="VPM15" s="342"/>
      <c r="VPN15" s="343"/>
      <c r="VPO15" s="343"/>
      <c r="VPP15" s="344"/>
      <c r="VPQ15" s="344"/>
      <c r="VPR15" s="344"/>
      <c r="VPS15" s="342"/>
      <c r="VPT15" s="342"/>
      <c r="VPU15" s="342"/>
      <c r="VPV15" s="343"/>
      <c r="VPW15" s="343"/>
      <c r="VPX15" s="344"/>
      <c r="VPY15" s="344"/>
      <c r="VPZ15" s="344"/>
      <c r="VQA15" s="342"/>
      <c r="VQB15" s="342"/>
      <c r="VQC15" s="342"/>
      <c r="VQD15" s="343"/>
      <c r="VQE15" s="343"/>
      <c r="VQF15" s="344"/>
      <c r="VQG15" s="344"/>
      <c r="VQH15" s="344"/>
      <c r="VQI15" s="342"/>
      <c r="VQJ15" s="342"/>
      <c r="VQK15" s="342"/>
      <c r="VQL15" s="343"/>
      <c r="VQM15" s="343"/>
      <c r="VQN15" s="344"/>
      <c r="VQO15" s="344"/>
      <c r="VQP15" s="344"/>
      <c r="VQQ15" s="342"/>
      <c r="VQR15" s="342"/>
      <c r="VQS15" s="342"/>
      <c r="VQT15" s="343"/>
      <c r="VQU15" s="343"/>
      <c r="VQV15" s="344"/>
      <c r="VQW15" s="344"/>
      <c r="VQX15" s="344"/>
      <c r="VQY15" s="342"/>
      <c r="VQZ15" s="342"/>
      <c r="VRA15" s="342"/>
      <c r="VRB15" s="343"/>
      <c r="VRC15" s="343"/>
      <c r="VRD15" s="344"/>
      <c r="VRE15" s="344"/>
      <c r="VRF15" s="344"/>
      <c r="VRG15" s="342"/>
      <c r="VRH15" s="342"/>
      <c r="VRI15" s="342"/>
      <c r="VRJ15" s="343"/>
      <c r="VRK15" s="343"/>
      <c r="VRL15" s="344"/>
      <c r="VRM15" s="344"/>
      <c r="VRN15" s="344"/>
      <c r="VRO15" s="342"/>
      <c r="VRP15" s="342"/>
      <c r="VRQ15" s="342"/>
      <c r="VRR15" s="343"/>
      <c r="VRS15" s="343"/>
      <c r="VRT15" s="344"/>
      <c r="VRU15" s="344"/>
      <c r="VRV15" s="344"/>
      <c r="VRW15" s="342"/>
      <c r="VRX15" s="342"/>
      <c r="VRY15" s="342"/>
      <c r="VRZ15" s="343"/>
      <c r="VSA15" s="343"/>
      <c r="VSB15" s="344"/>
      <c r="VSC15" s="344"/>
      <c r="VSD15" s="344"/>
      <c r="VSE15" s="342"/>
      <c r="VSF15" s="342"/>
      <c r="VSG15" s="342"/>
      <c r="VSH15" s="343"/>
      <c r="VSI15" s="343"/>
      <c r="VSJ15" s="344"/>
      <c r="VSK15" s="344"/>
      <c r="VSL15" s="344"/>
      <c r="VSM15" s="342"/>
      <c r="VSN15" s="342"/>
      <c r="VSO15" s="342"/>
      <c r="VSP15" s="343"/>
      <c r="VSQ15" s="343"/>
      <c r="VSR15" s="344"/>
      <c r="VSS15" s="344"/>
      <c r="VST15" s="344"/>
      <c r="VSU15" s="342"/>
      <c r="VSV15" s="342"/>
      <c r="VSW15" s="342"/>
      <c r="VSX15" s="343"/>
      <c r="VSY15" s="343"/>
      <c r="VSZ15" s="344"/>
      <c r="VTA15" s="344"/>
      <c r="VTB15" s="344"/>
      <c r="VTC15" s="342"/>
      <c r="VTD15" s="342"/>
      <c r="VTE15" s="342"/>
      <c r="VTF15" s="343"/>
      <c r="VTG15" s="343"/>
      <c r="VTH15" s="344"/>
      <c r="VTI15" s="344"/>
      <c r="VTJ15" s="344"/>
      <c r="VTK15" s="342"/>
      <c r="VTL15" s="342"/>
      <c r="VTM15" s="342"/>
      <c r="VTN15" s="343"/>
      <c r="VTO15" s="343"/>
      <c r="VTP15" s="344"/>
      <c r="VTQ15" s="344"/>
      <c r="VTR15" s="344"/>
      <c r="VTS15" s="342"/>
      <c r="VTT15" s="342"/>
      <c r="VTU15" s="342"/>
      <c r="VTV15" s="343"/>
      <c r="VTW15" s="343"/>
      <c r="VTX15" s="344"/>
      <c r="VTY15" s="344"/>
      <c r="VTZ15" s="344"/>
      <c r="VUA15" s="342"/>
      <c r="VUB15" s="342"/>
      <c r="VUC15" s="342"/>
      <c r="VUD15" s="343"/>
      <c r="VUE15" s="343"/>
      <c r="VUF15" s="344"/>
      <c r="VUG15" s="344"/>
      <c r="VUH15" s="344"/>
      <c r="VUI15" s="342"/>
      <c r="VUJ15" s="342"/>
      <c r="VUK15" s="342"/>
      <c r="VUL15" s="343"/>
      <c r="VUM15" s="343"/>
      <c r="VUN15" s="344"/>
      <c r="VUO15" s="344"/>
      <c r="VUP15" s="344"/>
      <c r="VUQ15" s="342"/>
      <c r="VUR15" s="342"/>
      <c r="VUS15" s="342"/>
      <c r="VUT15" s="343"/>
      <c r="VUU15" s="343"/>
      <c r="VUV15" s="344"/>
      <c r="VUW15" s="344"/>
      <c r="VUX15" s="344"/>
      <c r="VUY15" s="342"/>
      <c r="VUZ15" s="342"/>
      <c r="VVA15" s="342"/>
      <c r="VVB15" s="343"/>
      <c r="VVC15" s="343"/>
      <c r="VVD15" s="344"/>
      <c r="VVE15" s="344"/>
      <c r="VVF15" s="344"/>
      <c r="VVG15" s="342"/>
      <c r="VVH15" s="342"/>
      <c r="VVI15" s="342"/>
      <c r="VVJ15" s="343"/>
      <c r="VVK15" s="343"/>
      <c r="VVL15" s="344"/>
      <c r="VVM15" s="344"/>
      <c r="VVN15" s="344"/>
      <c r="VVO15" s="342"/>
      <c r="VVP15" s="342"/>
      <c r="VVQ15" s="342"/>
      <c r="VVR15" s="343"/>
      <c r="VVS15" s="343"/>
      <c r="VVT15" s="344"/>
      <c r="VVU15" s="344"/>
      <c r="VVV15" s="344"/>
      <c r="VVW15" s="342"/>
      <c r="VVX15" s="342"/>
      <c r="VVY15" s="342"/>
      <c r="VVZ15" s="343"/>
      <c r="VWA15" s="343"/>
      <c r="VWB15" s="344"/>
      <c r="VWC15" s="344"/>
      <c r="VWD15" s="344"/>
      <c r="VWE15" s="342"/>
      <c r="VWF15" s="342"/>
      <c r="VWG15" s="342"/>
      <c r="VWH15" s="343"/>
      <c r="VWI15" s="343"/>
      <c r="VWJ15" s="344"/>
      <c r="VWK15" s="344"/>
      <c r="VWL15" s="344"/>
      <c r="VWM15" s="342"/>
      <c r="VWN15" s="342"/>
      <c r="VWO15" s="342"/>
      <c r="VWP15" s="343"/>
      <c r="VWQ15" s="343"/>
      <c r="VWR15" s="344"/>
      <c r="VWS15" s="344"/>
      <c r="VWT15" s="344"/>
      <c r="VWU15" s="342"/>
      <c r="VWV15" s="342"/>
      <c r="VWW15" s="342"/>
      <c r="VWX15" s="343"/>
      <c r="VWY15" s="343"/>
      <c r="VWZ15" s="344"/>
      <c r="VXA15" s="344"/>
      <c r="VXB15" s="344"/>
      <c r="VXC15" s="342"/>
      <c r="VXD15" s="342"/>
      <c r="VXE15" s="342"/>
      <c r="VXF15" s="343"/>
      <c r="VXG15" s="343"/>
      <c r="VXH15" s="344"/>
      <c r="VXI15" s="344"/>
      <c r="VXJ15" s="344"/>
      <c r="VXK15" s="342"/>
      <c r="VXL15" s="342"/>
      <c r="VXM15" s="342"/>
      <c r="VXN15" s="343"/>
      <c r="VXO15" s="343"/>
      <c r="VXP15" s="344"/>
      <c r="VXQ15" s="344"/>
      <c r="VXR15" s="344"/>
      <c r="VXS15" s="342"/>
      <c r="VXT15" s="342"/>
      <c r="VXU15" s="342"/>
      <c r="VXV15" s="343"/>
      <c r="VXW15" s="343"/>
      <c r="VXX15" s="344"/>
      <c r="VXY15" s="344"/>
      <c r="VXZ15" s="344"/>
      <c r="VYA15" s="342"/>
      <c r="VYB15" s="342"/>
      <c r="VYC15" s="342"/>
      <c r="VYD15" s="343"/>
      <c r="VYE15" s="343"/>
      <c r="VYF15" s="344"/>
      <c r="VYG15" s="344"/>
      <c r="VYH15" s="344"/>
      <c r="VYI15" s="342"/>
      <c r="VYJ15" s="342"/>
      <c r="VYK15" s="342"/>
      <c r="VYL15" s="343"/>
      <c r="VYM15" s="343"/>
      <c r="VYN15" s="344"/>
      <c r="VYO15" s="344"/>
      <c r="VYP15" s="344"/>
      <c r="VYQ15" s="342"/>
      <c r="VYR15" s="342"/>
      <c r="VYS15" s="342"/>
      <c r="VYT15" s="343"/>
      <c r="VYU15" s="343"/>
      <c r="VYV15" s="344"/>
      <c r="VYW15" s="344"/>
      <c r="VYX15" s="344"/>
      <c r="VYY15" s="342"/>
      <c r="VYZ15" s="342"/>
      <c r="VZA15" s="342"/>
      <c r="VZB15" s="343"/>
      <c r="VZC15" s="343"/>
      <c r="VZD15" s="344"/>
      <c r="VZE15" s="344"/>
      <c r="VZF15" s="344"/>
      <c r="VZG15" s="342"/>
      <c r="VZH15" s="342"/>
      <c r="VZI15" s="342"/>
      <c r="VZJ15" s="343"/>
      <c r="VZK15" s="343"/>
      <c r="VZL15" s="344"/>
      <c r="VZM15" s="344"/>
      <c r="VZN15" s="344"/>
      <c r="VZO15" s="342"/>
      <c r="VZP15" s="342"/>
      <c r="VZQ15" s="342"/>
      <c r="VZR15" s="343"/>
      <c r="VZS15" s="343"/>
      <c r="VZT15" s="344"/>
      <c r="VZU15" s="344"/>
      <c r="VZV15" s="344"/>
      <c r="VZW15" s="342"/>
      <c r="VZX15" s="342"/>
      <c r="VZY15" s="342"/>
      <c r="VZZ15" s="343"/>
      <c r="WAA15" s="343"/>
      <c r="WAB15" s="344"/>
      <c r="WAC15" s="344"/>
      <c r="WAD15" s="344"/>
      <c r="WAE15" s="342"/>
      <c r="WAF15" s="342"/>
      <c r="WAG15" s="342"/>
      <c r="WAH15" s="343"/>
      <c r="WAI15" s="343"/>
      <c r="WAJ15" s="344"/>
      <c r="WAK15" s="344"/>
      <c r="WAL15" s="344"/>
      <c r="WAM15" s="342"/>
      <c r="WAN15" s="342"/>
      <c r="WAO15" s="342"/>
      <c r="WAP15" s="343"/>
      <c r="WAQ15" s="343"/>
      <c r="WAR15" s="344"/>
      <c r="WAS15" s="344"/>
      <c r="WAT15" s="344"/>
      <c r="WAU15" s="342"/>
      <c r="WAV15" s="342"/>
      <c r="WAW15" s="342"/>
      <c r="WAX15" s="343"/>
      <c r="WAY15" s="343"/>
      <c r="WAZ15" s="344"/>
      <c r="WBA15" s="344"/>
      <c r="WBB15" s="344"/>
      <c r="WBC15" s="342"/>
      <c r="WBD15" s="342"/>
      <c r="WBE15" s="342"/>
      <c r="WBF15" s="343"/>
      <c r="WBG15" s="343"/>
      <c r="WBH15" s="344"/>
      <c r="WBI15" s="344"/>
      <c r="WBJ15" s="344"/>
      <c r="WBK15" s="342"/>
      <c r="WBL15" s="342"/>
      <c r="WBM15" s="342"/>
      <c r="WBN15" s="343"/>
      <c r="WBO15" s="343"/>
      <c r="WBP15" s="344"/>
      <c r="WBQ15" s="344"/>
      <c r="WBR15" s="344"/>
      <c r="WBS15" s="342"/>
      <c r="WBT15" s="342"/>
      <c r="WBU15" s="342"/>
      <c r="WBV15" s="343"/>
      <c r="WBW15" s="343"/>
      <c r="WBX15" s="344"/>
      <c r="WBY15" s="344"/>
      <c r="WBZ15" s="344"/>
      <c r="WCA15" s="342"/>
      <c r="WCB15" s="342"/>
      <c r="WCC15" s="342"/>
      <c r="WCD15" s="343"/>
      <c r="WCE15" s="343"/>
      <c r="WCF15" s="344"/>
      <c r="WCG15" s="344"/>
      <c r="WCH15" s="344"/>
      <c r="WCI15" s="342"/>
      <c r="WCJ15" s="342"/>
      <c r="WCK15" s="342"/>
      <c r="WCL15" s="343"/>
      <c r="WCM15" s="343"/>
      <c r="WCN15" s="344"/>
      <c r="WCO15" s="344"/>
      <c r="WCP15" s="344"/>
      <c r="WCQ15" s="342"/>
      <c r="WCR15" s="342"/>
      <c r="WCS15" s="342"/>
      <c r="WCT15" s="343"/>
      <c r="WCU15" s="343"/>
      <c r="WCV15" s="344"/>
      <c r="WCW15" s="344"/>
      <c r="WCX15" s="344"/>
      <c r="WCY15" s="342"/>
      <c r="WCZ15" s="342"/>
      <c r="WDA15" s="342"/>
      <c r="WDB15" s="343"/>
      <c r="WDC15" s="343"/>
      <c r="WDD15" s="344"/>
      <c r="WDE15" s="344"/>
      <c r="WDF15" s="344"/>
      <c r="WDG15" s="342"/>
      <c r="WDH15" s="342"/>
      <c r="WDI15" s="342"/>
      <c r="WDJ15" s="343"/>
      <c r="WDK15" s="343"/>
      <c r="WDL15" s="344"/>
      <c r="WDM15" s="344"/>
      <c r="WDN15" s="344"/>
      <c r="WDO15" s="342"/>
      <c r="WDP15" s="342"/>
      <c r="WDQ15" s="342"/>
      <c r="WDR15" s="343"/>
      <c r="WDS15" s="343"/>
      <c r="WDT15" s="344"/>
      <c r="WDU15" s="344"/>
      <c r="WDV15" s="344"/>
      <c r="WDW15" s="342"/>
      <c r="WDX15" s="342"/>
      <c r="WDY15" s="342"/>
      <c r="WDZ15" s="343"/>
      <c r="WEA15" s="343"/>
      <c r="WEB15" s="344"/>
      <c r="WEC15" s="344"/>
      <c r="WED15" s="344"/>
      <c r="WEE15" s="342"/>
      <c r="WEF15" s="342"/>
      <c r="WEG15" s="342"/>
      <c r="WEH15" s="343"/>
      <c r="WEI15" s="343"/>
      <c r="WEJ15" s="344"/>
      <c r="WEK15" s="344"/>
      <c r="WEL15" s="344"/>
      <c r="WEM15" s="342"/>
      <c r="WEN15" s="342"/>
      <c r="WEO15" s="342"/>
      <c r="WEP15" s="343"/>
      <c r="WEQ15" s="343"/>
      <c r="WER15" s="344"/>
      <c r="WES15" s="344"/>
      <c r="WET15" s="344"/>
      <c r="WEU15" s="342"/>
      <c r="WEV15" s="342"/>
      <c r="WEW15" s="342"/>
      <c r="WEX15" s="343"/>
      <c r="WEY15" s="343"/>
      <c r="WEZ15" s="344"/>
      <c r="WFA15" s="344"/>
      <c r="WFB15" s="344"/>
      <c r="WFC15" s="342"/>
      <c r="WFD15" s="342"/>
      <c r="WFE15" s="342"/>
      <c r="WFF15" s="343"/>
      <c r="WFG15" s="343"/>
      <c r="WFH15" s="344"/>
      <c r="WFI15" s="344"/>
      <c r="WFJ15" s="344"/>
      <c r="WFK15" s="342"/>
      <c r="WFL15" s="342"/>
      <c r="WFM15" s="342"/>
      <c r="WFN15" s="343"/>
      <c r="WFO15" s="343"/>
      <c r="WFP15" s="344"/>
      <c r="WFQ15" s="344"/>
      <c r="WFR15" s="344"/>
      <c r="WFS15" s="342"/>
      <c r="WFT15" s="342"/>
      <c r="WFU15" s="342"/>
      <c r="WFV15" s="343"/>
      <c r="WFW15" s="343"/>
      <c r="WFX15" s="344"/>
      <c r="WFY15" s="344"/>
      <c r="WFZ15" s="344"/>
      <c r="WGA15" s="342"/>
      <c r="WGB15" s="342"/>
      <c r="WGC15" s="342"/>
      <c r="WGD15" s="343"/>
      <c r="WGE15" s="343"/>
      <c r="WGF15" s="344"/>
      <c r="WGG15" s="344"/>
      <c r="WGH15" s="344"/>
      <c r="WGI15" s="342"/>
      <c r="WGJ15" s="342"/>
      <c r="WGK15" s="342"/>
      <c r="WGL15" s="343"/>
      <c r="WGM15" s="343"/>
      <c r="WGN15" s="344"/>
      <c r="WGO15" s="344"/>
      <c r="WGP15" s="344"/>
      <c r="WGQ15" s="342"/>
      <c r="WGR15" s="342"/>
      <c r="WGS15" s="342"/>
      <c r="WGT15" s="343"/>
      <c r="WGU15" s="343"/>
      <c r="WGV15" s="344"/>
      <c r="WGW15" s="344"/>
      <c r="WGX15" s="344"/>
      <c r="WGY15" s="342"/>
      <c r="WGZ15" s="342"/>
      <c r="WHA15" s="342"/>
      <c r="WHB15" s="343"/>
      <c r="WHC15" s="343"/>
      <c r="WHD15" s="344"/>
      <c r="WHE15" s="344"/>
      <c r="WHF15" s="344"/>
      <c r="WHG15" s="342"/>
      <c r="WHH15" s="342"/>
      <c r="WHI15" s="342"/>
      <c r="WHJ15" s="343"/>
      <c r="WHK15" s="343"/>
      <c r="WHL15" s="344"/>
      <c r="WHM15" s="344"/>
      <c r="WHN15" s="344"/>
      <c r="WHO15" s="342"/>
      <c r="WHP15" s="342"/>
      <c r="WHQ15" s="342"/>
      <c r="WHR15" s="343"/>
      <c r="WHS15" s="343"/>
      <c r="WHT15" s="344"/>
      <c r="WHU15" s="344"/>
      <c r="WHV15" s="344"/>
      <c r="WHW15" s="342"/>
      <c r="WHX15" s="342"/>
      <c r="WHY15" s="342"/>
      <c r="WHZ15" s="343"/>
      <c r="WIA15" s="343"/>
      <c r="WIB15" s="344"/>
      <c r="WIC15" s="344"/>
      <c r="WID15" s="344"/>
      <c r="WIE15" s="342"/>
      <c r="WIF15" s="342"/>
      <c r="WIG15" s="342"/>
      <c r="WIH15" s="343"/>
      <c r="WII15" s="343"/>
      <c r="WIJ15" s="344"/>
      <c r="WIK15" s="344"/>
      <c r="WIL15" s="344"/>
      <c r="WIM15" s="342"/>
      <c r="WIN15" s="342"/>
      <c r="WIO15" s="342"/>
      <c r="WIP15" s="343"/>
      <c r="WIQ15" s="343"/>
      <c r="WIR15" s="344"/>
      <c r="WIS15" s="344"/>
      <c r="WIT15" s="344"/>
      <c r="WIU15" s="342"/>
      <c r="WIV15" s="342"/>
      <c r="WIW15" s="342"/>
      <c r="WIX15" s="343"/>
      <c r="WIY15" s="343"/>
      <c r="WIZ15" s="344"/>
      <c r="WJA15" s="344"/>
      <c r="WJB15" s="344"/>
      <c r="WJC15" s="342"/>
      <c r="WJD15" s="342"/>
      <c r="WJE15" s="342"/>
      <c r="WJF15" s="343"/>
      <c r="WJG15" s="343"/>
      <c r="WJH15" s="344"/>
      <c r="WJI15" s="344"/>
      <c r="WJJ15" s="344"/>
      <c r="WJK15" s="342"/>
      <c r="WJL15" s="342"/>
      <c r="WJM15" s="342"/>
      <c r="WJN15" s="343"/>
      <c r="WJO15" s="343"/>
      <c r="WJP15" s="344"/>
      <c r="WJQ15" s="344"/>
      <c r="WJR15" s="344"/>
      <c r="WJS15" s="342"/>
      <c r="WJT15" s="342"/>
      <c r="WJU15" s="342"/>
      <c r="WJV15" s="343"/>
      <c r="WJW15" s="343"/>
      <c r="WJX15" s="344"/>
      <c r="WJY15" s="344"/>
      <c r="WJZ15" s="344"/>
      <c r="WKA15" s="342"/>
      <c r="WKB15" s="342"/>
      <c r="WKC15" s="342"/>
      <c r="WKD15" s="343"/>
      <c r="WKE15" s="343"/>
      <c r="WKF15" s="344"/>
      <c r="WKG15" s="344"/>
      <c r="WKH15" s="344"/>
      <c r="WKI15" s="342"/>
      <c r="WKJ15" s="342"/>
      <c r="WKK15" s="342"/>
      <c r="WKL15" s="343"/>
      <c r="WKM15" s="343"/>
      <c r="WKN15" s="344"/>
      <c r="WKO15" s="344"/>
      <c r="WKP15" s="344"/>
      <c r="WKQ15" s="342"/>
      <c r="WKR15" s="342"/>
      <c r="WKS15" s="342"/>
      <c r="WKT15" s="343"/>
      <c r="WKU15" s="343"/>
      <c r="WKV15" s="344"/>
      <c r="WKW15" s="344"/>
      <c r="WKX15" s="344"/>
      <c r="WKY15" s="342"/>
      <c r="WKZ15" s="342"/>
      <c r="WLA15" s="342"/>
      <c r="WLB15" s="343"/>
      <c r="WLC15" s="343"/>
      <c r="WLD15" s="344"/>
      <c r="WLE15" s="344"/>
      <c r="WLF15" s="344"/>
      <c r="WLG15" s="342"/>
      <c r="WLH15" s="342"/>
      <c r="WLI15" s="342"/>
      <c r="WLJ15" s="343"/>
      <c r="WLK15" s="343"/>
      <c r="WLL15" s="344"/>
      <c r="WLM15" s="344"/>
      <c r="WLN15" s="344"/>
      <c r="WLO15" s="342"/>
      <c r="WLP15" s="342"/>
      <c r="WLQ15" s="342"/>
      <c r="WLR15" s="343"/>
      <c r="WLS15" s="343"/>
      <c r="WLT15" s="344"/>
      <c r="WLU15" s="344"/>
      <c r="WLV15" s="344"/>
      <c r="WLW15" s="342"/>
      <c r="WLX15" s="342"/>
      <c r="WLY15" s="342"/>
      <c r="WLZ15" s="343"/>
      <c r="WMA15" s="343"/>
      <c r="WMB15" s="344"/>
      <c r="WMC15" s="344"/>
      <c r="WMD15" s="344"/>
      <c r="WME15" s="342"/>
      <c r="WMF15" s="342"/>
      <c r="WMG15" s="342"/>
      <c r="WMH15" s="343"/>
      <c r="WMI15" s="343"/>
      <c r="WMJ15" s="344"/>
      <c r="WMK15" s="344"/>
      <c r="WML15" s="344"/>
      <c r="WMM15" s="342"/>
      <c r="WMN15" s="342"/>
      <c r="WMO15" s="342"/>
      <c r="WMP15" s="343"/>
      <c r="WMQ15" s="343"/>
      <c r="WMR15" s="344"/>
      <c r="WMS15" s="344"/>
      <c r="WMT15" s="344"/>
      <c r="WMU15" s="342"/>
      <c r="WMV15" s="342"/>
      <c r="WMW15" s="342"/>
      <c r="WMX15" s="343"/>
      <c r="WMY15" s="343"/>
      <c r="WMZ15" s="344"/>
      <c r="WNA15" s="344"/>
      <c r="WNB15" s="344"/>
      <c r="WNC15" s="342"/>
      <c r="WND15" s="342"/>
      <c r="WNE15" s="342"/>
      <c r="WNF15" s="343"/>
      <c r="WNG15" s="343"/>
      <c r="WNH15" s="344"/>
      <c r="WNI15" s="344"/>
      <c r="WNJ15" s="344"/>
      <c r="WNK15" s="342"/>
      <c r="WNL15" s="342"/>
      <c r="WNM15" s="342"/>
      <c r="WNN15" s="343"/>
      <c r="WNO15" s="343"/>
      <c r="WNP15" s="344"/>
      <c r="WNQ15" s="344"/>
      <c r="WNR15" s="344"/>
      <c r="WNS15" s="342"/>
      <c r="WNT15" s="342"/>
      <c r="WNU15" s="342"/>
      <c r="WNV15" s="343"/>
      <c r="WNW15" s="343"/>
      <c r="WNX15" s="344"/>
      <c r="WNY15" s="344"/>
      <c r="WNZ15" s="344"/>
      <c r="WOA15" s="342"/>
      <c r="WOB15" s="342"/>
      <c r="WOC15" s="342"/>
      <c r="WOD15" s="343"/>
      <c r="WOE15" s="343"/>
      <c r="WOF15" s="344"/>
      <c r="WOG15" s="344"/>
      <c r="WOH15" s="344"/>
      <c r="WOI15" s="342"/>
      <c r="WOJ15" s="342"/>
      <c r="WOK15" s="342"/>
      <c r="WOL15" s="343"/>
      <c r="WOM15" s="343"/>
      <c r="WON15" s="344"/>
      <c r="WOO15" s="344"/>
      <c r="WOP15" s="344"/>
      <c r="WOQ15" s="342"/>
      <c r="WOR15" s="342"/>
      <c r="WOS15" s="342"/>
      <c r="WOT15" s="343"/>
      <c r="WOU15" s="343"/>
      <c r="WOV15" s="344"/>
      <c r="WOW15" s="344"/>
      <c r="WOX15" s="344"/>
      <c r="WOY15" s="342"/>
      <c r="WOZ15" s="342"/>
      <c r="WPA15" s="342"/>
      <c r="WPB15" s="343"/>
      <c r="WPC15" s="343"/>
      <c r="WPD15" s="344"/>
      <c r="WPE15" s="344"/>
      <c r="WPF15" s="344"/>
      <c r="WPG15" s="342"/>
      <c r="WPH15" s="342"/>
      <c r="WPI15" s="342"/>
      <c r="WPJ15" s="343"/>
      <c r="WPK15" s="343"/>
      <c r="WPL15" s="344"/>
      <c r="WPM15" s="344"/>
      <c r="WPN15" s="344"/>
      <c r="WPO15" s="342"/>
      <c r="WPP15" s="342"/>
      <c r="WPQ15" s="342"/>
      <c r="WPR15" s="343"/>
      <c r="WPS15" s="343"/>
      <c r="WPT15" s="344"/>
      <c r="WPU15" s="344"/>
      <c r="WPV15" s="344"/>
      <c r="WPW15" s="342"/>
      <c r="WPX15" s="342"/>
      <c r="WPY15" s="342"/>
      <c r="WPZ15" s="343"/>
      <c r="WQA15" s="343"/>
      <c r="WQB15" s="344"/>
      <c r="WQC15" s="344"/>
      <c r="WQD15" s="344"/>
      <c r="WQE15" s="342"/>
      <c r="WQF15" s="342"/>
      <c r="WQG15" s="342"/>
      <c r="WQH15" s="343"/>
      <c r="WQI15" s="343"/>
      <c r="WQJ15" s="344"/>
      <c r="WQK15" s="344"/>
      <c r="WQL15" s="344"/>
      <c r="WQM15" s="342"/>
      <c r="WQN15" s="342"/>
      <c r="WQO15" s="342"/>
      <c r="WQP15" s="343"/>
      <c r="WQQ15" s="343"/>
      <c r="WQR15" s="344"/>
      <c r="WQS15" s="344"/>
      <c r="WQT15" s="344"/>
      <c r="WQU15" s="342"/>
      <c r="WQV15" s="342"/>
      <c r="WQW15" s="342"/>
      <c r="WQX15" s="343"/>
      <c r="WQY15" s="343"/>
      <c r="WQZ15" s="344"/>
      <c r="WRA15" s="344"/>
      <c r="WRB15" s="344"/>
      <c r="WRC15" s="342"/>
      <c r="WRD15" s="342"/>
      <c r="WRE15" s="342"/>
      <c r="WRF15" s="343"/>
      <c r="WRG15" s="343"/>
      <c r="WRH15" s="344"/>
      <c r="WRI15" s="344"/>
      <c r="WRJ15" s="344"/>
      <c r="WRK15" s="342"/>
      <c r="WRL15" s="342"/>
      <c r="WRM15" s="342"/>
      <c r="WRN15" s="343"/>
      <c r="WRO15" s="343"/>
      <c r="WRP15" s="344"/>
      <c r="WRQ15" s="344"/>
      <c r="WRR15" s="344"/>
      <c r="WRS15" s="342"/>
      <c r="WRT15" s="342"/>
      <c r="WRU15" s="342"/>
      <c r="WRV15" s="343"/>
      <c r="WRW15" s="343"/>
      <c r="WRX15" s="344"/>
      <c r="WRY15" s="344"/>
      <c r="WRZ15" s="344"/>
      <c r="WSA15" s="342"/>
      <c r="WSB15" s="342"/>
      <c r="WSC15" s="342"/>
      <c r="WSD15" s="343"/>
      <c r="WSE15" s="343"/>
      <c r="WSF15" s="344"/>
      <c r="WSG15" s="344"/>
      <c r="WSH15" s="344"/>
      <c r="WSI15" s="342"/>
      <c r="WSJ15" s="342"/>
      <c r="WSK15" s="342"/>
      <c r="WSL15" s="343"/>
      <c r="WSM15" s="343"/>
      <c r="WSN15" s="344"/>
      <c r="WSO15" s="344"/>
      <c r="WSP15" s="344"/>
      <c r="WSQ15" s="342"/>
      <c r="WSR15" s="342"/>
      <c r="WSS15" s="342"/>
      <c r="WST15" s="343"/>
      <c r="WSU15" s="343"/>
      <c r="WSV15" s="344"/>
      <c r="WSW15" s="344"/>
      <c r="WSX15" s="344"/>
      <c r="WSY15" s="342"/>
      <c r="WSZ15" s="342"/>
      <c r="WTA15" s="342"/>
      <c r="WTB15" s="343"/>
      <c r="WTC15" s="343"/>
      <c r="WTD15" s="344"/>
      <c r="WTE15" s="344"/>
      <c r="WTF15" s="344"/>
      <c r="WTG15" s="342"/>
      <c r="WTH15" s="342"/>
      <c r="WTI15" s="342"/>
      <c r="WTJ15" s="343"/>
      <c r="WTK15" s="343"/>
      <c r="WTL15" s="344"/>
      <c r="WTM15" s="344"/>
      <c r="WTN15" s="344"/>
      <c r="WTO15" s="342"/>
      <c r="WTP15" s="342"/>
      <c r="WTQ15" s="342"/>
      <c r="WTR15" s="343"/>
      <c r="WTS15" s="343"/>
      <c r="WTT15" s="344"/>
      <c r="WTU15" s="344"/>
      <c r="WTV15" s="344"/>
      <c r="WTW15" s="342"/>
      <c r="WTX15" s="342"/>
      <c r="WTY15" s="342"/>
      <c r="WTZ15" s="343"/>
      <c r="WUA15" s="343"/>
      <c r="WUB15" s="344"/>
      <c r="WUC15" s="344"/>
      <c r="WUD15" s="344"/>
      <c r="WUE15" s="342"/>
      <c r="WUF15" s="342"/>
      <c r="WUG15" s="342"/>
      <c r="WUH15" s="343"/>
      <c r="WUI15" s="343"/>
      <c r="WUJ15" s="344"/>
      <c r="WUK15" s="344"/>
      <c r="WUL15" s="344"/>
      <c r="WUM15" s="342"/>
      <c r="WUN15" s="342"/>
      <c r="WUO15" s="342"/>
      <c r="WUP15" s="343"/>
      <c r="WUQ15" s="343"/>
      <c r="WUR15" s="344"/>
      <c r="WUS15" s="344"/>
      <c r="WUT15" s="344"/>
      <c r="WUU15" s="342"/>
      <c r="WUV15" s="342"/>
      <c r="WUW15" s="342"/>
      <c r="WUX15" s="343"/>
      <c r="WUY15" s="343"/>
      <c r="WUZ15" s="344"/>
      <c r="WVA15" s="344"/>
      <c r="WVB15" s="344"/>
      <c r="WVC15" s="342"/>
      <c r="WVD15" s="342"/>
      <c r="WVE15" s="342"/>
      <c r="WVF15" s="343"/>
      <c r="WVG15" s="343"/>
      <c r="WVH15" s="344"/>
      <c r="WVI15" s="344"/>
      <c r="WVJ15" s="344"/>
      <c r="WVK15" s="342"/>
      <c r="WVL15" s="342"/>
      <c r="WVM15" s="342"/>
      <c r="WVN15" s="343"/>
      <c r="WVO15" s="343"/>
      <c r="WVP15" s="344"/>
      <c r="WVQ15" s="344"/>
      <c r="WVR15" s="344"/>
      <c r="WVS15" s="342"/>
      <c r="WVT15" s="342"/>
      <c r="WVU15" s="342"/>
      <c r="WVV15" s="343"/>
      <c r="WVW15" s="343"/>
      <c r="WVX15" s="344"/>
      <c r="WVY15" s="344"/>
      <c r="WVZ15" s="344"/>
      <c r="WWA15" s="342"/>
      <c r="WWB15" s="342"/>
      <c r="WWC15" s="342"/>
      <c r="WWD15" s="343"/>
      <c r="WWE15" s="343"/>
      <c r="WWF15" s="344"/>
      <c r="WWG15" s="344"/>
      <c r="WWH15" s="344"/>
      <c r="WWI15" s="342"/>
      <c r="WWJ15" s="342"/>
      <c r="WWK15" s="342"/>
      <c r="WWL15" s="343"/>
      <c r="WWM15" s="343"/>
      <c r="WWN15" s="344"/>
      <c r="WWO15" s="344"/>
      <c r="WWP15" s="344"/>
      <c r="WWQ15" s="342"/>
      <c r="WWR15" s="342"/>
      <c r="WWS15" s="342"/>
      <c r="WWT15" s="343"/>
      <c r="WWU15" s="343"/>
      <c r="WWV15" s="344"/>
      <c r="WWW15" s="344"/>
      <c r="WWX15" s="344"/>
      <c r="WWY15" s="342"/>
      <c r="WWZ15" s="342"/>
      <c r="WXA15" s="342"/>
      <c r="WXB15" s="343"/>
      <c r="WXC15" s="343"/>
      <c r="WXD15" s="344"/>
      <c r="WXE15" s="344"/>
      <c r="WXF15" s="344"/>
      <c r="WXG15" s="342"/>
      <c r="WXH15" s="342"/>
      <c r="WXI15" s="342"/>
      <c r="WXJ15" s="343"/>
      <c r="WXK15" s="343"/>
      <c r="WXL15" s="344"/>
      <c r="WXM15" s="344"/>
      <c r="WXN15" s="344"/>
      <c r="WXO15" s="342"/>
      <c r="WXP15" s="342"/>
      <c r="WXQ15" s="342"/>
      <c r="WXR15" s="343"/>
      <c r="WXS15" s="343"/>
      <c r="WXT15" s="344"/>
      <c r="WXU15" s="344"/>
      <c r="WXV15" s="344"/>
      <c r="WXW15" s="342"/>
      <c r="WXX15" s="342"/>
      <c r="WXY15" s="342"/>
      <c r="WXZ15" s="343"/>
      <c r="WYA15" s="343"/>
      <c r="WYB15" s="344"/>
      <c r="WYC15" s="344"/>
      <c r="WYD15" s="344"/>
      <c r="WYE15" s="342"/>
      <c r="WYF15" s="342"/>
      <c r="WYG15" s="342"/>
      <c r="WYH15" s="343"/>
      <c r="WYI15" s="343"/>
      <c r="WYJ15" s="344"/>
      <c r="WYK15" s="344"/>
      <c r="WYL15" s="344"/>
      <c r="WYM15" s="342"/>
      <c r="WYN15" s="342"/>
      <c r="WYO15" s="342"/>
      <c r="WYP15" s="343"/>
      <c r="WYQ15" s="343"/>
      <c r="WYR15" s="344"/>
      <c r="WYS15" s="344"/>
      <c r="WYT15" s="344"/>
      <c r="WYU15" s="342"/>
      <c r="WYV15" s="342"/>
      <c r="WYW15" s="342"/>
      <c r="WYX15" s="343"/>
      <c r="WYY15" s="343"/>
      <c r="WYZ15" s="344"/>
      <c r="WZA15" s="344"/>
      <c r="WZB15" s="344"/>
      <c r="WZC15" s="342"/>
      <c r="WZD15" s="342"/>
      <c r="WZE15" s="342"/>
      <c r="WZF15" s="343"/>
      <c r="WZG15" s="343"/>
      <c r="WZH15" s="344"/>
      <c r="WZI15" s="344"/>
      <c r="WZJ15" s="344"/>
      <c r="WZK15" s="342"/>
      <c r="WZL15" s="342"/>
      <c r="WZM15" s="342"/>
      <c r="WZN15" s="343"/>
      <c r="WZO15" s="343"/>
      <c r="WZP15" s="344"/>
      <c r="WZQ15" s="344"/>
      <c r="WZR15" s="344"/>
      <c r="WZS15" s="342"/>
      <c r="WZT15" s="342"/>
      <c r="WZU15" s="342"/>
      <c r="WZV15" s="343"/>
      <c r="WZW15" s="343"/>
      <c r="WZX15" s="344"/>
      <c r="WZY15" s="344"/>
      <c r="WZZ15" s="344"/>
      <c r="XAA15" s="342"/>
      <c r="XAB15" s="342"/>
      <c r="XAC15" s="342"/>
      <c r="XAD15" s="343"/>
      <c r="XAE15" s="343"/>
      <c r="XAF15" s="344"/>
      <c r="XAG15" s="344"/>
      <c r="XAH15" s="344"/>
      <c r="XAI15" s="342"/>
      <c r="XAJ15" s="342"/>
      <c r="XAK15" s="342"/>
      <c r="XAL15" s="343"/>
      <c r="XAM15" s="343"/>
      <c r="XAN15" s="344"/>
      <c r="XAO15" s="344"/>
      <c r="XAP15" s="344"/>
      <c r="XAQ15" s="342"/>
      <c r="XAR15" s="342"/>
      <c r="XAS15" s="342"/>
      <c r="XAT15" s="343"/>
      <c r="XAU15" s="343"/>
      <c r="XAV15" s="344"/>
      <c r="XAW15" s="344"/>
      <c r="XAX15" s="344"/>
      <c r="XAY15" s="342"/>
      <c r="XAZ15" s="342"/>
      <c r="XBA15" s="342"/>
      <c r="XBB15" s="343"/>
      <c r="XBC15" s="343"/>
      <c r="XBD15" s="344"/>
      <c r="XBE15" s="344"/>
      <c r="XBF15" s="344"/>
      <c r="XBG15" s="342"/>
      <c r="XBH15" s="342"/>
      <c r="XBI15" s="342"/>
      <c r="XBJ15" s="343"/>
      <c r="XBK15" s="343"/>
      <c r="XBL15" s="344"/>
      <c r="XBM15" s="344"/>
      <c r="XBN15" s="344"/>
      <c r="XBO15" s="342"/>
      <c r="XBP15" s="342"/>
      <c r="XBQ15" s="342"/>
      <c r="XBR15" s="343"/>
      <c r="XBS15" s="343"/>
      <c r="XBT15" s="344"/>
      <c r="XBU15" s="344"/>
      <c r="XBV15" s="344"/>
      <c r="XBW15" s="342"/>
      <c r="XBX15" s="342"/>
      <c r="XBY15" s="342"/>
      <c r="XBZ15" s="343"/>
      <c r="XCA15" s="343"/>
      <c r="XCB15" s="344"/>
      <c r="XCC15" s="344"/>
      <c r="XCD15" s="344"/>
      <c r="XCE15" s="342"/>
      <c r="XCF15" s="342"/>
      <c r="XCG15" s="342"/>
      <c r="XCH15" s="343"/>
      <c r="XCI15" s="343"/>
      <c r="XCJ15" s="344"/>
      <c r="XCK15" s="344"/>
      <c r="XCL15" s="344"/>
      <c r="XCM15" s="342"/>
      <c r="XCN15" s="342"/>
      <c r="XCO15" s="342"/>
      <c r="XCP15" s="343"/>
      <c r="XCQ15" s="343"/>
      <c r="XCR15" s="344"/>
      <c r="XCS15" s="344"/>
      <c r="XCT15" s="344"/>
      <c r="XCU15" s="342"/>
      <c r="XCV15" s="342"/>
      <c r="XCW15" s="342"/>
      <c r="XCX15" s="343"/>
      <c r="XCY15" s="343"/>
      <c r="XCZ15" s="344"/>
      <c r="XDA15" s="344"/>
      <c r="XDB15" s="344"/>
      <c r="XDC15" s="342"/>
      <c r="XDD15" s="342"/>
      <c r="XDE15" s="342"/>
      <c r="XDF15" s="343"/>
      <c r="XDG15" s="343"/>
      <c r="XDH15" s="344"/>
      <c r="XDI15" s="344"/>
      <c r="XDJ15" s="344"/>
      <c r="XDK15" s="342"/>
      <c r="XDL15" s="342"/>
      <c r="XDM15" s="342"/>
      <c r="XDN15" s="343"/>
      <c r="XDO15" s="343"/>
      <c r="XDP15" s="344"/>
      <c r="XDQ15" s="344"/>
      <c r="XDR15" s="344"/>
      <c r="XDS15" s="342"/>
      <c r="XDT15" s="342"/>
      <c r="XDU15" s="342"/>
      <c r="XDV15" s="343"/>
      <c r="XDW15" s="343"/>
      <c r="XDX15" s="344"/>
      <c r="XDY15" s="344"/>
      <c r="XDZ15" s="344"/>
      <c r="XEA15" s="342"/>
      <c r="XEB15" s="342"/>
      <c r="XEC15" s="342"/>
      <c r="XED15" s="343"/>
      <c r="XEE15" s="343"/>
      <c r="XEF15" s="344"/>
      <c r="XEG15" s="344"/>
      <c r="XEH15" s="344"/>
      <c r="XEI15" s="342"/>
      <c r="XEJ15" s="342"/>
      <c r="XEK15" s="342"/>
      <c r="XEL15" s="343"/>
      <c r="XEM15" s="343"/>
      <c r="XEN15" s="344"/>
      <c r="XEO15" s="344"/>
      <c r="XEP15" s="344"/>
      <c r="XEQ15" s="342"/>
      <c r="XER15" s="342"/>
      <c r="XES15" s="342"/>
      <c r="XET15" s="343"/>
      <c r="XEU15" s="343"/>
      <c r="XEV15" s="344"/>
      <c r="XEW15" s="344"/>
      <c r="XEX15" s="344"/>
      <c r="XEY15" s="342"/>
      <c r="XEZ15" s="342"/>
      <c r="XFA15" s="342"/>
    </row>
    <row r="16" spans="1:16381" ht="21.75" customHeight="1" thickBot="1">
      <c r="A16" s="103"/>
      <c r="B16" s="101" t="s">
        <v>90</v>
      </c>
      <c r="C16" s="351" t="s">
        <v>73</v>
      </c>
      <c r="D16" s="352"/>
      <c r="E16" s="353"/>
      <c r="F16" s="354"/>
      <c r="G16" s="355"/>
      <c r="H16" s="356"/>
      <c r="I16" s="115"/>
      <c r="J16" s="45">
        <v>0.85</v>
      </c>
      <c r="K16" s="169">
        <f t="shared" si="1"/>
        <v>4975462964</v>
      </c>
      <c r="L16" s="4"/>
      <c r="M16" s="45">
        <v>0.85</v>
      </c>
      <c r="N16" s="39">
        <f t="shared" si="0"/>
        <v>4523148149.0909081</v>
      </c>
      <c r="O16" s="4"/>
      <c r="P16" s="344"/>
      <c r="Q16" s="344"/>
      <c r="R16" s="344"/>
      <c r="S16" s="342"/>
      <c r="T16" s="342"/>
      <c r="U16" s="342"/>
      <c r="V16" s="343"/>
      <c r="W16" s="343"/>
      <c r="X16" s="344"/>
      <c r="Y16" s="344"/>
      <c r="Z16" s="344"/>
      <c r="AA16" s="342"/>
      <c r="AB16" s="342"/>
      <c r="AC16" s="342"/>
      <c r="AD16" s="343"/>
      <c r="AE16" s="343"/>
      <c r="AF16" s="344"/>
      <c r="AG16" s="344"/>
      <c r="AH16" s="344"/>
      <c r="AI16" s="342"/>
      <c r="AJ16" s="342"/>
      <c r="AK16" s="342"/>
      <c r="AL16" s="343"/>
      <c r="AM16" s="343"/>
      <c r="AN16" s="344"/>
      <c r="AO16" s="344"/>
      <c r="AP16" s="344"/>
      <c r="AQ16" s="342"/>
      <c r="AR16" s="342"/>
      <c r="AS16" s="342"/>
      <c r="AT16" s="343"/>
      <c r="AU16" s="343"/>
      <c r="AV16" s="344"/>
      <c r="AW16" s="344"/>
      <c r="AX16" s="344"/>
      <c r="AY16" s="342"/>
      <c r="AZ16" s="342"/>
      <c r="BA16" s="342"/>
      <c r="BB16" s="343"/>
      <c r="BC16" s="343"/>
      <c r="BD16" s="344"/>
      <c r="BE16" s="344"/>
      <c r="BF16" s="344"/>
      <c r="BG16" s="342"/>
      <c r="BH16" s="342"/>
      <c r="BI16" s="342"/>
      <c r="BJ16" s="343"/>
      <c r="BK16" s="343"/>
      <c r="BL16" s="344"/>
      <c r="BM16" s="344"/>
      <c r="BN16" s="344"/>
      <c r="BO16" s="342"/>
      <c r="BP16" s="342"/>
      <c r="BQ16" s="342"/>
      <c r="BR16" s="343"/>
      <c r="BS16" s="343"/>
      <c r="BT16" s="344"/>
      <c r="BU16" s="344"/>
      <c r="BV16" s="344"/>
      <c r="BW16" s="342"/>
      <c r="BX16" s="342"/>
      <c r="BY16" s="342"/>
      <c r="BZ16" s="343"/>
      <c r="CA16" s="343"/>
      <c r="CB16" s="344"/>
      <c r="CC16" s="344"/>
      <c r="CD16" s="344"/>
      <c r="CE16" s="342"/>
      <c r="CF16" s="342"/>
      <c r="CG16" s="342"/>
      <c r="CH16" s="343"/>
      <c r="CI16" s="343"/>
      <c r="CJ16" s="344"/>
      <c r="CK16" s="344"/>
      <c r="CL16" s="344"/>
      <c r="CM16" s="342"/>
      <c r="CN16" s="342"/>
      <c r="CO16" s="342"/>
      <c r="CP16" s="343"/>
      <c r="CQ16" s="343"/>
      <c r="CR16" s="344"/>
      <c r="CS16" s="344"/>
      <c r="CT16" s="344"/>
      <c r="CU16" s="342"/>
      <c r="CV16" s="342"/>
      <c r="CW16" s="342"/>
      <c r="CX16" s="343"/>
      <c r="CY16" s="343"/>
      <c r="CZ16" s="344"/>
      <c r="DA16" s="344"/>
      <c r="DB16" s="344"/>
      <c r="DC16" s="342"/>
      <c r="DD16" s="342"/>
      <c r="DE16" s="342"/>
      <c r="DF16" s="343"/>
      <c r="DG16" s="343"/>
      <c r="DH16" s="344"/>
      <c r="DI16" s="344"/>
      <c r="DJ16" s="344"/>
      <c r="DK16" s="342"/>
      <c r="DL16" s="342"/>
      <c r="DM16" s="342"/>
      <c r="DN16" s="343"/>
      <c r="DO16" s="343"/>
      <c r="DP16" s="344"/>
      <c r="DQ16" s="344"/>
      <c r="DR16" s="344"/>
      <c r="DS16" s="342"/>
      <c r="DT16" s="342"/>
      <c r="DU16" s="342"/>
      <c r="DV16" s="343"/>
      <c r="DW16" s="343"/>
      <c r="DX16" s="344"/>
      <c r="DY16" s="344"/>
      <c r="DZ16" s="344"/>
      <c r="EA16" s="342"/>
      <c r="EB16" s="342"/>
      <c r="EC16" s="342"/>
      <c r="ED16" s="343"/>
      <c r="EE16" s="343"/>
      <c r="EF16" s="344"/>
      <c r="EG16" s="344"/>
      <c r="EH16" s="344"/>
      <c r="EI16" s="342"/>
      <c r="EJ16" s="342"/>
      <c r="EK16" s="342"/>
      <c r="EL16" s="343"/>
      <c r="EM16" s="343"/>
      <c r="EN16" s="344"/>
      <c r="EO16" s="344"/>
      <c r="EP16" s="344"/>
      <c r="EQ16" s="342"/>
      <c r="ER16" s="342"/>
      <c r="ES16" s="342"/>
      <c r="ET16" s="343"/>
      <c r="EU16" s="343"/>
      <c r="EV16" s="344"/>
      <c r="EW16" s="344"/>
      <c r="EX16" s="344"/>
      <c r="EY16" s="342"/>
      <c r="EZ16" s="342"/>
      <c r="FA16" s="342"/>
      <c r="FB16" s="343"/>
      <c r="FC16" s="343"/>
      <c r="FD16" s="344"/>
      <c r="FE16" s="344"/>
      <c r="FF16" s="344"/>
      <c r="FG16" s="342"/>
      <c r="FH16" s="342"/>
      <c r="FI16" s="342"/>
      <c r="FJ16" s="343"/>
      <c r="FK16" s="343"/>
      <c r="FL16" s="344"/>
      <c r="FM16" s="344"/>
      <c r="FN16" s="344"/>
      <c r="FO16" s="342"/>
      <c r="FP16" s="342"/>
      <c r="FQ16" s="342"/>
      <c r="FR16" s="343"/>
      <c r="FS16" s="343"/>
      <c r="FT16" s="344"/>
      <c r="FU16" s="344"/>
      <c r="FV16" s="344"/>
      <c r="FW16" s="342"/>
      <c r="FX16" s="342"/>
      <c r="FY16" s="342"/>
      <c r="FZ16" s="343"/>
      <c r="GA16" s="343"/>
      <c r="GB16" s="344"/>
      <c r="GC16" s="344"/>
      <c r="GD16" s="344"/>
      <c r="GE16" s="342"/>
      <c r="GF16" s="342"/>
      <c r="GG16" s="342"/>
      <c r="GH16" s="343"/>
      <c r="GI16" s="343"/>
      <c r="GJ16" s="344"/>
      <c r="GK16" s="344"/>
      <c r="GL16" s="344"/>
      <c r="GM16" s="342"/>
      <c r="GN16" s="342"/>
      <c r="GO16" s="342"/>
      <c r="GP16" s="343"/>
      <c r="GQ16" s="343"/>
      <c r="GR16" s="344"/>
      <c r="GS16" s="344"/>
      <c r="GT16" s="344"/>
      <c r="GU16" s="342"/>
      <c r="GV16" s="342"/>
      <c r="GW16" s="342"/>
      <c r="GX16" s="343"/>
      <c r="GY16" s="343"/>
      <c r="GZ16" s="344"/>
      <c r="HA16" s="344"/>
      <c r="HB16" s="344"/>
      <c r="HC16" s="342"/>
      <c r="HD16" s="342"/>
      <c r="HE16" s="342"/>
      <c r="HF16" s="343"/>
      <c r="HG16" s="343"/>
      <c r="HH16" s="344"/>
      <c r="HI16" s="344"/>
      <c r="HJ16" s="344"/>
      <c r="HK16" s="342"/>
      <c r="HL16" s="342"/>
      <c r="HM16" s="342"/>
      <c r="HN16" s="343"/>
      <c r="HO16" s="343"/>
      <c r="HP16" s="344"/>
      <c r="HQ16" s="344"/>
      <c r="HR16" s="344"/>
      <c r="HS16" s="342"/>
      <c r="HT16" s="342"/>
      <c r="HU16" s="342"/>
      <c r="HV16" s="343"/>
      <c r="HW16" s="343"/>
      <c r="HX16" s="344"/>
      <c r="HY16" s="344"/>
      <c r="HZ16" s="344"/>
      <c r="IA16" s="342"/>
      <c r="IB16" s="342"/>
      <c r="IC16" s="342"/>
      <c r="ID16" s="343"/>
      <c r="IE16" s="343"/>
      <c r="IF16" s="344"/>
      <c r="IG16" s="344"/>
      <c r="IH16" s="344"/>
      <c r="II16" s="342"/>
      <c r="IJ16" s="342"/>
      <c r="IK16" s="342"/>
      <c r="IL16" s="343"/>
      <c r="IM16" s="343"/>
      <c r="IN16" s="344"/>
      <c r="IO16" s="344"/>
      <c r="IP16" s="344"/>
      <c r="IQ16" s="342"/>
      <c r="IR16" s="342"/>
      <c r="IS16" s="342"/>
      <c r="IT16" s="343"/>
      <c r="IU16" s="343"/>
      <c r="IV16" s="344"/>
      <c r="IW16" s="344"/>
      <c r="IX16" s="344"/>
      <c r="IY16" s="342"/>
      <c r="IZ16" s="342"/>
      <c r="JA16" s="342"/>
      <c r="JB16" s="343"/>
      <c r="JC16" s="343"/>
      <c r="JD16" s="344"/>
      <c r="JE16" s="344"/>
      <c r="JF16" s="344"/>
      <c r="JG16" s="342"/>
      <c r="JH16" s="342"/>
      <c r="JI16" s="342"/>
      <c r="JJ16" s="343"/>
      <c r="JK16" s="343"/>
      <c r="JL16" s="344"/>
      <c r="JM16" s="344"/>
      <c r="JN16" s="344"/>
      <c r="JO16" s="342"/>
      <c r="JP16" s="342"/>
      <c r="JQ16" s="342"/>
      <c r="JR16" s="343"/>
      <c r="JS16" s="343"/>
      <c r="JT16" s="344"/>
      <c r="JU16" s="344"/>
      <c r="JV16" s="344"/>
      <c r="JW16" s="342"/>
      <c r="JX16" s="342"/>
      <c r="JY16" s="342"/>
      <c r="JZ16" s="343"/>
      <c r="KA16" s="343"/>
      <c r="KB16" s="344"/>
      <c r="KC16" s="344"/>
      <c r="KD16" s="344"/>
      <c r="KE16" s="342"/>
      <c r="KF16" s="342"/>
      <c r="KG16" s="342"/>
      <c r="KH16" s="343"/>
      <c r="KI16" s="343"/>
      <c r="KJ16" s="344"/>
      <c r="KK16" s="344"/>
      <c r="KL16" s="344"/>
      <c r="KM16" s="342"/>
      <c r="KN16" s="342"/>
      <c r="KO16" s="342"/>
      <c r="KP16" s="343"/>
      <c r="KQ16" s="343"/>
      <c r="KR16" s="344"/>
      <c r="KS16" s="344"/>
      <c r="KT16" s="344"/>
      <c r="KU16" s="342"/>
      <c r="KV16" s="342"/>
      <c r="KW16" s="342"/>
      <c r="KX16" s="343"/>
      <c r="KY16" s="343"/>
      <c r="KZ16" s="344"/>
      <c r="LA16" s="344"/>
      <c r="LB16" s="344"/>
      <c r="LC16" s="342"/>
      <c r="LD16" s="342"/>
      <c r="LE16" s="342"/>
      <c r="LF16" s="343"/>
      <c r="LG16" s="343"/>
      <c r="LH16" s="344"/>
      <c r="LI16" s="344"/>
      <c r="LJ16" s="344"/>
      <c r="LK16" s="342"/>
      <c r="LL16" s="342"/>
      <c r="LM16" s="342"/>
      <c r="LN16" s="343"/>
      <c r="LO16" s="343"/>
      <c r="LP16" s="344"/>
      <c r="LQ16" s="344"/>
      <c r="LR16" s="344"/>
      <c r="LS16" s="342"/>
      <c r="LT16" s="342"/>
      <c r="LU16" s="342"/>
      <c r="LV16" s="343"/>
      <c r="LW16" s="343"/>
      <c r="LX16" s="344"/>
      <c r="LY16" s="344"/>
      <c r="LZ16" s="344"/>
      <c r="MA16" s="342"/>
      <c r="MB16" s="342"/>
      <c r="MC16" s="342"/>
      <c r="MD16" s="343"/>
      <c r="ME16" s="343"/>
      <c r="MF16" s="344"/>
      <c r="MG16" s="344"/>
      <c r="MH16" s="344"/>
      <c r="MI16" s="342"/>
      <c r="MJ16" s="342"/>
      <c r="MK16" s="342"/>
      <c r="ML16" s="343"/>
      <c r="MM16" s="343"/>
      <c r="MN16" s="344"/>
      <c r="MO16" s="344"/>
      <c r="MP16" s="344"/>
      <c r="MQ16" s="342"/>
      <c r="MR16" s="342"/>
      <c r="MS16" s="342"/>
      <c r="MT16" s="343"/>
      <c r="MU16" s="343"/>
      <c r="MV16" s="344"/>
      <c r="MW16" s="344"/>
      <c r="MX16" s="344"/>
      <c r="MY16" s="342"/>
      <c r="MZ16" s="342"/>
      <c r="NA16" s="342"/>
      <c r="NB16" s="343"/>
      <c r="NC16" s="343"/>
      <c r="ND16" s="344"/>
      <c r="NE16" s="344"/>
      <c r="NF16" s="344"/>
      <c r="NG16" s="342"/>
      <c r="NH16" s="342"/>
      <c r="NI16" s="342"/>
      <c r="NJ16" s="343"/>
      <c r="NK16" s="343"/>
      <c r="NL16" s="344"/>
      <c r="NM16" s="344"/>
      <c r="NN16" s="344"/>
      <c r="NO16" s="342"/>
      <c r="NP16" s="342"/>
      <c r="NQ16" s="342"/>
      <c r="NR16" s="343"/>
      <c r="NS16" s="343"/>
      <c r="NT16" s="344"/>
      <c r="NU16" s="344"/>
      <c r="NV16" s="344"/>
      <c r="NW16" s="342"/>
      <c r="NX16" s="342"/>
      <c r="NY16" s="342"/>
      <c r="NZ16" s="343"/>
      <c r="OA16" s="343"/>
      <c r="OB16" s="344"/>
      <c r="OC16" s="344"/>
      <c r="OD16" s="344"/>
      <c r="OE16" s="342"/>
      <c r="OF16" s="342"/>
      <c r="OG16" s="342"/>
      <c r="OH16" s="343"/>
      <c r="OI16" s="343"/>
      <c r="OJ16" s="344"/>
      <c r="OK16" s="344"/>
      <c r="OL16" s="344"/>
      <c r="OM16" s="342"/>
      <c r="ON16" s="342"/>
      <c r="OO16" s="342"/>
      <c r="OP16" s="343"/>
      <c r="OQ16" s="343"/>
      <c r="OR16" s="344"/>
      <c r="OS16" s="344"/>
      <c r="OT16" s="344"/>
      <c r="OU16" s="342"/>
      <c r="OV16" s="342"/>
      <c r="OW16" s="342"/>
      <c r="OX16" s="343"/>
      <c r="OY16" s="343"/>
      <c r="OZ16" s="344"/>
      <c r="PA16" s="344"/>
      <c r="PB16" s="344"/>
      <c r="PC16" s="342"/>
      <c r="PD16" s="342"/>
      <c r="PE16" s="342"/>
      <c r="PF16" s="343"/>
      <c r="PG16" s="343"/>
      <c r="PH16" s="344"/>
      <c r="PI16" s="344"/>
      <c r="PJ16" s="344"/>
      <c r="PK16" s="342"/>
      <c r="PL16" s="342"/>
      <c r="PM16" s="342"/>
      <c r="PN16" s="343"/>
      <c r="PO16" s="343"/>
      <c r="PP16" s="344"/>
      <c r="PQ16" s="344"/>
      <c r="PR16" s="344"/>
      <c r="PS16" s="342"/>
      <c r="PT16" s="342"/>
      <c r="PU16" s="342"/>
      <c r="PV16" s="343"/>
      <c r="PW16" s="343"/>
      <c r="PX16" s="344"/>
      <c r="PY16" s="344"/>
      <c r="PZ16" s="344"/>
      <c r="QA16" s="342"/>
      <c r="QB16" s="342"/>
      <c r="QC16" s="342"/>
      <c r="QD16" s="343"/>
      <c r="QE16" s="343"/>
      <c r="QF16" s="344"/>
      <c r="QG16" s="344"/>
      <c r="QH16" s="344"/>
      <c r="QI16" s="342"/>
      <c r="QJ16" s="342"/>
      <c r="QK16" s="342"/>
      <c r="QL16" s="343"/>
      <c r="QM16" s="343"/>
      <c r="QN16" s="344"/>
      <c r="QO16" s="344"/>
      <c r="QP16" s="344"/>
      <c r="QQ16" s="342"/>
      <c r="QR16" s="342"/>
      <c r="QS16" s="342"/>
      <c r="QT16" s="343"/>
      <c r="QU16" s="343"/>
      <c r="QV16" s="344"/>
      <c r="QW16" s="344"/>
      <c r="QX16" s="344"/>
      <c r="QY16" s="342"/>
      <c r="QZ16" s="342"/>
      <c r="RA16" s="342"/>
      <c r="RB16" s="343"/>
      <c r="RC16" s="343"/>
      <c r="RD16" s="344"/>
      <c r="RE16" s="344"/>
      <c r="RF16" s="344"/>
      <c r="RG16" s="342"/>
      <c r="RH16" s="342"/>
      <c r="RI16" s="342"/>
      <c r="RJ16" s="343"/>
      <c r="RK16" s="343"/>
      <c r="RL16" s="344"/>
      <c r="RM16" s="344"/>
      <c r="RN16" s="344"/>
      <c r="RO16" s="342"/>
      <c r="RP16" s="342"/>
      <c r="RQ16" s="342"/>
      <c r="RR16" s="343"/>
      <c r="RS16" s="343"/>
      <c r="RT16" s="344"/>
      <c r="RU16" s="344"/>
      <c r="RV16" s="344"/>
      <c r="RW16" s="342"/>
      <c r="RX16" s="342"/>
      <c r="RY16" s="342"/>
      <c r="RZ16" s="343"/>
      <c r="SA16" s="343"/>
      <c r="SB16" s="344"/>
      <c r="SC16" s="344"/>
      <c r="SD16" s="344"/>
      <c r="SE16" s="342"/>
      <c r="SF16" s="342"/>
      <c r="SG16" s="342"/>
      <c r="SH16" s="343"/>
      <c r="SI16" s="343"/>
      <c r="SJ16" s="344"/>
      <c r="SK16" s="344"/>
      <c r="SL16" s="344"/>
      <c r="SM16" s="342"/>
      <c r="SN16" s="342"/>
      <c r="SO16" s="342"/>
      <c r="SP16" s="343"/>
      <c r="SQ16" s="343"/>
      <c r="SR16" s="344"/>
      <c r="SS16" s="344"/>
      <c r="ST16" s="344"/>
      <c r="SU16" s="342"/>
      <c r="SV16" s="342"/>
      <c r="SW16" s="342"/>
      <c r="SX16" s="343"/>
      <c r="SY16" s="343"/>
      <c r="SZ16" s="344"/>
      <c r="TA16" s="344"/>
      <c r="TB16" s="344"/>
      <c r="TC16" s="342"/>
      <c r="TD16" s="342"/>
      <c r="TE16" s="342"/>
      <c r="TF16" s="343"/>
      <c r="TG16" s="343"/>
      <c r="TH16" s="344"/>
      <c r="TI16" s="344"/>
      <c r="TJ16" s="344"/>
      <c r="TK16" s="342"/>
      <c r="TL16" s="342"/>
      <c r="TM16" s="342"/>
      <c r="TN16" s="343"/>
      <c r="TO16" s="343"/>
      <c r="TP16" s="344"/>
      <c r="TQ16" s="344"/>
      <c r="TR16" s="344"/>
      <c r="TS16" s="342"/>
      <c r="TT16" s="342"/>
      <c r="TU16" s="342"/>
      <c r="TV16" s="343"/>
      <c r="TW16" s="343"/>
      <c r="TX16" s="344"/>
      <c r="TY16" s="344"/>
      <c r="TZ16" s="344"/>
      <c r="UA16" s="342"/>
      <c r="UB16" s="342"/>
      <c r="UC16" s="342"/>
      <c r="UD16" s="343"/>
      <c r="UE16" s="343"/>
      <c r="UF16" s="344"/>
      <c r="UG16" s="344"/>
      <c r="UH16" s="344"/>
      <c r="UI16" s="342"/>
      <c r="UJ16" s="342"/>
      <c r="UK16" s="342"/>
      <c r="UL16" s="343"/>
      <c r="UM16" s="343"/>
      <c r="UN16" s="344"/>
      <c r="UO16" s="344"/>
      <c r="UP16" s="344"/>
      <c r="UQ16" s="342"/>
      <c r="UR16" s="342"/>
      <c r="US16" s="342"/>
      <c r="UT16" s="343"/>
      <c r="UU16" s="343"/>
      <c r="UV16" s="344"/>
      <c r="UW16" s="344"/>
      <c r="UX16" s="344"/>
      <c r="UY16" s="342"/>
      <c r="UZ16" s="342"/>
      <c r="VA16" s="342"/>
      <c r="VB16" s="343"/>
      <c r="VC16" s="343"/>
      <c r="VD16" s="344"/>
      <c r="VE16" s="344"/>
      <c r="VF16" s="344"/>
      <c r="VG16" s="342"/>
      <c r="VH16" s="342"/>
      <c r="VI16" s="342"/>
      <c r="VJ16" s="343"/>
      <c r="VK16" s="343"/>
      <c r="VL16" s="344"/>
      <c r="VM16" s="344"/>
      <c r="VN16" s="344"/>
      <c r="VO16" s="342"/>
      <c r="VP16" s="342"/>
      <c r="VQ16" s="342"/>
      <c r="VR16" s="343"/>
      <c r="VS16" s="343"/>
      <c r="VT16" s="344"/>
      <c r="VU16" s="344"/>
      <c r="VV16" s="344"/>
      <c r="VW16" s="342"/>
      <c r="VX16" s="342"/>
      <c r="VY16" s="342"/>
      <c r="VZ16" s="343"/>
      <c r="WA16" s="343"/>
      <c r="WB16" s="344"/>
      <c r="WC16" s="344"/>
      <c r="WD16" s="344"/>
      <c r="WE16" s="342"/>
      <c r="WF16" s="342"/>
      <c r="WG16" s="342"/>
      <c r="WH16" s="343"/>
      <c r="WI16" s="343"/>
      <c r="WJ16" s="344"/>
      <c r="WK16" s="344"/>
      <c r="WL16" s="344"/>
      <c r="WM16" s="342"/>
      <c r="WN16" s="342"/>
      <c r="WO16" s="342"/>
      <c r="WP16" s="343"/>
      <c r="WQ16" s="343"/>
      <c r="WR16" s="344"/>
      <c r="WS16" s="344"/>
      <c r="WT16" s="344"/>
      <c r="WU16" s="342"/>
      <c r="WV16" s="342"/>
      <c r="WW16" s="342"/>
      <c r="WX16" s="343"/>
      <c r="WY16" s="343"/>
      <c r="WZ16" s="344"/>
      <c r="XA16" s="344"/>
      <c r="XB16" s="344"/>
      <c r="XC16" s="342"/>
      <c r="XD16" s="342"/>
      <c r="XE16" s="342"/>
      <c r="XF16" s="343"/>
      <c r="XG16" s="343"/>
      <c r="XH16" s="344"/>
      <c r="XI16" s="344"/>
      <c r="XJ16" s="344"/>
      <c r="XK16" s="342"/>
      <c r="XL16" s="342"/>
      <c r="XM16" s="342"/>
      <c r="XN16" s="343"/>
      <c r="XO16" s="343"/>
      <c r="XP16" s="344"/>
      <c r="XQ16" s="344"/>
      <c r="XR16" s="344"/>
      <c r="XS16" s="342"/>
      <c r="XT16" s="342"/>
      <c r="XU16" s="342"/>
      <c r="XV16" s="343"/>
      <c r="XW16" s="343"/>
      <c r="XX16" s="344"/>
      <c r="XY16" s="344"/>
      <c r="XZ16" s="344"/>
      <c r="YA16" s="342"/>
      <c r="YB16" s="342"/>
      <c r="YC16" s="342"/>
      <c r="YD16" s="343"/>
      <c r="YE16" s="343"/>
      <c r="YF16" s="344"/>
      <c r="YG16" s="344"/>
      <c r="YH16" s="344"/>
      <c r="YI16" s="342"/>
      <c r="YJ16" s="342"/>
      <c r="YK16" s="342"/>
      <c r="YL16" s="343"/>
      <c r="YM16" s="343"/>
      <c r="YN16" s="344"/>
      <c r="YO16" s="344"/>
      <c r="YP16" s="344"/>
      <c r="YQ16" s="342"/>
      <c r="YR16" s="342"/>
      <c r="YS16" s="342"/>
      <c r="YT16" s="343"/>
      <c r="YU16" s="343"/>
      <c r="YV16" s="344"/>
      <c r="YW16" s="344"/>
      <c r="YX16" s="344"/>
      <c r="YY16" s="342"/>
      <c r="YZ16" s="342"/>
      <c r="ZA16" s="342"/>
      <c r="ZB16" s="343"/>
      <c r="ZC16" s="343"/>
      <c r="ZD16" s="344"/>
      <c r="ZE16" s="344"/>
      <c r="ZF16" s="344"/>
      <c r="ZG16" s="342"/>
      <c r="ZH16" s="342"/>
      <c r="ZI16" s="342"/>
      <c r="ZJ16" s="343"/>
      <c r="ZK16" s="343"/>
      <c r="ZL16" s="344"/>
      <c r="ZM16" s="344"/>
      <c r="ZN16" s="344"/>
      <c r="ZO16" s="342"/>
      <c r="ZP16" s="342"/>
      <c r="ZQ16" s="342"/>
      <c r="ZR16" s="343"/>
      <c r="ZS16" s="343"/>
      <c r="ZT16" s="344"/>
      <c r="ZU16" s="344"/>
      <c r="ZV16" s="344"/>
      <c r="ZW16" s="342"/>
      <c r="ZX16" s="342"/>
      <c r="ZY16" s="342"/>
      <c r="ZZ16" s="343"/>
      <c r="AAA16" s="343"/>
      <c r="AAB16" s="344"/>
      <c r="AAC16" s="344"/>
      <c r="AAD16" s="344"/>
      <c r="AAE16" s="342"/>
      <c r="AAF16" s="342"/>
      <c r="AAG16" s="342"/>
      <c r="AAH16" s="343"/>
      <c r="AAI16" s="343"/>
      <c r="AAJ16" s="344"/>
      <c r="AAK16" s="344"/>
      <c r="AAL16" s="344"/>
      <c r="AAM16" s="342"/>
      <c r="AAN16" s="342"/>
      <c r="AAO16" s="342"/>
      <c r="AAP16" s="343"/>
      <c r="AAQ16" s="343"/>
      <c r="AAR16" s="344"/>
      <c r="AAS16" s="344"/>
      <c r="AAT16" s="344"/>
      <c r="AAU16" s="342"/>
      <c r="AAV16" s="342"/>
      <c r="AAW16" s="342"/>
      <c r="AAX16" s="343"/>
      <c r="AAY16" s="343"/>
      <c r="AAZ16" s="344"/>
      <c r="ABA16" s="344"/>
      <c r="ABB16" s="344"/>
      <c r="ABC16" s="342"/>
      <c r="ABD16" s="342"/>
      <c r="ABE16" s="342"/>
      <c r="ABF16" s="343"/>
      <c r="ABG16" s="343"/>
      <c r="ABH16" s="344"/>
      <c r="ABI16" s="344"/>
      <c r="ABJ16" s="344"/>
      <c r="ABK16" s="342"/>
      <c r="ABL16" s="342"/>
      <c r="ABM16" s="342"/>
      <c r="ABN16" s="343"/>
      <c r="ABO16" s="343"/>
      <c r="ABP16" s="344"/>
      <c r="ABQ16" s="344"/>
      <c r="ABR16" s="344"/>
      <c r="ABS16" s="342"/>
      <c r="ABT16" s="342"/>
      <c r="ABU16" s="342"/>
      <c r="ABV16" s="343"/>
      <c r="ABW16" s="343"/>
      <c r="ABX16" s="344"/>
      <c r="ABY16" s="344"/>
      <c r="ABZ16" s="344"/>
      <c r="ACA16" s="342"/>
      <c r="ACB16" s="342"/>
      <c r="ACC16" s="342"/>
      <c r="ACD16" s="343"/>
      <c r="ACE16" s="343"/>
      <c r="ACF16" s="344"/>
      <c r="ACG16" s="344"/>
      <c r="ACH16" s="344"/>
      <c r="ACI16" s="342"/>
      <c r="ACJ16" s="342"/>
      <c r="ACK16" s="342"/>
      <c r="ACL16" s="343"/>
      <c r="ACM16" s="343"/>
      <c r="ACN16" s="344"/>
      <c r="ACO16" s="344"/>
      <c r="ACP16" s="344"/>
      <c r="ACQ16" s="342"/>
      <c r="ACR16" s="342"/>
      <c r="ACS16" s="342"/>
      <c r="ACT16" s="343"/>
      <c r="ACU16" s="343"/>
      <c r="ACV16" s="344"/>
      <c r="ACW16" s="344"/>
      <c r="ACX16" s="344"/>
      <c r="ACY16" s="342"/>
      <c r="ACZ16" s="342"/>
      <c r="ADA16" s="342"/>
      <c r="ADB16" s="343"/>
      <c r="ADC16" s="343"/>
      <c r="ADD16" s="344"/>
      <c r="ADE16" s="344"/>
      <c r="ADF16" s="344"/>
      <c r="ADG16" s="342"/>
      <c r="ADH16" s="342"/>
      <c r="ADI16" s="342"/>
      <c r="ADJ16" s="343"/>
      <c r="ADK16" s="343"/>
      <c r="ADL16" s="344"/>
      <c r="ADM16" s="344"/>
      <c r="ADN16" s="344"/>
      <c r="ADO16" s="342"/>
      <c r="ADP16" s="342"/>
      <c r="ADQ16" s="342"/>
      <c r="ADR16" s="343"/>
      <c r="ADS16" s="343"/>
      <c r="ADT16" s="344"/>
      <c r="ADU16" s="344"/>
      <c r="ADV16" s="344"/>
      <c r="ADW16" s="342"/>
      <c r="ADX16" s="342"/>
      <c r="ADY16" s="342"/>
      <c r="ADZ16" s="343"/>
      <c r="AEA16" s="343"/>
      <c r="AEB16" s="344"/>
      <c r="AEC16" s="344"/>
      <c r="AED16" s="344"/>
      <c r="AEE16" s="342"/>
      <c r="AEF16" s="342"/>
      <c r="AEG16" s="342"/>
      <c r="AEH16" s="343"/>
      <c r="AEI16" s="343"/>
      <c r="AEJ16" s="344"/>
      <c r="AEK16" s="344"/>
      <c r="AEL16" s="344"/>
      <c r="AEM16" s="342"/>
      <c r="AEN16" s="342"/>
      <c r="AEO16" s="342"/>
      <c r="AEP16" s="343"/>
      <c r="AEQ16" s="343"/>
      <c r="AER16" s="344"/>
      <c r="AES16" s="344"/>
      <c r="AET16" s="344"/>
      <c r="AEU16" s="342"/>
      <c r="AEV16" s="342"/>
      <c r="AEW16" s="342"/>
      <c r="AEX16" s="343"/>
      <c r="AEY16" s="343"/>
      <c r="AEZ16" s="344"/>
      <c r="AFA16" s="344"/>
      <c r="AFB16" s="344"/>
      <c r="AFC16" s="342"/>
      <c r="AFD16" s="342"/>
      <c r="AFE16" s="342"/>
      <c r="AFF16" s="343"/>
      <c r="AFG16" s="343"/>
      <c r="AFH16" s="344"/>
      <c r="AFI16" s="344"/>
      <c r="AFJ16" s="344"/>
      <c r="AFK16" s="342"/>
      <c r="AFL16" s="342"/>
      <c r="AFM16" s="342"/>
      <c r="AFN16" s="343"/>
      <c r="AFO16" s="343"/>
      <c r="AFP16" s="344"/>
      <c r="AFQ16" s="344"/>
      <c r="AFR16" s="344"/>
      <c r="AFS16" s="342"/>
      <c r="AFT16" s="342"/>
      <c r="AFU16" s="342"/>
      <c r="AFV16" s="343"/>
      <c r="AFW16" s="343"/>
      <c r="AFX16" s="344"/>
      <c r="AFY16" s="344"/>
      <c r="AFZ16" s="344"/>
      <c r="AGA16" s="342"/>
      <c r="AGB16" s="342"/>
      <c r="AGC16" s="342"/>
      <c r="AGD16" s="343"/>
      <c r="AGE16" s="343"/>
      <c r="AGF16" s="344"/>
      <c r="AGG16" s="344"/>
      <c r="AGH16" s="344"/>
      <c r="AGI16" s="342"/>
      <c r="AGJ16" s="342"/>
      <c r="AGK16" s="342"/>
      <c r="AGL16" s="343"/>
      <c r="AGM16" s="343"/>
      <c r="AGN16" s="344"/>
      <c r="AGO16" s="344"/>
      <c r="AGP16" s="344"/>
      <c r="AGQ16" s="342"/>
      <c r="AGR16" s="342"/>
      <c r="AGS16" s="342"/>
      <c r="AGT16" s="343"/>
      <c r="AGU16" s="343"/>
      <c r="AGV16" s="344"/>
      <c r="AGW16" s="344"/>
      <c r="AGX16" s="344"/>
      <c r="AGY16" s="342"/>
      <c r="AGZ16" s="342"/>
      <c r="AHA16" s="342"/>
      <c r="AHB16" s="343"/>
      <c r="AHC16" s="343"/>
      <c r="AHD16" s="344"/>
      <c r="AHE16" s="344"/>
      <c r="AHF16" s="344"/>
      <c r="AHG16" s="342"/>
      <c r="AHH16" s="342"/>
      <c r="AHI16" s="342"/>
      <c r="AHJ16" s="343"/>
      <c r="AHK16" s="343"/>
      <c r="AHL16" s="344"/>
      <c r="AHM16" s="344"/>
      <c r="AHN16" s="344"/>
      <c r="AHO16" s="342"/>
      <c r="AHP16" s="342"/>
      <c r="AHQ16" s="342"/>
      <c r="AHR16" s="343"/>
      <c r="AHS16" s="343"/>
      <c r="AHT16" s="344"/>
      <c r="AHU16" s="344"/>
      <c r="AHV16" s="344"/>
      <c r="AHW16" s="342"/>
      <c r="AHX16" s="342"/>
      <c r="AHY16" s="342"/>
      <c r="AHZ16" s="343"/>
      <c r="AIA16" s="343"/>
      <c r="AIB16" s="344"/>
      <c r="AIC16" s="344"/>
      <c r="AID16" s="344"/>
      <c r="AIE16" s="342"/>
      <c r="AIF16" s="342"/>
      <c r="AIG16" s="342"/>
      <c r="AIH16" s="343"/>
      <c r="AII16" s="343"/>
      <c r="AIJ16" s="344"/>
      <c r="AIK16" s="344"/>
      <c r="AIL16" s="344"/>
      <c r="AIM16" s="342"/>
      <c r="AIN16" s="342"/>
      <c r="AIO16" s="342"/>
      <c r="AIP16" s="343"/>
      <c r="AIQ16" s="343"/>
      <c r="AIR16" s="344"/>
      <c r="AIS16" s="344"/>
      <c r="AIT16" s="344"/>
      <c r="AIU16" s="342"/>
      <c r="AIV16" s="342"/>
      <c r="AIW16" s="342"/>
      <c r="AIX16" s="343"/>
      <c r="AIY16" s="343"/>
      <c r="AIZ16" s="344"/>
      <c r="AJA16" s="344"/>
      <c r="AJB16" s="344"/>
      <c r="AJC16" s="342"/>
      <c r="AJD16" s="342"/>
      <c r="AJE16" s="342"/>
      <c r="AJF16" s="343"/>
      <c r="AJG16" s="343"/>
      <c r="AJH16" s="344"/>
      <c r="AJI16" s="344"/>
      <c r="AJJ16" s="344"/>
      <c r="AJK16" s="342"/>
      <c r="AJL16" s="342"/>
      <c r="AJM16" s="342"/>
      <c r="AJN16" s="343"/>
      <c r="AJO16" s="343"/>
      <c r="AJP16" s="344"/>
      <c r="AJQ16" s="344"/>
      <c r="AJR16" s="344"/>
      <c r="AJS16" s="342"/>
      <c r="AJT16" s="342"/>
      <c r="AJU16" s="342"/>
      <c r="AJV16" s="343"/>
      <c r="AJW16" s="343"/>
      <c r="AJX16" s="344"/>
      <c r="AJY16" s="344"/>
      <c r="AJZ16" s="344"/>
      <c r="AKA16" s="342"/>
      <c r="AKB16" s="342"/>
      <c r="AKC16" s="342"/>
      <c r="AKD16" s="343"/>
      <c r="AKE16" s="343"/>
      <c r="AKF16" s="344"/>
      <c r="AKG16" s="344"/>
      <c r="AKH16" s="344"/>
      <c r="AKI16" s="342"/>
      <c r="AKJ16" s="342"/>
      <c r="AKK16" s="342"/>
      <c r="AKL16" s="343"/>
      <c r="AKM16" s="343"/>
      <c r="AKN16" s="344"/>
      <c r="AKO16" s="344"/>
      <c r="AKP16" s="344"/>
      <c r="AKQ16" s="342"/>
      <c r="AKR16" s="342"/>
      <c r="AKS16" s="342"/>
      <c r="AKT16" s="343"/>
      <c r="AKU16" s="343"/>
      <c r="AKV16" s="344"/>
      <c r="AKW16" s="344"/>
      <c r="AKX16" s="344"/>
      <c r="AKY16" s="342"/>
      <c r="AKZ16" s="342"/>
      <c r="ALA16" s="342"/>
      <c r="ALB16" s="343"/>
      <c r="ALC16" s="343"/>
      <c r="ALD16" s="344"/>
      <c r="ALE16" s="344"/>
      <c r="ALF16" s="344"/>
      <c r="ALG16" s="342"/>
      <c r="ALH16" s="342"/>
      <c r="ALI16" s="342"/>
      <c r="ALJ16" s="343"/>
      <c r="ALK16" s="343"/>
      <c r="ALL16" s="344"/>
      <c r="ALM16" s="344"/>
      <c r="ALN16" s="344"/>
      <c r="ALO16" s="342"/>
      <c r="ALP16" s="342"/>
      <c r="ALQ16" s="342"/>
      <c r="ALR16" s="343"/>
      <c r="ALS16" s="343"/>
      <c r="ALT16" s="344"/>
      <c r="ALU16" s="344"/>
      <c r="ALV16" s="344"/>
      <c r="ALW16" s="342"/>
      <c r="ALX16" s="342"/>
      <c r="ALY16" s="342"/>
      <c r="ALZ16" s="343"/>
      <c r="AMA16" s="343"/>
      <c r="AMB16" s="344"/>
      <c r="AMC16" s="344"/>
      <c r="AMD16" s="344"/>
      <c r="AME16" s="342"/>
      <c r="AMF16" s="342"/>
      <c r="AMG16" s="342"/>
      <c r="AMH16" s="343"/>
      <c r="AMI16" s="343"/>
      <c r="AMJ16" s="344"/>
      <c r="AMK16" s="344"/>
      <c r="AML16" s="344"/>
      <c r="AMM16" s="342"/>
      <c r="AMN16" s="342"/>
      <c r="AMO16" s="342"/>
      <c r="AMP16" s="343"/>
      <c r="AMQ16" s="343"/>
      <c r="AMR16" s="344"/>
      <c r="AMS16" s="344"/>
      <c r="AMT16" s="344"/>
      <c r="AMU16" s="342"/>
      <c r="AMV16" s="342"/>
      <c r="AMW16" s="342"/>
      <c r="AMX16" s="343"/>
      <c r="AMY16" s="343"/>
      <c r="AMZ16" s="344"/>
      <c r="ANA16" s="344"/>
      <c r="ANB16" s="344"/>
      <c r="ANC16" s="342"/>
      <c r="AND16" s="342"/>
      <c r="ANE16" s="342"/>
      <c r="ANF16" s="343"/>
      <c r="ANG16" s="343"/>
      <c r="ANH16" s="344"/>
      <c r="ANI16" s="344"/>
      <c r="ANJ16" s="344"/>
      <c r="ANK16" s="342"/>
      <c r="ANL16" s="342"/>
      <c r="ANM16" s="342"/>
      <c r="ANN16" s="343"/>
      <c r="ANO16" s="343"/>
      <c r="ANP16" s="344"/>
      <c r="ANQ16" s="344"/>
      <c r="ANR16" s="344"/>
      <c r="ANS16" s="342"/>
      <c r="ANT16" s="342"/>
      <c r="ANU16" s="342"/>
      <c r="ANV16" s="343"/>
      <c r="ANW16" s="343"/>
      <c r="ANX16" s="344"/>
      <c r="ANY16" s="344"/>
      <c r="ANZ16" s="344"/>
      <c r="AOA16" s="342"/>
      <c r="AOB16" s="342"/>
      <c r="AOC16" s="342"/>
      <c r="AOD16" s="343"/>
      <c r="AOE16" s="343"/>
      <c r="AOF16" s="344"/>
      <c r="AOG16" s="344"/>
      <c r="AOH16" s="344"/>
      <c r="AOI16" s="342"/>
      <c r="AOJ16" s="342"/>
      <c r="AOK16" s="342"/>
      <c r="AOL16" s="343"/>
      <c r="AOM16" s="343"/>
      <c r="AON16" s="344"/>
      <c r="AOO16" s="344"/>
      <c r="AOP16" s="344"/>
      <c r="AOQ16" s="342"/>
      <c r="AOR16" s="342"/>
      <c r="AOS16" s="342"/>
      <c r="AOT16" s="343"/>
      <c r="AOU16" s="343"/>
      <c r="AOV16" s="344"/>
      <c r="AOW16" s="344"/>
      <c r="AOX16" s="344"/>
      <c r="AOY16" s="342"/>
      <c r="AOZ16" s="342"/>
      <c r="APA16" s="342"/>
      <c r="APB16" s="343"/>
      <c r="APC16" s="343"/>
      <c r="APD16" s="344"/>
      <c r="APE16" s="344"/>
      <c r="APF16" s="344"/>
      <c r="APG16" s="342"/>
      <c r="APH16" s="342"/>
      <c r="API16" s="342"/>
      <c r="APJ16" s="343"/>
      <c r="APK16" s="343"/>
      <c r="APL16" s="344"/>
      <c r="APM16" s="344"/>
      <c r="APN16" s="344"/>
      <c r="APO16" s="342"/>
      <c r="APP16" s="342"/>
      <c r="APQ16" s="342"/>
      <c r="APR16" s="343"/>
      <c r="APS16" s="343"/>
      <c r="APT16" s="344"/>
      <c r="APU16" s="344"/>
      <c r="APV16" s="344"/>
      <c r="APW16" s="342"/>
      <c r="APX16" s="342"/>
      <c r="APY16" s="342"/>
      <c r="APZ16" s="343"/>
      <c r="AQA16" s="343"/>
      <c r="AQB16" s="344"/>
      <c r="AQC16" s="344"/>
      <c r="AQD16" s="344"/>
      <c r="AQE16" s="342"/>
      <c r="AQF16" s="342"/>
      <c r="AQG16" s="342"/>
      <c r="AQH16" s="343"/>
      <c r="AQI16" s="343"/>
      <c r="AQJ16" s="344"/>
      <c r="AQK16" s="344"/>
      <c r="AQL16" s="344"/>
      <c r="AQM16" s="342"/>
      <c r="AQN16" s="342"/>
      <c r="AQO16" s="342"/>
      <c r="AQP16" s="343"/>
      <c r="AQQ16" s="343"/>
      <c r="AQR16" s="344"/>
      <c r="AQS16" s="344"/>
      <c r="AQT16" s="344"/>
      <c r="AQU16" s="342"/>
      <c r="AQV16" s="342"/>
      <c r="AQW16" s="342"/>
      <c r="AQX16" s="343"/>
      <c r="AQY16" s="343"/>
      <c r="AQZ16" s="344"/>
      <c r="ARA16" s="344"/>
      <c r="ARB16" s="344"/>
      <c r="ARC16" s="342"/>
      <c r="ARD16" s="342"/>
      <c r="ARE16" s="342"/>
      <c r="ARF16" s="343"/>
      <c r="ARG16" s="343"/>
      <c r="ARH16" s="344"/>
      <c r="ARI16" s="344"/>
      <c r="ARJ16" s="344"/>
      <c r="ARK16" s="342"/>
      <c r="ARL16" s="342"/>
      <c r="ARM16" s="342"/>
      <c r="ARN16" s="343"/>
      <c r="ARO16" s="343"/>
      <c r="ARP16" s="344"/>
      <c r="ARQ16" s="344"/>
      <c r="ARR16" s="344"/>
      <c r="ARS16" s="342"/>
      <c r="ART16" s="342"/>
      <c r="ARU16" s="342"/>
      <c r="ARV16" s="343"/>
      <c r="ARW16" s="343"/>
      <c r="ARX16" s="344"/>
      <c r="ARY16" s="344"/>
      <c r="ARZ16" s="344"/>
      <c r="ASA16" s="342"/>
      <c r="ASB16" s="342"/>
      <c r="ASC16" s="342"/>
      <c r="ASD16" s="343"/>
      <c r="ASE16" s="343"/>
      <c r="ASF16" s="344"/>
      <c r="ASG16" s="344"/>
      <c r="ASH16" s="344"/>
      <c r="ASI16" s="342"/>
      <c r="ASJ16" s="342"/>
      <c r="ASK16" s="342"/>
      <c r="ASL16" s="343"/>
      <c r="ASM16" s="343"/>
      <c r="ASN16" s="344"/>
      <c r="ASO16" s="344"/>
      <c r="ASP16" s="344"/>
      <c r="ASQ16" s="342"/>
      <c r="ASR16" s="342"/>
      <c r="ASS16" s="342"/>
      <c r="AST16" s="343"/>
      <c r="ASU16" s="343"/>
      <c r="ASV16" s="344"/>
      <c r="ASW16" s="344"/>
      <c r="ASX16" s="344"/>
      <c r="ASY16" s="342"/>
      <c r="ASZ16" s="342"/>
      <c r="ATA16" s="342"/>
      <c r="ATB16" s="343"/>
      <c r="ATC16" s="343"/>
      <c r="ATD16" s="344"/>
      <c r="ATE16" s="344"/>
      <c r="ATF16" s="344"/>
      <c r="ATG16" s="342"/>
      <c r="ATH16" s="342"/>
      <c r="ATI16" s="342"/>
      <c r="ATJ16" s="343"/>
      <c r="ATK16" s="343"/>
      <c r="ATL16" s="344"/>
      <c r="ATM16" s="344"/>
      <c r="ATN16" s="344"/>
      <c r="ATO16" s="342"/>
      <c r="ATP16" s="342"/>
      <c r="ATQ16" s="342"/>
      <c r="ATR16" s="343"/>
      <c r="ATS16" s="343"/>
      <c r="ATT16" s="344"/>
      <c r="ATU16" s="344"/>
      <c r="ATV16" s="344"/>
      <c r="ATW16" s="342"/>
      <c r="ATX16" s="342"/>
      <c r="ATY16" s="342"/>
      <c r="ATZ16" s="343"/>
      <c r="AUA16" s="343"/>
      <c r="AUB16" s="344"/>
      <c r="AUC16" s="344"/>
      <c r="AUD16" s="344"/>
      <c r="AUE16" s="342"/>
      <c r="AUF16" s="342"/>
      <c r="AUG16" s="342"/>
      <c r="AUH16" s="343"/>
      <c r="AUI16" s="343"/>
      <c r="AUJ16" s="344"/>
      <c r="AUK16" s="344"/>
      <c r="AUL16" s="344"/>
      <c r="AUM16" s="342"/>
      <c r="AUN16" s="342"/>
      <c r="AUO16" s="342"/>
      <c r="AUP16" s="343"/>
      <c r="AUQ16" s="343"/>
      <c r="AUR16" s="344"/>
      <c r="AUS16" s="344"/>
      <c r="AUT16" s="344"/>
      <c r="AUU16" s="342"/>
      <c r="AUV16" s="342"/>
      <c r="AUW16" s="342"/>
      <c r="AUX16" s="343"/>
      <c r="AUY16" s="343"/>
      <c r="AUZ16" s="344"/>
      <c r="AVA16" s="344"/>
      <c r="AVB16" s="344"/>
      <c r="AVC16" s="342"/>
      <c r="AVD16" s="342"/>
      <c r="AVE16" s="342"/>
      <c r="AVF16" s="343"/>
      <c r="AVG16" s="343"/>
      <c r="AVH16" s="344"/>
      <c r="AVI16" s="344"/>
      <c r="AVJ16" s="344"/>
      <c r="AVK16" s="342"/>
      <c r="AVL16" s="342"/>
      <c r="AVM16" s="342"/>
      <c r="AVN16" s="343"/>
      <c r="AVO16" s="343"/>
      <c r="AVP16" s="344"/>
      <c r="AVQ16" s="344"/>
      <c r="AVR16" s="344"/>
      <c r="AVS16" s="342"/>
      <c r="AVT16" s="342"/>
      <c r="AVU16" s="342"/>
      <c r="AVV16" s="343"/>
      <c r="AVW16" s="343"/>
      <c r="AVX16" s="344"/>
      <c r="AVY16" s="344"/>
      <c r="AVZ16" s="344"/>
      <c r="AWA16" s="342"/>
      <c r="AWB16" s="342"/>
      <c r="AWC16" s="342"/>
      <c r="AWD16" s="343"/>
      <c r="AWE16" s="343"/>
      <c r="AWF16" s="344"/>
      <c r="AWG16" s="344"/>
      <c r="AWH16" s="344"/>
      <c r="AWI16" s="342"/>
      <c r="AWJ16" s="342"/>
      <c r="AWK16" s="342"/>
      <c r="AWL16" s="343"/>
      <c r="AWM16" s="343"/>
      <c r="AWN16" s="344"/>
      <c r="AWO16" s="344"/>
      <c r="AWP16" s="344"/>
      <c r="AWQ16" s="342"/>
      <c r="AWR16" s="342"/>
      <c r="AWS16" s="342"/>
      <c r="AWT16" s="343"/>
      <c r="AWU16" s="343"/>
      <c r="AWV16" s="344"/>
      <c r="AWW16" s="344"/>
      <c r="AWX16" s="344"/>
      <c r="AWY16" s="342"/>
      <c r="AWZ16" s="342"/>
      <c r="AXA16" s="342"/>
      <c r="AXB16" s="343"/>
      <c r="AXC16" s="343"/>
      <c r="AXD16" s="344"/>
      <c r="AXE16" s="344"/>
      <c r="AXF16" s="344"/>
      <c r="AXG16" s="342"/>
      <c r="AXH16" s="342"/>
      <c r="AXI16" s="342"/>
      <c r="AXJ16" s="343"/>
      <c r="AXK16" s="343"/>
      <c r="AXL16" s="344"/>
      <c r="AXM16" s="344"/>
      <c r="AXN16" s="344"/>
      <c r="AXO16" s="342"/>
      <c r="AXP16" s="342"/>
      <c r="AXQ16" s="342"/>
      <c r="AXR16" s="343"/>
      <c r="AXS16" s="343"/>
      <c r="AXT16" s="344"/>
      <c r="AXU16" s="344"/>
      <c r="AXV16" s="344"/>
      <c r="AXW16" s="342"/>
      <c r="AXX16" s="342"/>
      <c r="AXY16" s="342"/>
      <c r="AXZ16" s="343"/>
      <c r="AYA16" s="343"/>
      <c r="AYB16" s="344"/>
      <c r="AYC16" s="344"/>
      <c r="AYD16" s="344"/>
      <c r="AYE16" s="342"/>
      <c r="AYF16" s="342"/>
      <c r="AYG16" s="342"/>
      <c r="AYH16" s="343"/>
      <c r="AYI16" s="343"/>
      <c r="AYJ16" s="344"/>
      <c r="AYK16" s="344"/>
      <c r="AYL16" s="344"/>
      <c r="AYM16" s="342"/>
      <c r="AYN16" s="342"/>
      <c r="AYO16" s="342"/>
      <c r="AYP16" s="343"/>
      <c r="AYQ16" s="343"/>
      <c r="AYR16" s="344"/>
      <c r="AYS16" s="344"/>
      <c r="AYT16" s="344"/>
      <c r="AYU16" s="342"/>
      <c r="AYV16" s="342"/>
      <c r="AYW16" s="342"/>
      <c r="AYX16" s="343"/>
      <c r="AYY16" s="343"/>
      <c r="AYZ16" s="344"/>
      <c r="AZA16" s="344"/>
      <c r="AZB16" s="344"/>
      <c r="AZC16" s="342"/>
      <c r="AZD16" s="342"/>
      <c r="AZE16" s="342"/>
      <c r="AZF16" s="343"/>
      <c r="AZG16" s="343"/>
      <c r="AZH16" s="344"/>
      <c r="AZI16" s="344"/>
      <c r="AZJ16" s="344"/>
      <c r="AZK16" s="342"/>
      <c r="AZL16" s="342"/>
      <c r="AZM16" s="342"/>
      <c r="AZN16" s="343"/>
      <c r="AZO16" s="343"/>
      <c r="AZP16" s="344"/>
      <c r="AZQ16" s="344"/>
      <c r="AZR16" s="344"/>
      <c r="AZS16" s="342"/>
      <c r="AZT16" s="342"/>
      <c r="AZU16" s="342"/>
      <c r="AZV16" s="343"/>
      <c r="AZW16" s="343"/>
      <c r="AZX16" s="344"/>
      <c r="AZY16" s="344"/>
      <c r="AZZ16" s="344"/>
      <c r="BAA16" s="342"/>
      <c r="BAB16" s="342"/>
      <c r="BAC16" s="342"/>
      <c r="BAD16" s="343"/>
      <c r="BAE16" s="343"/>
      <c r="BAF16" s="344"/>
      <c r="BAG16" s="344"/>
      <c r="BAH16" s="344"/>
      <c r="BAI16" s="342"/>
      <c r="BAJ16" s="342"/>
      <c r="BAK16" s="342"/>
      <c r="BAL16" s="343"/>
      <c r="BAM16" s="343"/>
      <c r="BAN16" s="344"/>
      <c r="BAO16" s="344"/>
      <c r="BAP16" s="344"/>
      <c r="BAQ16" s="342"/>
      <c r="BAR16" s="342"/>
      <c r="BAS16" s="342"/>
      <c r="BAT16" s="343"/>
      <c r="BAU16" s="343"/>
      <c r="BAV16" s="344"/>
      <c r="BAW16" s="344"/>
      <c r="BAX16" s="344"/>
      <c r="BAY16" s="342"/>
      <c r="BAZ16" s="342"/>
      <c r="BBA16" s="342"/>
      <c r="BBB16" s="343"/>
      <c r="BBC16" s="343"/>
      <c r="BBD16" s="344"/>
      <c r="BBE16" s="344"/>
      <c r="BBF16" s="344"/>
      <c r="BBG16" s="342"/>
      <c r="BBH16" s="342"/>
      <c r="BBI16" s="342"/>
      <c r="BBJ16" s="343"/>
      <c r="BBK16" s="343"/>
      <c r="BBL16" s="344"/>
      <c r="BBM16" s="344"/>
      <c r="BBN16" s="344"/>
      <c r="BBO16" s="342"/>
      <c r="BBP16" s="342"/>
      <c r="BBQ16" s="342"/>
      <c r="BBR16" s="343"/>
      <c r="BBS16" s="343"/>
      <c r="BBT16" s="344"/>
      <c r="BBU16" s="344"/>
      <c r="BBV16" s="344"/>
      <c r="BBW16" s="342"/>
      <c r="BBX16" s="342"/>
      <c r="BBY16" s="342"/>
      <c r="BBZ16" s="343"/>
      <c r="BCA16" s="343"/>
      <c r="BCB16" s="344"/>
      <c r="BCC16" s="344"/>
      <c r="BCD16" s="344"/>
      <c r="BCE16" s="342"/>
      <c r="BCF16" s="342"/>
      <c r="BCG16" s="342"/>
      <c r="BCH16" s="343"/>
      <c r="BCI16" s="343"/>
      <c r="BCJ16" s="344"/>
      <c r="BCK16" s="344"/>
      <c r="BCL16" s="344"/>
      <c r="BCM16" s="342"/>
      <c r="BCN16" s="342"/>
      <c r="BCO16" s="342"/>
      <c r="BCP16" s="343"/>
      <c r="BCQ16" s="343"/>
      <c r="BCR16" s="344"/>
      <c r="BCS16" s="344"/>
      <c r="BCT16" s="344"/>
      <c r="BCU16" s="342"/>
      <c r="BCV16" s="342"/>
      <c r="BCW16" s="342"/>
      <c r="BCX16" s="343"/>
      <c r="BCY16" s="343"/>
      <c r="BCZ16" s="344"/>
      <c r="BDA16" s="344"/>
      <c r="BDB16" s="344"/>
      <c r="BDC16" s="342"/>
      <c r="BDD16" s="342"/>
      <c r="BDE16" s="342"/>
      <c r="BDF16" s="343"/>
      <c r="BDG16" s="343"/>
      <c r="BDH16" s="344"/>
      <c r="BDI16" s="344"/>
      <c r="BDJ16" s="344"/>
      <c r="BDK16" s="342"/>
      <c r="BDL16" s="342"/>
      <c r="BDM16" s="342"/>
      <c r="BDN16" s="343"/>
      <c r="BDO16" s="343"/>
      <c r="BDP16" s="344"/>
      <c r="BDQ16" s="344"/>
      <c r="BDR16" s="344"/>
      <c r="BDS16" s="342"/>
      <c r="BDT16" s="342"/>
      <c r="BDU16" s="342"/>
      <c r="BDV16" s="343"/>
      <c r="BDW16" s="343"/>
      <c r="BDX16" s="344"/>
      <c r="BDY16" s="344"/>
      <c r="BDZ16" s="344"/>
      <c r="BEA16" s="342"/>
      <c r="BEB16" s="342"/>
      <c r="BEC16" s="342"/>
      <c r="BED16" s="343"/>
      <c r="BEE16" s="343"/>
      <c r="BEF16" s="344"/>
      <c r="BEG16" s="344"/>
      <c r="BEH16" s="344"/>
      <c r="BEI16" s="342"/>
      <c r="BEJ16" s="342"/>
      <c r="BEK16" s="342"/>
      <c r="BEL16" s="343"/>
      <c r="BEM16" s="343"/>
      <c r="BEN16" s="344"/>
      <c r="BEO16" s="344"/>
      <c r="BEP16" s="344"/>
      <c r="BEQ16" s="342"/>
      <c r="BER16" s="342"/>
      <c r="BES16" s="342"/>
      <c r="BET16" s="343"/>
      <c r="BEU16" s="343"/>
      <c r="BEV16" s="344"/>
      <c r="BEW16" s="344"/>
      <c r="BEX16" s="344"/>
      <c r="BEY16" s="342"/>
      <c r="BEZ16" s="342"/>
      <c r="BFA16" s="342"/>
      <c r="BFB16" s="343"/>
      <c r="BFC16" s="343"/>
      <c r="BFD16" s="344"/>
      <c r="BFE16" s="344"/>
      <c r="BFF16" s="344"/>
      <c r="BFG16" s="342"/>
      <c r="BFH16" s="342"/>
      <c r="BFI16" s="342"/>
      <c r="BFJ16" s="343"/>
      <c r="BFK16" s="343"/>
      <c r="BFL16" s="344"/>
      <c r="BFM16" s="344"/>
      <c r="BFN16" s="344"/>
      <c r="BFO16" s="342"/>
      <c r="BFP16" s="342"/>
      <c r="BFQ16" s="342"/>
      <c r="BFR16" s="343"/>
      <c r="BFS16" s="343"/>
      <c r="BFT16" s="344"/>
      <c r="BFU16" s="344"/>
      <c r="BFV16" s="344"/>
      <c r="BFW16" s="342"/>
      <c r="BFX16" s="342"/>
      <c r="BFY16" s="342"/>
      <c r="BFZ16" s="343"/>
      <c r="BGA16" s="343"/>
      <c r="BGB16" s="344"/>
      <c r="BGC16" s="344"/>
      <c r="BGD16" s="344"/>
      <c r="BGE16" s="342"/>
      <c r="BGF16" s="342"/>
      <c r="BGG16" s="342"/>
      <c r="BGH16" s="343"/>
      <c r="BGI16" s="343"/>
      <c r="BGJ16" s="344"/>
      <c r="BGK16" s="344"/>
      <c r="BGL16" s="344"/>
      <c r="BGM16" s="342"/>
      <c r="BGN16" s="342"/>
      <c r="BGO16" s="342"/>
      <c r="BGP16" s="343"/>
      <c r="BGQ16" s="343"/>
      <c r="BGR16" s="344"/>
      <c r="BGS16" s="344"/>
      <c r="BGT16" s="344"/>
      <c r="BGU16" s="342"/>
      <c r="BGV16" s="342"/>
      <c r="BGW16" s="342"/>
      <c r="BGX16" s="343"/>
      <c r="BGY16" s="343"/>
      <c r="BGZ16" s="344"/>
      <c r="BHA16" s="344"/>
      <c r="BHB16" s="344"/>
      <c r="BHC16" s="342"/>
      <c r="BHD16" s="342"/>
      <c r="BHE16" s="342"/>
      <c r="BHF16" s="343"/>
      <c r="BHG16" s="343"/>
      <c r="BHH16" s="344"/>
      <c r="BHI16" s="344"/>
      <c r="BHJ16" s="344"/>
      <c r="BHK16" s="342"/>
      <c r="BHL16" s="342"/>
      <c r="BHM16" s="342"/>
      <c r="BHN16" s="343"/>
      <c r="BHO16" s="343"/>
      <c r="BHP16" s="344"/>
      <c r="BHQ16" s="344"/>
      <c r="BHR16" s="344"/>
      <c r="BHS16" s="342"/>
      <c r="BHT16" s="342"/>
      <c r="BHU16" s="342"/>
      <c r="BHV16" s="343"/>
      <c r="BHW16" s="343"/>
      <c r="BHX16" s="344"/>
      <c r="BHY16" s="344"/>
      <c r="BHZ16" s="344"/>
      <c r="BIA16" s="342"/>
      <c r="BIB16" s="342"/>
      <c r="BIC16" s="342"/>
      <c r="BID16" s="343"/>
      <c r="BIE16" s="343"/>
      <c r="BIF16" s="344"/>
      <c r="BIG16" s="344"/>
      <c r="BIH16" s="344"/>
      <c r="BII16" s="342"/>
      <c r="BIJ16" s="342"/>
      <c r="BIK16" s="342"/>
      <c r="BIL16" s="343"/>
      <c r="BIM16" s="343"/>
      <c r="BIN16" s="344"/>
      <c r="BIO16" s="344"/>
      <c r="BIP16" s="344"/>
      <c r="BIQ16" s="342"/>
      <c r="BIR16" s="342"/>
      <c r="BIS16" s="342"/>
      <c r="BIT16" s="343"/>
      <c r="BIU16" s="343"/>
      <c r="BIV16" s="344"/>
      <c r="BIW16" s="344"/>
      <c r="BIX16" s="344"/>
      <c r="BIY16" s="342"/>
      <c r="BIZ16" s="342"/>
      <c r="BJA16" s="342"/>
      <c r="BJB16" s="343"/>
      <c r="BJC16" s="343"/>
      <c r="BJD16" s="344"/>
      <c r="BJE16" s="344"/>
      <c r="BJF16" s="344"/>
      <c r="BJG16" s="342"/>
      <c r="BJH16" s="342"/>
      <c r="BJI16" s="342"/>
      <c r="BJJ16" s="343"/>
      <c r="BJK16" s="343"/>
      <c r="BJL16" s="344"/>
      <c r="BJM16" s="344"/>
      <c r="BJN16" s="344"/>
      <c r="BJO16" s="342"/>
      <c r="BJP16" s="342"/>
      <c r="BJQ16" s="342"/>
      <c r="BJR16" s="343"/>
      <c r="BJS16" s="343"/>
      <c r="BJT16" s="344"/>
      <c r="BJU16" s="344"/>
      <c r="BJV16" s="344"/>
      <c r="BJW16" s="342"/>
      <c r="BJX16" s="342"/>
      <c r="BJY16" s="342"/>
      <c r="BJZ16" s="343"/>
      <c r="BKA16" s="343"/>
      <c r="BKB16" s="344"/>
      <c r="BKC16" s="344"/>
      <c r="BKD16" s="344"/>
      <c r="BKE16" s="342"/>
      <c r="BKF16" s="342"/>
      <c r="BKG16" s="342"/>
      <c r="BKH16" s="343"/>
      <c r="BKI16" s="343"/>
      <c r="BKJ16" s="344"/>
      <c r="BKK16" s="344"/>
      <c r="BKL16" s="344"/>
      <c r="BKM16" s="342"/>
      <c r="BKN16" s="342"/>
      <c r="BKO16" s="342"/>
      <c r="BKP16" s="343"/>
      <c r="BKQ16" s="343"/>
      <c r="BKR16" s="344"/>
      <c r="BKS16" s="344"/>
      <c r="BKT16" s="344"/>
      <c r="BKU16" s="342"/>
      <c r="BKV16" s="342"/>
      <c r="BKW16" s="342"/>
      <c r="BKX16" s="343"/>
      <c r="BKY16" s="343"/>
      <c r="BKZ16" s="344"/>
      <c r="BLA16" s="344"/>
      <c r="BLB16" s="344"/>
      <c r="BLC16" s="342"/>
      <c r="BLD16" s="342"/>
      <c r="BLE16" s="342"/>
      <c r="BLF16" s="343"/>
      <c r="BLG16" s="343"/>
      <c r="BLH16" s="344"/>
      <c r="BLI16" s="344"/>
      <c r="BLJ16" s="344"/>
      <c r="BLK16" s="342"/>
      <c r="BLL16" s="342"/>
      <c r="BLM16" s="342"/>
      <c r="BLN16" s="343"/>
      <c r="BLO16" s="343"/>
      <c r="BLP16" s="344"/>
      <c r="BLQ16" s="344"/>
      <c r="BLR16" s="344"/>
      <c r="BLS16" s="342"/>
      <c r="BLT16" s="342"/>
      <c r="BLU16" s="342"/>
      <c r="BLV16" s="343"/>
      <c r="BLW16" s="343"/>
      <c r="BLX16" s="344"/>
      <c r="BLY16" s="344"/>
      <c r="BLZ16" s="344"/>
      <c r="BMA16" s="342"/>
      <c r="BMB16" s="342"/>
      <c r="BMC16" s="342"/>
      <c r="BMD16" s="343"/>
      <c r="BME16" s="343"/>
      <c r="BMF16" s="344"/>
      <c r="BMG16" s="344"/>
      <c r="BMH16" s="344"/>
      <c r="BMI16" s="342"/>
      <c r="BMJ16" s="342"/>
      <c r="BMK16" s="342"/>
      <c r="BML16" s="343"/>
      <c r="BMM16" s="343"/>
      <c r="BMN16" s="344"/>
      <c r="BMO16" s="344"/>
      <c r="BMP16" s="344"/>
      <c r="BMQ16" s="342"/>
      <c r="BMR16" s="342"/>
      <c r="BMS16" s="342"/>
      <c r="BMT16" s="343"/>
      <c r="BMU16" s="343"/>
      <c r="BMV16" s="344"/>
      <c r="BMW16" s="344"/>
      <c r="BMX16" s="344"/>
      <c r="BMY16" s="342"/>
      <c r="BMZ16" s="342"/>
      <c r="BNA16" s="342"/>
      <c r="BNB16" s="343"/>
      <c r="BNC16" s="343"/>
      <c r="BND16" s="344"/>
      <c r="BNE16" s="344"/>
      <c r="BNF16" s="344"/>
      <c r="BNG16" s="342"/>
      <c r="BNH16" s="342"/>
      <c r="BNI16" s="342"/>
      <c r="BNJ16" s="343"/>
      <c r="BNK16" s="343"/>
      <c r="BNL16" s="344"/>
      <c r="BNM16" s="344"/>
      <c r="BNN16" s="344"/>
      <c r="BNO16" s="342"/>
      <c r="BNP16" s="342"/>
      <c r="BNQ16" s="342"/>
      <c r="BNR16" s="343"/>
      <c r="BNS16" s="343"/>
      <c r="BNT16" s="344"/>
      <c r="BNU16" s="344"/>
      <c r="BNV16" s="344"/>
      <c r="BNW16" s="342"/>
      <c r="BNX16" s="342"/>
      <c r="BNY16" s="342"/>
      <c r="BNZ16" s="343"/>
      <c r="BOA16" s="343"/>
      <c r="BOB16" s="344"/>
      <c r="BOC16" s="344"/>
      <c r="BOD16" s="344"/>
      <c r="BOE16" s="342"/>
      <c r="BOF16" s="342"/>
      <c r="BOG16" s="342"/>
      <c r="BOH16" s="343"/>
      <c r="BOI16" s="343"/>
      <c r="BOJ16" s="344"/>
      <c r="BOK16" s="344"/>
      <c r="BOL16" s="344"/>
      <c r="BOM16" s="342"/>
      <c r="BON16" s="342"/>
      <c r="BOO16" s="342"/>
      <c r="BOP16" s="343"/>
      <c r="BOQ16" s="343"/>
      <c r="BOR16" s="344"/>
      <c r="BOS16" s="344"/>
      <c r="BOT16" s="344"/>
      <c r="BOU16" s="342"/>
      <c r="BOV16" s="342"/>
      <c r="BOW16" s="342"/>
      <c r="BOX16" s="343"/>
      <c r="BOY16" s="343"/>
      <c r="BOZ16" s="344"/>
      <c r="BPA16" s="344"/>
      <c r="BPB16" s="344"/>
      <c r="BPC16" s="342"/>
      <c r="BPD16" s="342"/>
      <c r="BPE16" s="342"/>
      <c r="BPF16" s="343"/>
      <c r="BPG16" s="343"/>
      <c r="BPH16" s="344"/>
      <c r="BPI16" s="344"/>
      <c r="BPJ16" s="344"/>
      <c r="BPK16" s="342"/>
      <c r="BPL16" s="342"/>
      <c r="BPM16" s="342"/>
      <c r="BPN16" s="343"/>
      <c r="BPO16" s="343"/>
      <c r="BPP16" s="344"/>
      <c r="BPQ16" s="344"/>
      <c r="BPR16" s="344"/>
      <c r="BPS16" s="342"/>
      <c r="BPT16" s="342"/>
      <c r="BPU16" s="342"/>
      <c r="BPV16" s="343"/>
      <c r="BPW16" s="343"/>
      <c r="BPX16" s="344"/>
      <c r="BPY16" s="344"/>
      <c r="BPZ16" s="344"/>
      <c r="BQA16" s="342"/>
      <c r="BQB16" s="342"/>
      <c r="BQC16" s="342"/>
      <c r="BQD16" s="343"/>
      <c r="BQE16" s="343"/>
      <c r="BQF16" s="344"/>
      <c r="BQG16" s="344"/>
      <c r="BQH16" s="344"/>
      <c r="BQI16" s="342"/>
      <c r="BQJ16" s="342"/>
      <c r="BQK16" s="342"/>
      <c r="BQL16" s="343"/>
      <c r="BQM16" s="343"/>
      <c r="BQN16" s="344"/>
      <c r="BQO16" s="344"/>
      <c r="BQP16" s="344"/>
      <c r="BQQ16" s="342"/>
      <c r="BQR16" s="342"/>
      <c r="BQS16" s="342"/>
      <c r="BQT16" s="343"/>
      <c r="BQU16" s="343"/>
      <c r="BQV16" s="344"/>
      <c r="BQW16" s="344"/>
      <c r="BQX16" s="344"/>
      <c r="BQY16" s="342"/>
      <c r="BQZ16" s="342"/>
      <c r="BRA16" s="342"/>
      <c r="BRB16" s="343"/>
      <c r="BRC16" s="343"/>
      <c r="BRD16" s="344"/>
      <c r="BRE16" s="344"/>
      <c r="BRF16" s="344"/>
      <c r="BRG16" s="342"/>
      <c r="BRH16" s="342"/>
      <c r="BRI16" s="342"/>
      <c r="BRJ16" s="343"/>
      <c r="BRK16" s="343"/>
      <c r="BRL16" s="344"/>
      <c r="BRM16" s="344"/>
      <c r="BRN16" s="344"/>
      <c r="BRO16" s="342"/>
      <c r="BRP16" s="342"/>
      <c r="BRQ16" s="342"/>
      <c r="BRR16" s="343"/>
      <c r="BRS16" s="343"/>
      <c r="BRT16" s="344"/>
      <c r="BRU16" s="344"/>
      <c r="BRV16" s="344"/>
      <c r="BRW16" s="342"/>
      <c r="BRX16" s="342"/>
      <c r="BRY16" s="342"/>
      <c r="BRZ16" s="343"/>
      <c r="BSA16" s="343"/>
      <c r="BSB16" s="344"/>
      <c r="BSC16" s="344"/>
      <c r="BSD16" s="344"/>
      <c r="BSE16" s="342"/>
      <c r="BSF16" s="342"/>
      <c r="BSG16" s="342"/>
      <c r="BSH16" s="343"/>
      <c r="BSI16" s="343"/>
      <c r="BSJ16" s="344"/>
      <c r="BSK16" s="344"/>
      <c r="BSL16" s="344"/>
      <c r="BSM16" s="342"/>
      <c r="BSN16" s="342"/>
      <c r="BSO16" s="342"/>
      <c r="BSP16" s="343"/>
      <c r="BSQ16" s="343"/>
      <c r="BSR16" s="344"/>
      <c r="BSS16" s="344"/>
      <c r="BST16" s="344"/>
      <c r="BSU16" s="342"/>
      <c r="BSV16" s="342"/>
      <c r="BSW16" s="342"/>
      <c r="BSX16" s="343"/>
      <c r="BSY16" s="343"/>
      <c r="BSZ16" s="344"/>
      <c r="BTA16" s="344"/>
      <c r="BTB16" s="344"/>
      <c r="BTC16" s="342"/>
      <c r="BTD16" s="342"/>
      <c r="BTE16" s="342"/>
      <c r="BTF16" s="343"/>
      <c r="BTG16" s="343"/>
      <c r="BTH16" s="344"/>
      <c r="BTI16" s="344"/>
      <c r="BTJ16" s="344"/>
      <c r="BTK16" s="342"/>
      <c r="BTL16" s="342"/>
      <c r="BTM16" s="342"/>
      <c r="BTN16" s="343"/>
      <c r="BTO16" s="343"/>
      <c r="BTP16" s="344"/>
      <c r="BTQ16" s="344"/>
      <c r="BTR16" s="344"/>
      <c r="BTS16" s="342"/>
      <c r="BTT16" s="342"/>
      <c r="BTU16" s="342"/>
      <c r="BTV16" s="343"/>
      <c r="BTW16" s="343"/>
      <c r="BTX16" s="344"/>
      <c r="BTY16" s="344"/>
      <c r="BTZ16" s="344"/>
      <c r="BUA16" s="342"/>
      <c r="BUB16" s="342"/>
      <c r="BUC16" s="342"/>
      <c r="BUD16" s="343"/>
      <c r="BUE16" s="343"/>
      <c r="BUF16" s="344"/>
      <c r="BUG16" s="344"/>
      <c r="BUH16" s="344"/>
      <c r="BUI16" s="342"/>
      <c r="BUJ16" s="342"/>
      <c r="BUK16" s="342"/>
      <c r="BUL16" s="343"/>
      <c r="BUM16" s="343"/>
      <c r="BUN16" s="344"/>
      <c r="BUO16" s="344"/>
      <c r="BUP16" s="344"/>
      <c r="BUQ16" s="342"/>
      <c r="BUR16" s="342"/>
      <c r="BUS16" s="342"/>
      <c r="BUT16" s="343"/>
      <c r="BUU16" s="343"/>
      <c r="BUV16" s="344"/>
      <c r="BUW16" s="344"/>
      <c r="BUX16" s="344"/>
      <c r="BUY16" s="342"/>
      <c r="BUZ16" s="342"/>
      <c r="BVA16" s="342"/>
      <c r="BVB16" s="343"/>
      <c r="BVC16" s="343"/>
      <c r="BVD16" s="344"/>
      <c r="BVE16" s="344"/>
      <c r="BVF16" s="344"/>
      <c r="BVG16" s="342"/>
      <c r="BVH16" s="342"/>
      <c r="BVI16" s="342"/>
      <c r="BVJ16" s="343"/>
      <c r="BVK16" s="343"/>
      <c r="BVL16" s="344"/>
      <c r="BVM16" s="344"/>
      <c r="BVN16" s="344"/>
      <c r="BVO16" s="342"/>
      <c r="BVP16" s="342"/>
      <c r="BVQ16" s="342"/>
      <c r="BVR16" s="343"/>
      <c r="BVS16" s="343"/>
      <c r="BVT16" s="344"/>
      <c r="BVU16" s="344"/>
      <c r="BVV16" s="344"/>
      <c r="BVW16" s="342"/>
      <c r="BVX16" s="342"/>
      <c r="BVY16" s="342"/>
      <c r="BVZ16" s="343"/>
      <c r="BWA16" s="343"/>
      <c r="BWB16" s="344"/>
      <c r="BWC16" s="344"/>
      <c r="BWD16" s="344"/>
      <c r="BWE16" s="342"/>
      <c r="BWF16" s="342"/>
      <c r="BWG16" s="342"/>
      <c r="BWH16" s="343"/>
      <c r="BWI16" s="343"/>
      <c r="BWJ16" s="344"/>
      <c r="BWK16" s="344"/>
      <c r="BWL16" s="344"/>
      <c r="BWM16" s="342"/>
      <c r="BWN16" s="342"/>
      <c r="BWO16" s="342"/>
      <c r="BWP16" s="343"/>
      <c r="BWQ16" s="343"/>
      <c r="BWR16" s="344"/>
      <c r="BWS16" s="344"/>
      <c r="BWT16" s="344"/>
      <c r="BWU16" s="342"/>
      <c r="BWV16" s="342"/>
      <c r="BWW16" s="342"/>
      <c r="BWX16" s="343"/>
      <c r="BWY16" s="343"/>
      <c r="BWZ16" s="344"/>
      <c r="BXA16" s="344"/>
      <c r="BXB16" s="344"/>
      <c r="BXC16" s="342"/>
      <c r="BXD16" s="342"/>
      <c r="BXE16" s="342"/>
      <c r="BXF16" s="343"/>
      <c r="BXG16" s="343"/>
      <c r="BXH16" s="344"/>
      <c r="BXI16" s="344"/>
      <c r="BXJ16" s="344"/>
      <c r="BXK16" s="342"/>
      <c r="BXL16" s="342"/>
      <c r="BXM16" s="342"/>
      <c r="BXN16" s="343"/>
      <c r="BXO16" s="343"/>
      <c r="BXP16" s="344"/>
      <c r="BXQ16" s="344"/>
      <c r="BXR16" s="344"/>
      <c r="BXS16" s="342"/>
      <c r="BXT16" s="342"/>
      <c r="BXU16" s="342"/>
      <c r="BXV16" s="343"/>
      <c r="BXW16" s="343"/>
      <c r="BXX16" s="344"/>
      <c r="BXY16" s="344"/>
      <c r="BXZ16" s="344"/>
      <c r="BYA16" s="342"/>
      <c r="BYB16" s="342"/>
      <c r="BYC16" s="342"/>
      <c r="BYD16" s="343"/>
      <c r="BYE16" s="343"/>
      <c r="BYF16" s="344"/>
      <c r="BYG16" s="344"/>
      <c r="BYH16" s="344"/>
      <c r="BYI16" s="342"/>
      <c r="BYJ16" s="342"/>
      <c r="BYK16" s="342"/>
      <c r="BYL16" s="343"/>
      <c r="BYM16" s="343"/>
      <c r="BYN16" s="344"/>
      <c r="BYO16" s="344"/>
      <c r="BYP16" s="344"/>
      <c r="BYQ16" s="342"/>
      <c r="BYR16" s="342"/>
      <c r="BYS16" s="342"/>
      <c r="BYT16" s="343"/>
      <c r="BYU16" s="343"/>
      <c r="BYV16" s="344"/>
      <c r="BYW16" s="344"/>
      <c r="BYX16" s="344"/>
      <c r="BYY16" s="342"/>
      <c r="BYZ16" s="342"/>
      <c r="BZA16" s="342"/>
      <c r="BZB16" s="343"/>
      <c r="BZC16" s="343"/>
      <c r="BZD16" s="344"/>
      <c r="BZE16" s="344"/>
      <c r="BZF16" s="344"/>
      <c r="BZG16" s="342"/>
      <c r="BZH16" s="342"/>
      <c r="BZI16" s="342"/>
      <c r="BZJ16" s="343"/>
      <c r="BZK16" s="343"/>
      <c r="BZL16" s="344"/>
      <c r="BZM16" s="344"/>
      <c r="BZN16" s="344"/>
      <c r="BZO16" s="342"/>
      <c r="BZP16" s="342"/>
      <c r="BZQ16" s="342"/>
      <c r="BZR16" s="343"/>
      <c r="BZS16" s="343"/>
      <c r="BZT16" s="344"/>
      <c r="BZU16" s="344"/>
      <c r="BZV16" s="344"/>
      <c r="BZW16" s="342"/>
      <c r="BZX16" s="342"/>
      <c r="BZY16" s="342"/>
      <c r="BZZ16" s="343"/>
      <c r="CAA16" s="343"/>
      <c r="CAB16" s="344"/>
      <c r="CAC16" s="344"/>
      <c r="CAD16" s="344"/>
      <c r="CAE16" s="342"/>
      <c r="CAF16" s="342"/>
      <c r="CAG16" s="342"/>
      <c r="CAH16" s="343"/>
      <c r="CAI16" s="343"/>
      <c r="CAJ16" s="344"/>
      <c r="CAK16" s="344"/>
      <c r="CAL16" s="344"/>
      <c r="CAM16" s="342"/>
      <c r="CAN16" s="342"/>
      <c r="CAO16" s="342"/>
      <c r="CAP16" s="343"/>
      <c r="CAQ16" s="343"/>
      <c r="CAR16" s="344"/>
      <c r="CAS16" s="344"/>
      <c r="CAT16" s="344"/>
      <c r="CAU16" s="342"/>
      <c r="CAV16" s="342"/>
      <c r="CAW16" s="342"/>
      <c r="CAX16" s="343"/>
      <c r="CAY16" s="343"/>
      <c r="CAZ16" s="344"/>
      <c r="CBA16" s="344"/>
      <c r="CBB16" s="344"/>
      <c r="CBC16" s="342"/>
      <c r="CBD16" s="342"/>
      <c r="CBE16" s="342"/>
      <c r="CBF16" s="343"/>
      <c r="CBG16" s="343"/>
      <c r="CBH16" s="344"/>
      <c r="CBI16" s="344"/>
      <c r="CBJ16" s="344"/>
      <c r="CBK16" s="342"/>
      <c r="CBL16" s="342"/>
      <c r="CBM16" s="342"/>
      <c r="CBN16" s="343"/>
      <c r="CBO16" s="343"/>
      <c r="CBP16" s="344"/>
      <c r="CBQ16" s="344"/>
      <c r="CBR16" s="344"/>
      <c r="CBS16" s="342"/>
      <c r="CBT16" s="342"/>
      <c r="CBU16" s="342"/>
      <c r="CBV16" s="343"/>
      <c r="CBW16" s="343"/>
      <c r="CBX16" s="344"/>
      <c r="CBY16" s="344"/>
      <c r="CBZ16" s="344"/>
      <c r="CCA16" s="342"/>
      <c r="CCB16" s="342"/>
      <c r="CCC16" s="342"/>
      <c r="CCD16" s="343"/>
      <c r="CCE16" s="343"/>
      <c r="CCF16" s="344"/>
      <c r="CCG16" s="344"/>
      <c r="CCH16" s="344"/>
      <c r="CCI16" s="342"/>
      <c r="CCJ16" s="342"/>
      <c r="CCK16" s="342"/>
      <c r="CCL16" s="343"/>
      <c r="CCM16" s="343"/>
      <c r="CCN16" s="344"/>
      <c r="CCO16" s="344"/>
      <c r="CCP16" s="344"/>
      <c r="CCQ16" s="342"/>
      <c r="CCR16" s="342"/>
      <c r="CCS16" s="342"/>
      <c r="CCT16" s="343"/>
      <c r="CCU16" s="343"/>
      <c r="CCV16" s="344"/>
      <c r="CCW16" s="344"/>
      <c r="CCX16" s="344"/>
      <c r="CCY16" s="342"/>
      <c r="CCZ16" s="342"/>
      <c r="CDA16" s="342"/>
      <c r="CDB16" s="343"/>
      <c r="CDC16" s="343"/>
      <c r="CDD16" s="344"/>
      <c r="CDE16" s="344"/>
      <c r="CDF16" s="344"/>
      <c r="CDG16" s="342"/>
      <c r="CDH16" s="342"/>
      <c r="CDI16" s="342"/>
      <c r="CDJ16" s="343"/>
      <c r="CDK16" s="343"/>
      <c r="CDL16" s="344"/>
      <c r="CDM16" s="344"/>
      <c r="CDN16" s="344"/>
      <c r="CDO16" s="342"/>
      <c r="CDP16" s="342"/>
      <c r="CDQ16" s="342"/>
      <c r="CDR16" s="343"/>
      <c r="CDS16" s="343"/>
      <c r="CDT16" s="344"/>
      <c r="CDU16" s="344"/>
      <c r="CDV16" s="344"/>
      <c r="CDW16" s="342"/>
      <c r="CDX16" s="342"/>
      <c r="CDY16" s="342"/>
      <c r="CDZ16" s="343"/>
      <c r="CEA16" s="343"/>
      <c r="CEB16" s="344"/>
      <c r="CEC16" s="344"/>
      <c r="CED16" s="344"/>
      <c r="CEE16" s="342"/>
      <c r="CEF16" s="342"/>
      <c r="CEG16" s="342"/>
      <c r="CEH16" s="343"/>
      <c r="CEI16" s="343"/>
      <c r="CEJ16" s="344"/>
      <c r="CEK16" s="344"/>
      <c r="CEL16" s="344"/>
      <c r="CEM16" s="342"/>
      <c r="CEN16" s="342"/>
      <c r="CEO16" s="342"/>
      <c r="CEP16" s="343"/>
      <c r="CEQ16" s="343"/>
      <c r="CER16" s="344"/>
      <c r="CES16" s="344"/>
      <c r="CET16" s="344"/>
      <c r="CEU16" s="342"/>
      <c r="CEV16" s="342"/>
      <c r="CEW16" s="342"/>
      <c r="CEX16" s="343"/>
      <c r="CEY16" s="343"/>
      <c r="CEZ16" s="344"/>
      <c r="CFA16" s="344"/>
      <c r="CFB16" s="344"/>
      <c r="CFC16" s="342"/>
      <c r="CFD16" s="342"/>
      <c r="CFE16" s="342"/>
      <c r="CFF16" s="343"/>
      <c r="CFG16" s="343"/>
      <c r="CFH16" s="344"/>
      <c r="CFI16" s="344"/>
      <c r="CFJ16" s="344"/>
      <c r="CFK16" s="342"/>
      <c r="CFL16" s="342"/>
      <c r="CFM16" s="342"/>
      <c r="CFN16" s="343"/>
      <c r="CFO16" s="343"/>
      <c r="CFP16" s="344"/>
      <c r="CFQ16" s="344"/>
      <c r="CFR16" s="344"/>
      <c r="CFS16" s="342"/>
      <c r="CFT16" s="342"/>
      <c r="CFU16" s="342"/>
      <c r="CFV16" s="343"/>
      <c r="CFW16" s="343"/>
      <c r="CFX16" s="344"/>
      <c r="CFY16" s="344"/>
      <c r="CFZ16" s="344"/>
      <c r="CGA16" s="342"/>
      <c r="CGB16" s="342"/>
      <c r="CGC16" s="342"/>
      <c r="CGD16" s="343"/>
      <c r="CGE16" s="343"/>
      <c r="CGF16" s="344"/>
      <c r="CGG16" s="344"/>
      <c r="CGH16" s="344"/>
      <c r="CGI16" s="342"/>
      <c r="CGJ16" s="342"/>
      <c r="CGK16" s="342"/>
      <c r="CGL16" s="343"/>
      <c r="CGM16" s="343"/>
      <c r="CGN16" s="344"/>
      <c r="CGO16" s="344"/>
      <c r="CGP16" s="344"/>
      <c r="CGQ16" s="342"/>
      <c r="CGR16" s="342"/>
      <c r="CGS16" s="342"/>
      <c r="CGT16" s="343"/>
      <c r="CGU16" s="343"/>
      <c r="CGV16" s="344"/>
      <c r="CGW16" s="344"/>
      <c r="CGX16" s="344"/>
      <c r="CGY16" s="342"/>
      <c r="CGZ16" s="342"/>
      <c r="CHA16" s="342"/>
      <c r="CHB16" s="343"/>
      <c r="CHC16" s="343"/>
      <c r="CHD16" s="344"/>
      <c r="CHE16" s="344"/>
      <c r="CHF16" s="344"/>
      <c r="CHG16" s="342"/>
      <c r="CHH16" s="342"/>
      <c r="CHI16" s="342"/>
      <c r="CHJ16" s="343"/>
      <c r="CHK16" s="343"/>
      <c r="CHL16" s="344"/>
      <c r="CHM16" s="344"/>
      <c r="CHN16" s="344"/>
      <c r="CHO16" s="342"/>
      <c r="CHP16" s="342"/>
      <c r="CHQ16" s="342"/>
      <c r="CHR16" s="343"/>
      <c r="CHS16" s="343"/>
      <c r="CHT16" s="344"/>
      <c r="CHU16" s="344"/>
      <c r="CHV16" s="344"/>
      <c r="CHW16" s="342"/>
      <c r="CHX16" s="342"/>
      <c r="CHY16" s="342"/>
      <c r="CHZ16" s="343"/>
      <c r="CIA16" s="343"/>
      <c r="CIB16" s="344"/>
      <c r="CIC16" s="344"/>
      <c r="CID16" s="344"/>
      <c r="CIE16" s="342"/>
      <c r="CIF16" s="342"/>
      <c r="CIG16" s="342"/>
      <c r="CIH16" s="343"/>
      <c r="CII16" s="343"/>
      <c r="CIJ16" s="344"/>
      <c r="CIK16" s="344"/>
      <c r="CIL16" s="344"/>
      <c r="CIM16" s="342"/>
      <c r="CIN16" s="342"/>
      <c r="CIO16" s="342"/>
      <c r="CIP16" s="343"/>
      <c r="CIQ16" s="343"/>
      <c r="CIR16" s="344"/>
      <c r="CIS16" s="344"/>
      <c r="CIT16" s="344"/>
      <c r="CIU16" s="342"/>
      <c r="CIV16" s="342"/>
      <c r="CIW16" s="342"/>
      <c r="CIX16" s="343"/>
      <c r="CIY16" s="343"/>
      <c r="CIZ16" s="344"/>
      <c r="CJA16" s="344"/>
      <c r="CJB16" s="344"/>
      <c r="CJC16" s="342"/>
      <c r="CJD16" s="342"/>
      <c r="CJE16" s="342"/>
      <c r="CJF16" s="343"/>
      <c r="CJG16" s="343"/>
      <c r="CJH16" s="344"/>
      <c r="CJI16" s="344"/>
      <c r="CJJ16" s="344"/>
      <c r="CJK16" s="342"/>
      <c r="CJL16" s="342"/>
      <c r="CJM16" s="342"/>
      <c r="CJN16" s="343"/>
      <c r="CJO16" s="343"/>
      <c r="CJP16" s="344"/>
      <c r="CJQ16" s="344"/>
      <c r="CJR16" s="344"/>
      <c r="CJS16" s="342"/>
      <c r="CJT16" s="342"/>
      <c r="CJU16" s="342"/>
      <c r="CJV16" s="343"/>
      <c r="CJW16" s="343"/>
      <c r="CJX16" s="344"/>
      <c r="CJY16" s="344"/>
      <c r="CJZ16" s="344"/>
      <c r="CKA16" s="342"/>
      <c r="CKB16" s="342"/>
      <c r="CKC16" s="342"/>
      <c r="CKD16" s="343"/>
      <c r="CKE16" s="343"/>
      <c r="CKF16" s="344"/>
      <c r="CKG16" s="344"/>
      <c r="CKH16" s="344"/>
      <c r="CKI16" s="342"/>
      <c r="CKJ16" s="342"/>
      <c r="CKK16" s="342"/>
      <c r="CKL16" s="343"/>
      <c r="CKM16" s="343"/>
      <c r="CKN16" s="344"/>
      <c r="CKO16" s="344"/>
      <c r="CKP16" s="344"/>
      <c r="CKQ16" s="342"/>
      <c r="CKR16" s="342"/>
      <c r="CKS16" s="342"/>
      <c r="CKT16" s="343"/>
      <c r="CKU16" s="343"/>
      <c r="CKV16" s="344"/>
      <c r="CKW16" s="344"/>
      <c r="CKX16" s="344"/>
      <c r="CKY16" s="342"/>
      <c r="CKZ16" s="342"/>
      <c r="CLA16" s="342"/>
      <c r="CLB16" s="343"/>
      <c r="CLC16" s="343"/>
      <c r="CLD16" s="344"/>
      <c r="CLE16" s="344"/>
      <c r="CLF16" s="344"/>
      <c r="CLG16" s="342"/>
      <c r="CLH16" s="342"/>
      <c r="CLI16" s="342"/>
      <c r="CLJ16" s="343"/>
      <c r="CLK16" s="343"/>
      <c r="CLL16" s="344"/>
      <c r="CLM16" s="344"/>
      <c r="CLN16" s="344"/>
      <c r="CLO16" s="342"/>
      <c r="CLP16" s="342"/>
      <c r="CLQ16" s="342"/>
      <c r="CLR16" s="343"/>
      <c r="CLS16" s="343"/>
      <c r="CLT16" s="344"/>
      <c r="CLU16" s="344"/>
      <c r="CLV16" s="344"/>
      <c r="CLW16" s="342"/>
      <c r="CLX16" s="342"/>
      <c r="CLY16" s="342"/>
      <c r="CLZ16" s="343"/>
      <c r="CMA16" s="343"/>
      <c r="CMB16" s="344"/>
      <c r="CMC16" s="344"/>
      <c r="CMD16" s="344"/>
      <c r="CME16" s="342"/>
      <c r="CMF16" s="342"/>
      <c r="CMG16" s="342"/>
      <c r="CMH16" s="343"/>
      <c r="CMI16" s="343"/>
      <c r="CMJ16" s="344"/>
      <c r="CMK16" s="344"/>
      <c r="CML16" s="344"/>
      <c r="CMM16" s="342"/>
      <c r="CMN16" s="342"/>
      <c r="CMO16" s="342"/>
      <c r="CMP16" s="343"/>
      <c r="CMQ16" s="343"/>
      <c r="CMR16" s="344"/>
      <c r="CMS16" s="344"/>
      <c r="CMT16" s="344"/>
      <c r="CMU16" s="342"/>
      <c r="CMV16" s="342"/>
      <c r="CMW16" s="342"/>
      <c r="CMX16" s="343"/>
      <c r="CMY16" s="343"/>
      <c r="CMZ16" s="344"/>
      <c r="CNA16" s="344"/>
      <c r="CNB16" s="344"/>
      <c r="CNC16" s="342"/>
      <c r="CND16" s="342"/>
      <c r="CNE16" s="342"/>
      <c r="CNF16" s="343"/>
      <c r="CNG16" s="343"/>
      <c r="CNH16" s="344"/>
      <c r="CNI16" s="344"/>
      <c r="CNJ16" s="344"/>
      <c r="CNK16" s="342"/>
      <c r="CNL16" s="342"/>
      <c r="CNM16" s="342"/>
      <c r="CNN16" s="343"/>
      <c r="CNO16" s="343"/>
      <c r="CNP16" s="344"/>
      <c r="CNQ16" s="344"/>
      <c r="CNR16" s="344"/>
      <c r="CNS16" s="342"/>
      <c r="CNT16" s="342"/>
      <c r="CNU16" s="342"/>
      <c r="CNV16" s="343"/>
      <c r="CNW16" s="343"/>
      <c r="CNX16" s="344"/>
      <c r="CNY16" s="344"/>
      <c r="CNZ16" s="344"/>
      <c r="COA16" s="342"/>
      <c r="COB16" s="342"/>
      <c r="COC16" s="342"/>
      <c r="COD16" s="343"/>
      <c r="COE16" s="343"/>
      <c r="COF16" s="344"/>
      <c r="COG16" s="344"/>
      <c r="COH16" s="344"/>
      <c r="COI16" s="342"/>
      <c r="COJ16" s="342"/>
      <c r="COK16" s="342"/>
      <c r="COL16" s="343"/>
      <c r="COM16" s="343"/>
      <c r="CON16" s="344"/>
      <c r="COO16" s="344"/>
      <c r="COP16" s="344"/>
      <c r="COQ16" s="342"/>
      <c r="COR16" s="342"/>
      <c r="COS16" s="342"/>
      <c r="COT16" s="343"/>
      <c r="COU16" s="343"/>
      <c r="COV16" s="344"/>
      <c r="COW16" s="344"/>
      <c r="COX16" s="344"/>
      <c r="COY16" s="342"/>
      <c r="COZ16" s="342"/>
      <c r="CPA16" s="342"/>
      <c r="CPB16" s="343"/>
      <c r="CPC16" s="343"/>
      <c r="CPD16" s="344"/>
      <c r="CPE16" s="344"/>
      <c r="CPF16" s="344"/>
      <c r="CPG16" s="342"/>
      <c r="CPH16" s="342"/>
      <c r="CPI16" s="342"/>
      <c r="CPJ16" s="343"/>
      <c r="CPK16" s="343"/>
      <c r="CPL16" s="344"/>
      <c r="CPM16" s="344"/>
      <c r="CPN16" s="344"/>
      <c r="CPO16" s="342"/>
      <c r="CPP16" s="342"/>
      <c r="CPQ16" s="342"/>
      <c r="CPR16" s="343"/>
      <c r="CPS16" s="343"/>
      <c r="CPT16" s="344"/>
      <c r="CPU16" s="344"/>
      <c r="CPV16" s="344"/>
      <c r="CPW16" s="342"/>
      <c r="CPX16" s="342"/>
      <c r="CPY16" s="342"/>
      <c r="CPZ16" s="343"/>
      <c r="CQA16" s="343"/>
      <c r="CQB16" s="344"/>
      <c r="CQC16" s="344"/>
      <c r="CQD16" s="344"/>
      <c r="CQE16" s="342"/>
      <c r="CQF16" s="342"/>
      <c r="CQG16" s="342"/>
      <c r="CQH16" s="343"/>
      <c r="CQI16" s="343"/>
      <c r="CQJ16" s="344"/>
      <c r="CQK16" s="344"/>
      <c r="CQL16" s="344"/>
      <c r="CQM16" s="342"/>
      <c r="CQN16" s="342"/>
      <c r="CQO16" s="342"/>
      <c r="CQP16" s="343"/>
      <c r="CQQ16" s="343"/>
      <c r="CQR16" s="344"/>
      <c r="CQS16" s="344"/>
      <c r="CQT16" s="344"/>
      <c r="CQU16" s="342"/>
      <c r="CQV16" s="342"/>
      <c r="CQW16" s="342"/>
      <c r="CQX16" s="343"/>
      <c r="CQY16" s="343"/>
      <c r="CQZ16" s="344"/>
      <c r="CRA16" s="344"/>
      <c r="CRB16" s="344"/>
      <c r="CRC16" s="342"/>
      <c r="CRD16" s="342"/>
      <c r="CRE16" s="342"/>
      <c r="CRF16" s="343"/>
      <c r="CRG16" s="343"/>
      <c r="CRH16" s="344"/>
      <c r="CRI16" s="344"/>
      <c r="CRJ16" s="344"/>
      <c r="CRK16" s="342"/>
      <c r="CRL16" s="342"/>
      <c r="CRM16" s="342"/>
      <c r="CRN16" s="343"/>
      <c r="CRO16" s="343"/>
      <c r="CRP16" s="344"/>
      <c r="CRQ16" s="344"/>
      <c r="CRR16" s="344"/>
      <c r="CRS16" s="342"/>
      <c r="CRT16" s="342"/>
      <c r="CRU16" s="342"/>
      <c r="CRV16" s="343"/>
      <c r="CRW16" s="343"/>
      <c r="CRX16" s="344"/>
      <c r="CRY16" s="344"/>
      <c r="CRZ16" s="344"/>
      <c r="CSA16" s="342"/>
      <c r="CSB16" s="342"/>
      <c r="CSC16" s="342"/>
      <c r="CSD16" s="343"/>
      <c r="CSE16" s="343"/>
      <c r="CSF16" s="344"/>
      <c r="CSG16" s="344"/>
      <c r="CSH16" s="344"/>
      <c r="CSI16" s="342"/>
      <c r="CSJ16" s="342"/>
      <c r="CSK16" s="342"/>
      <c r="CSL16" s="343"/>
      <c r="CSM16" s="343"/>
      <c r="CSN16" s="344"/>
      <c r="CSO16" s="344"/>
      <c r="CSP16" s="344"/>
      <c r="CSQ16" s="342"/>
      <c r="CSR16" s="342"/>
      <c r="CSS16" s="342"/>
      <c r="CST16" s="343"/>
      <c r="CSU16" s="343"/>
      <c r="CSV16" s="344"/>
      <c r="CSW16" s="344"/>
      <c r="CSX16" s="344"/>
      <c r="CSY16" s="342"/>
      <c r="CSZ16" s="342"/>
      <c r="CTA16" s="342"/>
      <c r="CTB16" s="343"/>
      <c r="CTC16" s="343"/>
      <c r="CTD16" s="344"/>
      <c r="CTE16" s="344"/>
      <c r="CTF16" s="344"/>
      <c r="CTG16" s="342"/>
      <c r="CTH16" s="342"/>
      <c r="CTI16" s="342"/>
      <c r="CTJ16" s="343"/>
      <c r="CTK16" s="343"/>
      <c r="CTL16" s="344"/>
      <c r="CTM16" s="344"/>
      <c r="CTN16" s="344"/>
      <c r="CTO16" s="342"/>
      <c r="CTP16" s="342"/>
      <c r="CTQ16" s="342"/>
      <c r="CTR16" s="343"/>
      <c r="CTS16" s="343"/>
      <c r="CTT16" s="344"/>
      <c r="CTU16" s="344"/>
      <c r="CTV16" s="344"/>
      <c r="CTW16" s="342"/>
      <c r="CTX16" s="342"/>
      <c r="CTY16" s="342"/>
      <c r="CTZ16" s="343"/>
      <c r="CUA16" s="343"/>
      <c r="CUB16" s="344"/>
      <c r="CUC16" s="344"/>
      <c r="CUD16" s="344"/>
      <c r="CUE16" s="342"/>
      <c r="CUF16" s="342"/>
      <c r="CUG16" s="342"/>
      <c r="CUH16" s="343"/>
      <c r="CUI16" s="343"/>
      <c r="CUJ16" s="344"/>
      <c r="CUK16" s="344"/>
      <c r="CUL16" s="344"/>
      <c r="CUM16" s="342"/>
      <c r="CUN16" s="342"/>
      <c r="CUO16" s="342"/>
      <c r="CUP16" s="343"/>
      <c r="CUQ16" s="343"/>
      <c r="CUR16" s="344"/>
      <c r="CUS16" s="344"/>
      <c r="CUT16" s="344"/>
      <c r="CUU16" s="342"/>
      <c r="CUV16" s="342"/>
      <c r="CUW16" s="342"/>
      <c r="CUX16" s="343"/>
      <c r="CUY16" s="343"/>
      <c r="CUZ16" s="344"/>
      <c r="CVA16" s="344"/>
      <c r="CVB16" s="344"/>
      <c r="CVC16" s="342"/>
      <c r="CVD16" s="342"/>
      <c r="CVE16" s="342"/>
      <c r="CVF16" s="343"/>
      <c r="CVG16" s="343"/>
      <c r="CVH16" s="344"/>
      <c r="CVI16" s="344"/>
      <c r="CVJ16" s="344"/>
      <c r="CVK16" s="342"/>
      <c r="CVL16" s="342"/>
      <c r="CVM16" s="342"/>
      <c r="CVN16" s="343"/>
      <c r="CVO16" s="343"/>
      <c r="CVP16" s="344"/>
      <c r="CVQ16" s="344"/>
      <c r="CVR16" s="344"/>
      <c r="CVS16" s="342"/>
      <c r="CVT16" s="342"/>
      <c r="CVU16" s="342"/>
      <c r="CVV16" s="343"/>
      <c r="CVW16" s="343"/>
      <c r="CVX16" s="344"/>
      <c r="CVY16" s="344"/>
      <c r="CVZ16" s="344"/>
      <c r="CWA16" s="342"/>
      <c r="CWB16" s="342"/>
      <c r="CWC16" s="342"/>
      <c r="CWD16" s="343"/>
      <c r="CWE16" s="343"/>
      <c r="CWF16" s="344"/>
      <c r="CWG16" s="344"/>
      <c r="CWH16" s="344"/>
      <c r="CWI16" s="342"/>
      <c r="CWJ16" s="342"/>
      <c r="CWK16" s="342"/>
      <c r="CWL16" s="343"/>
      <c r="CWM16" s="343"/>
      <c r="CWN16" s="344"/>
      <c r="CWO16" s="344"/>
      <c r="CWP16" s="344"/>
      <c r="CWQ16" s="342"/>
      <c r="CWR16" s="342"/>
      <c r="CWS16" s="342"/>
      <c r="CWT16" s="343"/>
      <c r="CWU16" s="343"/>
      <c r="CWV16" s="344"/>
      <c r="CWW16" s="344"/>
      <c r="CWX16" s="344"/>
      <c r="CWY16" s="342"/>
      <c r="CWZ16" s="342"/>
      <c r="CXA16" s="342"/>
      <c r="CXB16" s="343"/>
      <c r="CXC16" s="343"/>
      <c r="CXD16" s="344"/>
      <c r="CXE16" s="344"/>
      <c r="CXF16" s="344"/>
      <c r="CXG16" s="342"/>
      <c r="CXH16" s="342"/>
      <c r="CXI16" s="342"/>
      <c r="CXJ16" s="343"/>
      <c r="CXK16" s="343"/>
      <c r="CXL16" s="344"/>
      <c r="CXM16" s="344"/>
      <c r="CXN16" s="344"/>
      <c r="CXO16" s="342"/>
      <c r="CXP16" s="342"/>
      <c r="CXQ16" s="342"/>
      <c r="CXR16" s="343"/>
      <c r="CXS16" s="343"/>
      <c r="CXT16" s="344"/>
      <c r="CXU16" s="344"/>
      <c r="CXV16" s="344"/>
      <c r="CXW16" s="342"/>
      <c r="CXX16" s="342"/>
      <c r="CXY16" s="342"/>
      <c r="CXZ16" s="343"/>
      <c r="CYA16" s="343"/>
      <c r="CYB16" s="344"/>
      <c r="CYC16" s="344"/>
      <c r="CYD16" s="344"/>
      <c r="CYE16" s="342"/>
      <c r="CYF16" s="342"/>
      <c r="CYG16" s="342"/>
      <c r="CYH16" s="343"/>
      <c r="CYI16" s="343"/>
      <c r="CYJ16" s="344"/>
      <c r="CYK16" s="344"/>
      <c r="CYL16" s="344"/>
      <c r="CYM16" s="342"/>
      <c r="CYN16" s="342"/>
      <c r="CYO16" s="342"/>
      <c r="CYP16" s="343"/>
      <c r="CYQ16" s="343"/>
      <c r="CYR16" s="344"/>
      <c r="CYS16" s="344"/>
      <c r="CYT16" s="344"/>
      <c r="CYU16" s="342"/>
      <c r="CYV16" s="342"/>
      <c r="CYW16" s="342"/>
      <c r="CYX16" s="343"/>
      <c r="CYY16" s="343"/>
      <c r="CYZ16" s="344"/>
      <c r="CZA16" s="344"/>
      <c r="CZB16" s="344"/>
      <c r="CZC16" s="342"/>
      <c r="CZD16" s="342"/>
      <c r="CZE16" s="342"/>
      <c r="CZF16" s="343"/>
      <c r="CZG16" s="343"/>
      <c r="CZH16" s="344"/>
      <c r="CZI16" s="344"/>
      <c r="CZJ16" s="344"/>
      <c r="CZK16" s="342"/>
      <c r="CZL16" s="342"/>
      <c r="CZM16" s="342"/>
      <c r="CZN16" s="343"/>
      <c r="CZO16" s="343"/>
      <c r="CZP16" s="344"/>
      <c r="CZQ16" s="344"/>
      <c r="CZR16" s="344"/>
      <c r="CZS16" s="342"/>
      <c r="CZT16" s="342"/>
      <c r="CZU16" s="342"/>
      <c r="CZV16" s="343"/>
      <c r="CZW16" s="343"/>
      <c r="CZX16" s="344"/>
      <c r="CZY16" s="344"/>
      <c r="CZZ16" s="344"/>
      <c r="DAA16" s="342"/>
      <c r="DAB16" s="342"/>
      <c r="DAC16" s="342"/>
      <c r="DAD16" s="343"/>
      <c r="DAE16" s="343"/>
      <c r="DAF16" s="344"/>
      <c r="DAG16" s="344"/>
      <c r="DAH16" s="344"/>
      <c r="DAI16" s="342"/>
      <c r="DAJ16" s="342"/>
      <c r="DAK16" s="342"/>
      <c r="DAL16" s="343"/>
      <c r="DAM16" s="343"/>
      <c r="DAN16" s="344"/>
      <c r="DAO16" s="344"/>
      <c r="DAP16" s="344"/>
      <c r="DAQ16" s="342"/>
      <c r="DAR16" s="342"/>
      <c r="DAS16" s="342"/>
      <c r="DAT16" s="343"/>
      <c r="DAU16" s="343"/>
      <c r="DAV16" s="344"/>
      <c r="DAW16" s="344"/>
      <c r="DAX16" s="344"/>
      <c r="DAY16" s="342"/>
      <c r="DAZ16" s="342"/>
      <c r="DBA16" s="342"/>
      <c r="DBB16" s="343"/>
      <c r="DBC16" s="343"/>
      <c r="DBD16" s="344"/>
      <c r="DBE16" s="344"/>
      <c r="DBF16" s="344"/>
      <c r="DBG16" s="342"/>
      <c r="DBH16" s="342"/>
      <c r="DBI16" s="342"/>
      <c r="DBJ16" s="343"/>
      <c r="DBK16" s="343"/>
      <c r="DBL16" s="344"/>
      <c r="DBM16" s="344"/>
      <c r="DBN16" s="344"/>
      <c r="DBO16" s="342"/>
      <c r="DBP16" s="342"/>
      <c r="DBQ16" s="342"/>
      <c r="DBR16" s="343"/>
      <c r="DBS16" s="343"/>
      <c r="DBT16" s="344"/>
      <c r="DBU16" s="344"/>
      <c r="DBV16" s="344"/>
      <c r="DBW16" s="342"/>
      <c r="DBX16" s="342"/>
      <c r="DBY16" s="342"/>
      <c r="DBZ16" s="343"/>
      <c r="DCA16" s="343"/>
      <c r="DCB16" s="344"/>
      <c r="DCC16" s="344"/>
      <c r="DCD16" s="344"/>
      <c r="DCE16" s="342"/>
      <c r="DCF16" s="342"/>
      <c r="DCG16" s="342"/>
      <c r="DCH16" s="343"/>
      <c r="DCI16" s="343"/>
      <c r="DCJ16" s="344"/>
      <c r="DCK16" s="344"/>
      <c r="DCL16" s="344"/>
      <c r="DCM16" s="342"/>
      <c r="DCN16" s="342"/>
      <c r="DCO16" s="342"/>
      <c r="DCP16" s="343"/>
      <c r="DCQ16" s="343"/>
      <c r="DCR16" s="344"/>
      <c r="DCS16" s="344"/>
      <c r="DCT16" s="344"/>
      <c r="DCU16" s="342"/>
      <c r="DCV16" s="342"/>
      <c r="DCW16" s="342"/>
      <c r="DCX16" s="343"/>
      <c r="DCY16" s="343"/>
      <c r="DCZ16" s="344"/>
      <c r="DDA16" s="344"/>
      <c r="DDB16" s="344"/>
      <c r="DDC16" s="342"/>
      <c r="DDD16" s="342"/>
      <c r="DDE16" s="342"/>
      <c r="DDF16" s="343"/>
      <c r="DDG16" s="343"/>
      <c r="DDH16" s="344"/>
      <c r="DDI16" s="344"/>
      <c r="DDJ16" s="344"/>
      <c r="DDK16" s="342"/>
      <c r="DDL16" s="342"/>
      <c r="DDM16" s="342"/>
      <c r="DDN16" s="343"/>
      <c r="DDO16" s="343"/>
      <c r="DDP16" s="344"/>
      <c r="DDQ16" s="344"/>
      <c r="DDR16" s="344"/>
      <c r="DDS16" s="342"/>
      <c r="DDT16" s="342"/>
      <c r="DDU16" s="342"/>
      <c r="DDV16" s="343"/>
      <c r="DDW16" s="343"/>
      <c r="DDX16" s="344"/>
      <c r="DDY16" s="344"/>
      <c r="DDZ16" s="344"/>
      <c r="DEA16" s="342"/>
      <c r="DEB16" s="342"/>
      <c r="DEC16" s="342"/>
      <c r="DED16" s="343"/>
      <c r="DEE16" s="343"/>
      <c r="DEF16" s="344"/>
      <c r="DEG16" s="344"/>
      <c r="DEH16" s="344"/>
      <c r="DEI16" s="342"/>
      <c r="DEJ16" s="342"/>
      <c r="DEK16" s="342"/>
      <c r="DEL16" s="343"/>
      <c r="DEM16" s="343"/>
      <c r="DEN16" s="344"/>
      <c r="DEO16" s="344"/>
      <c r="DEP16" s="344"/>
      <c r="DEQ16" s="342"/>
      <c r="DER16" s="342"/>
      <c r="DES16" s="342"/>
      <c r="DET16" s="343"/>
      <c r="DEU16" s="343"/>
      <c r="DEV16" s="344"/>
      <c r="DEW16" s="344"/>
      <c r="DEX16" s="344"/>
      <c r="DEY16" s="342"/>
      <c r="DEZ16" s="342"/>
      <c r="DFA16" s="342"/>
      <c r="DFB16" s="343"/>
      <c r="DFC16" s="343"/>
      <c r="DFD16" s="344"/>
      <c r="DFE16" s="344"/>
      <c r="DFF16" s="344"/>
      <c r="DFG16" s="342"/>
      <c r="DFH16" s="342"/>
      <c r="DFI16" s="342"/>
      <c r="DFJ16" s="343"/>
      <c r="DFK16" s="343"/>
      <c r="DFL16" s="344"/>
      <c r="DFM16" s="344"/>
      <c r="DFN16" s="344"/>
      <c r="DFO16" s="342"/>
      <c r="DFP16" s="342"/>
      <c r="DFQ16" s="342"/>
      <c r="DFR16" s="343"/>
      <c r="DFS16" s="343"/>
      <c r="DFT16" s="344"/>
      <c r="DFU16" s="344"/>
      <c r="DFV16" s="344"/>
      <c r="DFW16" s="342"/>
      <c r="DFX16" s="342"/>
      <c r="DFY16" s="342"/>
      <c r="DFZ16" s="343"/>
      <c r="DGA16" s="343"/>
      <c r="DGB16" s="344"/>
      <c r="DGC16" s="344"/>
      <c r="DGD16" s="344"/>
      <c r="DGE16" s="342"/>
      <c r="DGF16" s="342"/>
      <c r="DGG16" s="342"/>
      <c r="DGH16" s="343"/>
      <c r="DGI16" s="343"/>
      <c r="DGJ16" s="344"/>
      <c r="DGK16" s="344"/>
      <c r="DGL16" s="344"/>
      <c r="DGM16" s="342"/>
      <c r="DGN16" s="342"/>
      <c r="DGO16" s="342"/>
      <c r="DGP16" s="343"/>
      <c r="DGQ16" s="343"/>
      <c r="DGR16" s="344"/>
      <c r="DGS16" s="344"/>
      <c r="DGT16" s="344"/>
      <c r="DGU16" s="342"/>
      <c r="DGV16" s="342"/>
      <c r="DGW16" s="342"/>
      <c r="DGX16" s="343"/>
      <c r="DGY16" s="343"/>
      <c r="DGZ16" s="344"/>
      <c r="DHA16" s="344"/>
      <c r="DHB16" s="344"/>
      <c r="DHC16" s="342"/>
      <c r="DHD16" s="342"/>
      <c r="DHE16" s="342"/>
      <c r="DHF16" s="343"/>
      <c r="DHG16" s="343"/>
      <c r="DHH16" s="344"/>
      <c r="DHI16" s="344"/>
      <c r="DHJ16" s="344"/>
      <c r="DHK16" s="342"/>
      <c r="DHL16" s="342"/>
      <c r="DHM16" s="342"/>
      <c r="DHN16" s="343"/>
      <c r="DHO16" s="343"/>
      <c r="DHP16" s="344"/>
      <c r="DHQ16" s="344"/>
      <c r="DHR16" s="344"/>
      <c r="DHS16" s="342"/>
      <c r="DHT16" s="342"/>
      <c r="DHU16" s="342"/>
      <c r="DHV16" s="343"/>
      <c r="DHW16" s="343"/>
      <c r="DHX16" s="344"/>
      <c r="DHY16" s="344"/>
      <c r="DHZ16" s="344"/>
      <c r="DIA16" s="342"/>
      <c r="DIB16" s="342"/>
      <c r="DIC16" s="342"/>
      <c r="DID16" s="343"/>
      <c r="DIE16" s="343"/>
      <c r="DIF16" s="344"/>
      <c r="DIG16" s="344"/>
      <c r="DIH16" s="344"/>
      <c r="DII16" s="342"/>
      <c r="DIJ16" s="342"/>
      <c r="DIK16" s="342"/>
      <c r="DIL16" s="343"/>
      <c r="DIM16" s="343"/>
      <c r="DIN16" s="344"/>
      <c r="DIO16" s="344"/>
      <c r="DIP16" s="344"/>
      <c r="DIQ16" s="342"/>
      <c r="DIR16" s="342"/>
      <c r="DIS16" s="342"/>
      <c r="DIT16" s="343"/>
      <c r="DIU16" s="343"/>
      <c r="DIV16" s="344"/>
      <c r="DIW16" s="344"/>
      <c r="DIX16" s="344"/>
      <c r="DIY16" s="342"/>
      <c r="DIZ16" s="342"/>
      <c r="DJA16" s="342"/>
      <c r="DJB16" s="343"/>
      <c r="DJC16" s="343"/>
      <c r="DJD16" s="344"/>
      <c r="DJE16" s="344"/>
      <c r="DJF16" s="344"/>
      <c r="DJG16" s="342"/>
      <c r="DJH16" s="342"/>
      <c r="DJI16" s="342"/>
      <c r="DJJ16" s="343"/>
      <c r="DJK16" s="343"/>
      <c r="DJL16" s="344"/>
      <c r="DJM16" s="344"/>
      <c r="DJN16" s="344"/>
      <c r="DJO16" s="342"/>
      <c r="DJP16" s="342"/>
      <c r="DJQ16" s="342"/>
      <c r="DJR16" s="343"/>
      <c r="DJS16" s="343"/>
      <c r="DJT16" s="344"/>
      <c r="DJU16" s="344"/>
      <c r="DJV16" s="344"/>
      <c r="DJW16" s="342"/>
      <c r="DJX16" s="342"/>
      <c r="DJY16" s="342"/>
      <c r="DJZ16" s="343"/>
      <c r="DKA16" s="343"/>
      <c r="DKB16" s="344"/>
      <c r="DKC16" s="344"/>
      <c r="DKD16" s="344"/>
      <c r="DKE16" s="342"/>
      <c r="DKF16" s="342"/>
      <c r="DKG16" s="342"/>
      <c r="DKH16" s="343"/>
      <c r="DKI16" s="343"/>
      <c r="DKJ16" s="344"/>
      <c r="DKK16" s="344"/>
      <c r="DKL16" s="344"/>
      <c r="DKM16" s="342"/>
      <c r="DKN16" s="342"/>
      <c r="DKO16" s="342"/>
      <c r="DKP16" s="343"/>
      <c r="DKQ16" s="343"/>
      <c r="DKR16" s="344"/>
      <c r="DKS16" s="344"/>
      <c r="DKT16" s="344"/>
      <c r="DKU16" s="342"/>
      <c r="DKV16" s="342"/>
      <c r="DKW16" s="342"/>
      <c r="DKX16" s="343"/>
      <c r="DKY16" s="343"/>
      <c r="DKZ16" s="344"/>
      <c r="DLA16" s="344"/>
      <c r="DLB16" s="344"/>
      <c r="DLC16" s="342"/>
      <c r="DLD16" s="342"/>
      <c r="DLE16" s="342"/>
      <c r="DLF16" s="343"/>
      <c r="DLG16" s="343"/>
      <c r="DLH16" s="344"/>
      <c r="DLI16" s="344"/>
      <c r="DLJ16" s="344"/>
      <c r="DLK16" s="342"/>
      <c r="DLL16" s="342"/>
      <c r="DLM16" s="342"/>
      <c r="DLN16" s="343"/>
      <c r="DLO16" s="343"/>
      <c r="DLP16" s="344"/>
      <c r="DLQ16" s="344"/>
      <c r="DLR16" s="344"/>
      <c r="DLS16" s="342"/>
      <c r="DLT16" s="342"/>
      <c r="DLU16" s="342"/>
      <c r="DLV16" s="343"/>
      <c r="DLW16" s="343"/>
      <c r="DLX16" s="344"/>
      <c r="DLY16" s="344"/>
      <c r="DLZ16" s="344"/>
      <c r="DMA16" s="342"/>
      <c r="DMB16" s="342"/>
      <c r="DMC16" s="342"/>
      <c r="DMD16" s="343"/>
      <c r="DME16" s="343"/>
      <c r="DMF16" s="344"/>
      <c r="DMG16" s="344"/>
      <c r="DMH16" s="344"/>
      <c r="DMI16" s="342"/>
      <c r="DMJ16" s="342"/>
      <c r="DMK16" s="342"/>
      <c r="DML16" s="343"/>
      <c r="DMM16" s="343"/>
      <c r="DMN16" s="344"/>
      <c r="DMO16" s="344"/>
      <c r="DMP16" s="344"/>
      <c r="DMQ16" s="342"/>
      <c r="DMR16" s="342"/>
      <c r="DMS16" s="342"/>
      <c r="DMT16" s="343"/>
      <c r="DMU16" s="343"/>
      <c r="DMV16" s="344"/>
      <c r="DMW16" s="344"/>
      <c r="DMX16" s="344"/>
      <c r="DMY16" s="342"/>
      <c r="DMZ16" s="342"/>
      <c r="DNA16" s="342"/>
      <c r="DNB16" s="343"/>
      <c r="DNC16" s="343"/>
      <c r="DND16" s="344"/>
      <c r="DNE16" s="344"/>
      <c r="DNF16" s="344"/>
      <c r="DNG16" s="342"/>
      <c r="DNH16" s="342"/>
      <c r="DNI16" s="342"/>
      <c r="DNJ16" s="343"/>
      <c r="DNK16" s="343"/>
      <c r="DNL16" s="344"/>
      <c r="DNM16" s="344"/>
      <c r="DNN16" s="344"/>
      <c r="DNO16" s="342"/>
      <c r="DNP16" s="342"/>
      <c r="DNQ16" s="342"/>
      <c r="DNR16" s="343"/>
      <c r="DNS16" s="343"/>
      <c r="DNT16" s="344"/>
      <c r="DNU16" s="344"/>
      <c r="DNV16" s="344"/>
      <c r="DNW16" s="342"/>
      <c r="DNX16" s="342"/>
      <c r="DNY16" s="342"/>
      <c r="DNZ16" s="343"/>
      <c r="DOA16" s="343"/>
      <c r="DOB16" s="344"/>
      <c r="DOC16" s="344"/>
      <c r="DOD16" s="344"/>
      <c r="DOE16" s="342"/>
      <c r="DOF16" s="342"/>
      <c r="DOG16" s="342"/>
      <c r="DOH16" s="343"/>
      <c r="DOI16" s="343"/>
      <c r="DOJ16" s="344"/>
      <c r="DOK16" s="344"/>
      <c r="DOL16" s="344"/>
      <c r="DOM16" s="342"/>
      <c r="DON16" s="342"/>
      <c r="DOO16" s="342"/>
      <c r="DOP16" s="343"/>
      <c r="DOQ16" s="343"/>
      <c r="DOR16" s="344"/>
      <c r="DOS16" s="344"/>
      <c r="DOT16" s="344"/>
      <c r="DOU16" s="342"/>
      <c r="DOV16" s="342"/>
      <c r="DOW16" s="342"/>
      <c r="DOX16" s="343"/>
      <c r="DOY16" s="343"/>
      <c r="DOZ16" s="344"/>
      <c r="DPA16" s="344"/>
      <c r="DPB16" s="344"/>
      <c r="DPC16" s="342"/>
      <c r="DPD16" s="342"/>
      <c r="DPE16" s="342"/>
      <c r="DPF16" s="343"/>
      <c r="DPG16" s="343"/>
      <c r="DPH16" s="344"/>
      <c r="DPI16" s="344"/>
      <c r="DPJ16" s="344"/>
      <c r="DPK16" s="342"/>
      <c r="DPL16" s="342"/>
      <c r="DPM16" s="342"/>
      <c r="DPN16" s="343"/>
      <c r="DPO16" s="343"/>
      <c r="DPP16" s="344"/>
      <c r="DPQ16" s="344"/>
      <c r="DPR16" s="344"/>
      <c r="DPS16" s="342"/>
      <c r="DPT16" s="342"/>
      <c r="DPU16" s="342"/>
      <c r="DPV16" s="343"/>
      <c r="DPW16" s="343"/>
      <c r="DPX16" s="344"/>
      <c r="DPY16" s="344"/>
      <c r="DPZ16" s="344"/>
      <c r="DQA16" s="342"/>
      <c r="DQB16" s="342"/>
      <c r="DQC16" s="342"/>
      <c r="DQD16" s="343"/>
      <c r="DQE16" s="343"/>
      <c r="DQF16" s="344"/>
      <c r="DQG16" s="344"/>
      <c r="DQH16" s="344"/>
      <c r="DQI16" s="342"/>
      <c r="DQJ16" s="342"/>
      <c r="DQK16" s="342"/>
      <c r="DQL16" s="343"/>
      <c r="DQM16" s="343"/>
      <c r="DQN16" s="344"/>
      <c r="DQO16" s="344"/>
      <c r="DQP16" s="344"/>
      <c r="DQQ16" s="342"/>
      <c r="DQR16" s="342"/>
      <c r="DQS16" s="342"/>
      <c r="DQT16" s="343"/>
      <c r="DQU16" s="343"/>
      <c r="DQV16" s="344"/>
      <c r="DQW16" s="344"/>
      <c r="DQX16" s="344"/>
      <c r="DQY16" s="342"/>
      <c r="DQZ16" s="342"/>
      <c r="DRA16" s="342"/>
      <c r="DRB16" s="343"/>
      <c r="DRC16" s="343"/>
      <c r="DRD16" s="344"/>
      <c r="DRE16" s="344"/>
      <c r="DRF16" s="344"/>
      <c r="DRG16" s="342"/>
      <c r="DRH16" s="342"/>
      <c r="DRI16" s="342"/>
      <c r="DRJ16" s="343"/>
      <c r="DRK16" s="343"/>
      <c r="DRL16" s="344"/>
      <c r="DRM16" s="344"/>
      <c r="DRN16" s="344"/>
      <c r="DRO16" s="342"/>
      <c r="DRP16" s="342"/>
      <c r="DRQ16" s="342"/>
      <c r="DRR16" s="343"/>
      <c r="DRS16" s="343"/>
      <c r="DRT16" s="344"/>
      <c r="DRU16" s="344"/>
      <c r="DRV16" s="344"/>
      <c r="DRW16" s="342"/>
      <c r="DRX16" s="342"/>
      <c r="DRY16" s="342"/>
      <c r="DRZ16" s="343"/>
      <c r="DSA16" s="343"/>
      <c r="DSB16" s="344"/>
      <c r="DSC16" s="344"/>
      <c r="DSD16" s="344"/>
      <c r="DSE16" s="342"/>
      <c r="DSF16" s="342"/>
      <c r="DSG16" s="342"/>
      <c r="DSH16" s="343"/>
      <c r="DSI16" s="343"/>
      <c r="DSJ16" s="344"/>
      <c r="DSK16" s="344"/>
      <c r="DSL16" s="344"/>
      <c r="DSM16" s="342"/>
      <c r="DSN16" s="342"/>
      <c r="DSO16" s="342"/>
      <c r="DSP16" s="343"/>
      <c r="DSQ16" s="343"/>
      <c r="DSR16" s="344"/>
      <c r="DSS16" s="344"/>
      <c r="DST16" s="344"/>
      <c r="DSU16" s="342"/>
      <c r="DSV16" s="342"/>
      <c r="DSW16" s="342"/>
      <c r="DSX16" s="343"/>
      <c r="DSY16" s="343"/>
      <c r="DSZ16" s="344"/>
      <c r="DTA16" s="344"/>
      <c r="DTB16" s="344"/>
      <c r="DTC16" s="342"/>
      <c r="DTD16" s="342"/>
      <c r="DTE16" s="342"/>
      <c r="DTF16" s="343"/>
      <c r="DTG16" s="343"/>
      <c r="DTH16" s="344"/>
      <c r="DTI16" s="344"/>
      <c r="DTJ16" s="344"/>
      <c r="DTK16" s="342"/>
      <c r="DTL16" s="342"/>
      <c r="DTM16" s="342"/>
      <c r="DTN16" s="343"/>
      <c r="DTO16" s="343"/>
      <c r="DTP16" s="344"/>
      <c r="DTQ16" s="344"/>
      <c r="DTR16" s="344"/>
      <c r="DTS16" s="342"/>
      <c r="DTT16" s="342"/>
      <c r="DTU16" s="342"/>
      <c r="DTV16" s="343"/>
      <c r="DTW16" s="343"/>
      <c r="DTX16" s="344"/>
      <c r="DTY16" s="344"/>
      <c r="DTZ16" s="344"/>
      <c r="DUA16" s="342"/>
      <c r="DUB16" s="342"/>
      <c r="DUC16" s="342"/>
      <c r="DUD16" s="343"/>
      <c r="DUE16" s="343"/>
      <c r="DUF16" s="344"/>
      <c r="DUG16" s="344"/>
      <c r="DUH16" s="344"/>
      <c r="DUI16" s="342"/>
      <c r="DUJ16" s="342"/>
      <c r="DUK16" s="342"/>
      <c r="DUL16" s="343"/>
      <c r="DUM16" s="343"/>
      <c r="DUN16" s="344"/>
      <c r="DUO16" s="344"/>
      <c r="DUP16" s="344"/>
      <c r="DUQ16" s="342"/>
      <c r="DUR16" s="342"/>
      <c r="DUS16" s="342"/>
      <c r="DUT16" s="343"/>
      <c r="DUU16" s="343"/>
      <c r="DUV16" s="344"/>
      <c r="DUW16" s="344"/>
      <c r="DUX16" s="344"/>
      <c r="DUY16" s="342"/>
      <c r="DUZ16" s="342"/>
      <c r="DVA16" s="342"/>
      <c r="DVB16" s="343"/>
      <c r="DVC16" s="343"/>
      <c r="DVD16" s="344"/>
      <c r="DVE16" s="344"/>
      <c r="DVF16" s="344"/>
      <c r="DVG16" s="342"/>
      <c r="DVH16" s="342"/>
      <c r="DVI16" s="342"/>
      <c r="DVJ16" s="343"/>
      <c r="DVK16" s="343"/>
      <c r="DVL16" s="344"/>
      <c r="DVM16" s="344"/>
      <c r="DVN16" s="344"/>
      <c r="DVO16" s="342"/>
      <c r="DVP16" s="342"/>
      <c r="DVQ16" s="342"/>
      <c r="DVR16" s="343"/>
      <c r="DVS16" s="343"/>
      <c r="DVT16" s="344"/>
      <c r="DVU16" s="344"/>
      <c r="DVV16" s="344"/>
      <c r="DVW16" s="342"/>
      <c r="DVX16" s="342"/>
      <c r="DVY16" s="342"/>
      <c r="DVZ16" s="343"/>
      <c r="DWA16" s="343"/>
      <c r="DWB16" s="344"/>
      <c r="DWC16" s="344"/>
      <c r="DWD16" s="344"/>
      <c r="DWE16" s="342"/>
      <c r="DWF16" s="342"/>
      <c r="DWG16" s="342"/>
      <c r="DWH16" s="343"/>
      <c r="DWI16" s="343"/>
      <c r="DWJ16" s="344"/>
      <c r="DWK16" s="344"/>
      <c r="DWL16" s="344"/>
      <c r="DWM16" s="342"/>
      <c r="DWN16" s="342"/>
      <c r="DWO16" s="342"/>
      <c r="DWP16" s="343"/>
      <c r="DWQ16" s="343"/>
      <c r="DWR16" s="344"/>
      <c r="DWS16" s="344"/>
      <c r="DWT16" s="344"/>
      <c r="DWU16" s="342"/>
      <c r="DWV16" s="342"/>
      <c r="DWW16" s="342"/>
      <c r="DWX16" s="343"/>
      <c r="DWY16" s="343"/>
      <c r="DWZ16" s="344"/>
      <c r="DXA16" s="344"/>
      <c r="DXB16" s="344"/>
      <c r="DXC16" s="342"/>
      <c r="DXD16" s="342"/>
      <c r="DXE16" s="342"/>
      <c r="DXF16" s="343"/>
      <c r="DXG16" s="343"/>
      <c r="DXH16" s="344"/>
      <c r="DXI16" s="344"/>
      <c r="DXJ16" s="344"/>
      <c r="DXK16" s="342"/>
      <c r="DXL16" s="342"/>
      <c r="DXM16" s="342"/>
      <c r="DXN16" s="343"/>
      <c r="DXO16" s="343"/>
      <c r="DXP16" s="344"/>
      <c r="DXQ16" s="344"/>
      <c r="DXR16" s="344"/>
      <c r="DXS16" s="342"/>
      <c r="DXT16" s="342"/>
      <c r="DXU16" s="342"/>
      <c r="DXV16" s="343"/>
      <c r="DXW16" s="343"/>
      <c r="DXX16" s="344"/>
      <c r="DXY16" s="344"/>
      <c r="DXZ16" s="344"/>
      <c r="DYA16" s="342"/>
      <c r="DYB16" s="342"/>
      <c r="DYC16" s="342"/>
      <c r="DYD16" s="343"/>
      <c r="DYE16" s="343"/>
      <c r="DYF16" s="344"/>
      <c r="DYG16" s="344"/>
      <c r="DYH16" s="344"/>
      <c r="DYI16" s="342"/>
      <c r="DYJ16" s="342"/>
      <c r="DYK16" s="342"/>
      <c r="DYL16" s="343"/>
      <c r="DYM16" s="343"/>
      <c r="DYN16" s="344"/>
      <c r="DYO16" s="344"/>
      <c r="DYP16" s="344"/>
      <c r="DYQ16" s="342"/>
      <c r="DYR16" s="342"/>
      <c r="DYS16" s="342"/>
      <c r="DYT16" s="343"/>
      <c r="DYU16" s="343"/>
      <c r="DYV16" s="344"/>
      <c r="DYW16" s="344"/>
      <c r="DYX16" s="344"/>
      <c r="DYY16" s="342"/>
      <c r="DYZ16" s="342"/>
      <c r="DZA16" s="342"/>
      <c r="DZB16" s="343"/>
      <c r="DZC16" s="343"/>
      <c r="DZD16" s="344"/>
      <c r="DZE16" s="344"/>
      <c r="DZF16" s="344"/>
      <c r="DZG16" s="342"/>
      <c r="DZH16" s="342"/>
      <c r="DZI16" s="342"/>
      <c r="DZJ16" s="343"/>
      <c r="DZK16" s="343"/>
      <c r="DZL16" s="344"/>
      <c r="DZM16" s="344"/>
      <c r="DZN16" s="344"/>
      <c r="DZO16" s="342"/>
      <c r="DZP16" s="342"/>
      <c r="DZQ16" s="342"/>
      <c r="DZR16" s="343"/>
      <c r="DZS16" s="343"/>
      <c r="DZT16" s="344"/>
      <c r="DZU16" s="344"/>
      <c r="DZV16" s="344"/>
      <c r="DZW16" s="342"/>
      <c r="DZX16" s="342"/>
      <c r="DZY16" s="342"/>
      <c r="DZZ16" s="343"/>
      <c r="EAA16" s="343"/>
      <c r="EAB16" s="344"/>
      <c r="EAC16" s="344"/>
      <c r="EAD16" s="344"/>
      <c r="EAE16" s="342"/>
      <c r="EAF16" s="342"/>
      <c r="EAG16" s="342"/>
      <c r="EAH16" s="343"/>
      <c r="EAI16" s="343"/>
      <c r="EAJ16" s="344"/>
      <c r="EAK16" s="344"/>
      <c r="EAL16" s="344"/>
      <c r="EAM16" s="342"/>
      <c r="EAN16" s="342"/>
      <c r="EAO16" s="342"/>
      <c r="EAP16" s="343"/>
      <c r="EAQ16" s="343"/>
      <c r="EAR16" s="344"/>
      <c r="EAS16" s="344"/>
      <c r="EAT16" s="344"/>
      <c r="EAU16" s="342"/>
      <c r="EAV16" s="342"/>
      <c r="EAW16" s="342"/>
      <c r="EAX16" s="343"/>
      <c r="EAY16" s="343"/>
      <c r="EAZ16" s="344"/>
      <c r="EBA16" s="344"/>
      <c r="EBB16" s="344"/>
      <c r="EBC16" s="342"/>
      <c r="EBD16" s="342"/>
      <c r="EBE16" s="342"/>
      <c r="EBF16" s="343"/>
      <c r="EBG16" s="343"/>
      <c r="EBH16" s="344"/>
      <c r="EBI16" s="344"/>
      <c r="EBJ16" s="344"/>
      <c r="EBK16" s="342"/>
      <c r="EBL16" s="342"/>
      <c r="EBM16" s="342"/>
      <c r="EBN16" s="343"/>
      <c r="EBO16" s="343"/>
      <c r="EBP16" s="344"/>
      <c r="EBQ16" s="344"/>
      <c r="EBR16" s="344"/>
      <c r="EBS16" s="342"/>
      <c r="EBT16" s="342"/>
      <c r="EBU16" s="342"/>
      <c r="EBV16" s="343"/>
      <c r="EBW16" s="343"/>
      <c r="EBX16" s="344"/>
      <c r="EBY16" s="344"/>
      <c r="EBZ16" s="344"/>
      <c r="ECA16" s="342"/>
      <c r="ECB16" s="342"/>
      <c r="ECC16" s="342"/>
      <c r="ECD16" s="343"/>
      <c r="ECE16" s="343"/>
      <c r="ECF16" s="344"/>
      <c r="ECG16" s="344"/>
      <c r="ECH16" s="344"/>
      <c r="ECI16" s="342"/>
      <c r="ECJ16" s="342"/>
      <c r="ECK16" s="342"/>
      <c r="ECL16" s="343"/>
      <c r="ECM16" s="343"/>
      <c r="ECN16" s="344"/>
      <c r="ECO16" s="344"/>
      <c r="ECP16" s="344"/>
      <c r="ECQ16" s="342"/>
      <c r="ECR16" s="342"/>
      <c r="ECS16" s="342"/>
      <c r="ECT16" s="343"/>
      <c r="ECU16" s="343"/>
      <c r="ECV16" s="344"/>
      <c r="ECW16" s="344"/>
      <c r="ECX16" s="344"/>
      <c r="ECY16" s="342"/>
      <c r="ECZ16" s="342"/>
      <c r="EDA16" s="342"/>
      <c r="EDB16" s="343"/>
      <c r="EDC16" s="343"/>
      <c r="EDD16" s="344"/>
      <c r="EDE16" s="344"/>
      <c r="EDF16" s="344"/>
      <c r="EDG16" s="342"/>
      <c r="EDH16" s="342"/>
      <c r="EDI16" s="342"/>
      <c r="EDJ16" s="343"/>
      <c r="EDK16" s="343"/>
      <c r="EDL16" s="344"/>
      <c r="EDM16" s="344"/>
      <c r="EDN16" s="344"/>
      <c r="EDO16" s="342"/>
      <c r="EDP16" s="342"/>
      <c r="EDQ16" s="342"/>
      <c r="EDR16" s="343"/>
      <c r="EDS16" s="343"/>
      <c r="EDT16" s="344"/>
      <c r="EDU16" s="344"/>
      <c r="EDV16" s="344"/>
      <c r="EDW16" s="342"/>
      <c r="EDX16" s="342"/>
      <c r="EDY16" s="342"/>
      <c r="EDZ16" s="343"/>
      <c r="EEA16" s="343"/>
      <c r="EEB16" s="344"/>
      <c r="EEC16" s="344"/>
      <c r="EED16" s="344"/>
      <c r="EEE16" s="342"/>
      <c r="EEF16" s="342"/>
      <c r="EEG16" s="342"/>
      <c r="EEH16" s="343"/>
      <c r="EEI16" s="343"/>
      <c r="EEJ16" s="344"/>
      <c r="EEK16" s="344"/>
      <c r="EEL16" s="344"/>
      <c r="EEM16" s="342"/>
      <c r="EEN16" s="342"/>
      <c r="EEO16" s="342"/>
      <c r="EEP16" s="343"/>
      <c r="EEQ16" s="343"/>
      <c r="EER16" s="344"/>
      <c r="EES16" s="344"/>
      <c r="EET16" s="344"/>
      <c r="EEU16" s="342"/>
      <c r="EEV16" s="342"/>
      <c r="EEW16" s="342"/>
      <c r="EEX16" s="343"/>
      <c r="EEY16" s="343"/>
      <c r="EEZ16" s="344"/>
      <c r="EFA16" s="344"/>
      <c r="EFB16" s="344"/>
      <c r="EFC16" s="342"/>
      <c r="EFD16" s="342"/>
      <c r="EFE16" s="342"/>
      <c r="EFF16" s="343"/>
      <c r="EFG16" s="343"/>
      <c r="EFH16" s="344"/>
      <c r="EFI16" s="344"/>
      <c r="EFJ16" s="344"/>
      <c r="EFK16" s="342"/>
      <c r="EFL16" s="342"/>
      <c r="EFM16" s="342"/>
      <c r="EFN16" s="343"/>
      <c r="EFO16" s="343"/>
      <c r="EFP16" s="344"/>
      <c r="EFQ16" s="344"/>
      <c r="EFR16" s="344"/>
      <c r="EFS16" s="342"/>
      <c r="EFT16" s="342"/>
      <c r="EFU16" s="342"/>
      <c r="EFV16" s="343"/>
      <c r="EFW16" s="343"/>
      <c r="EFX16" s="344"/>
      <c r="EFY16" s="344"/>
      <c r="EFZ16" s="344"/>
      <c r="EGA16" s="342"/>
      <c r="EGB16" s="342"/>
      <c r="EGC16" s="342"/>
      <c r="EGD16" s="343"/>
      <c r="EGE16" s="343"/>
      <c r="EGF16" s="344"/>
      <c r="EGG16" s="344"/>
      <c r="EGH16" s="344"/>
      <c r="EGI16" s="342"/>
      <c r="EGJ16" s="342"/>
      <c r="EGK16" s="342"/>
      <c r="EGL16" s="343"/>
      <c r="EGM16" s="343"/>
      <c r="EGN16" s="344"/>
      <c r="EGO16" s="344"/>
      <c r="EGP16" s="344"/>
      <c r="EGQ16" s="342"/>
      <c r="EGR16" s="342"/>
      <c r="EGS16" s="342"/>
      <c r="EGT16" s="343"/>
      <c r="EGU16" s="343"/>
      <c r="EGV16" s="344"/>
      <c r="EGW16" s="344"/>
      <c r="EGX16" s="344"/>
      <c r="EGY16" s="342"/>
      <c r="EGZ16" s="342"/>
      <c r="EHA16" s="342"/>
      <c r="EHB16" s="343"/>
      <c r="EHC16" s="343"/>
      <c r="EHD16" s="344"/>
      <c r="EHE16" s="344"/>
      <c r="EHF16" s="344"/>
      <c r="EHG16" s="342"/>
      <c r="EHH16" s="342"/>
      <c r="EHI16" s="342"/>
      <c r="EHJ16" s="343"/>
      <c r="EHK16" s="343"/>
      <c r="EHL16" s="344"/>
      <c r="EHM16" s="344"/>
      <c r="EHN16" s="344"/>
      <c r="EHO16" s="342"/>
      <c r="EHP16" s="342"/>
      <c r="EHQ16" s="342"/>
      <c r="EHR16" s="343"/>
      <c r="EHS16" s="343"/>
      <c r="EHT16" s="344"/>
      <c r="EHU16" s="344"/>
      <c r="EHV16" s="344"/>
      <c r="EHW16" s="342"/>
      <c r="EHX16" s="342"/>
      <c r="EHY16" s="342"/>
      <c r="EHZ16" s="343"/>
      <c r="EIA16" s="343"/>
      <c r="EIB16" s="344"/>
      <c r="EIC16" s="344"/>
      <c r="EID16" s="344"/>
      <c r="EIE16" s="342"/>
      <c r="EIF16" s="342"/>
      <c r="EIG16" s="342"/>
      <c r="EIH16" s="343"/>
      <c r="EII16" s="343"/>
      <c r="EIJ16" s="344"/>
      <c r="EIK16" s="344"/>
      <c r="EIL16" s="344"/>
      <c r="EIM16" s="342"/>
      <c r="EIN16" s="342"/>
      <c r="EIO16" s="342"/>
      <c r="EIP16" s="343"/>
      <c r="EIQ16" s="343"/>
      <c r="EIR16" s="344"/>
      <c r="EIS16" s="344"/>
      <c r="EIT16" s="344"/>
      <c r="EIU16" s="342"/>
      <c r="EIV16" s="342"/>
      <c r="EIW16" s="342"/>
      <c r="EIX16" s="343"/>
      <c r="EIY16" s="343"/>
      <c r="EIZ16" s="344"/>
      <c r="EJA16" s="344"/>
      <c r="EJB16" s="344"/>
      <c r="EJC16" s="342"/>
      <c r="EJD16" s="342"/>
      <c r="EJE16" s="342"/>
      <c r="EJF16" s="343"/>
      <c r="EJG16" s="343"/>
      <c r="EJH16" s="344"/>
      <c r="EJI16" s="344"/>
      <c r="EJJ16" s="344"/>
      <c r="EJK16" s="342"/>
      <c r="EJL16" s="342"/>
      <c r="EJM16" s="342"/>
      <c r="EJN16" s="343"/>
      <c r="EJO16" s="343"/>
      <c r="EJP16" s="344"/>
      <c r="EJQ16" s="344"/>
      <c r="EJR16" s="344"/>
      <c r="EJS16" s="342"/>
      <c r="EJT16" s="342"/>
      <c r="EJU16" s="342"/>
      <c r="EJV16" s="343"/>
      <c r="EJW16" s="343"/>
      <c r="EJX16" s="344"/>
      <c r="EJY16" s="344"/>
      <c r="EJZ16" s="344"/>
      <c r="EKA16" s="342"/>
      <c r="EKB16" s="342"/>
      <c r="EKC16" s="342"/>
      <c r="EKD16" s="343"/>
      <c r="EKE16" s="343"/>
      <c r="EKF16" s="344"/>
      <c r="EKG16" s="344"/>
      <c r="EKH16" s="344"/>
      <c r="EKI16" s="342"/>
      <c r="EKJ16" s="342"/>
      <c r="EKK16" s="342"/>
      <c r="EKL16" s="343"/>
      <c r="EKM16" s="343"/>
      <c r="EKN16" s="344"/>
      <c r="EKO16" s="344"/>
      <c r="EKP16" s="344"/>
      <c r="EKQ16" s="342"/>
      <c r="EKR16" s="342"/>
      <c r="EKS16" s="342"/>
      <c r="EKT16" s="343"/>
      <c r="EKU16" s="343"/>
      <c r="EKV16" s="344"/>
      <c r="EKW16" s="344"/>
      <c r="EKX16" s="344"/>
      <c r="EKY16" s="342"/>
      <c r="EKZ16" s="342"/>
      <c r="ELA16" s="342"/>
      <c r="ELB16" s="343"/>
      <c r="ELC16" s="343"/>
      <c r="ELD16" s="344"/>
      <c r="ELE16" s="344"/>
      <c r="ELF16" s="344"/>
      <c r="ELG16" s="342"/>
      <c r="ELH16" s="342"/>
      <c r="ELI16" s="342"/>
      <c r="ELJ16" s="343"/>
      <c r="ELK16" s="343"/>
      <c r="ELL16" s="344"/>
      <c r="ELM16" s="344"/>
      <c r="ELN16" s="344"/>
      <c r="ELO16" s="342"/>
      <c r="ELP16" s="342"/>
      <c r="ELQ16" s="342"/>
      <c r="ELR16" s="343"/>
      <c r="ELS16" s="343"/>
      <c r="ELT16" s="344"/>
      <c r="ELU16" s="344"/>
      <c r="ELV16" s="344"/>
      <c r="ELW16" s="342"/>
      <c r="ELX16" s="342"/>
      <c r="ELY16" s="342"/>
      <c r="ELZ16" s="343"/>
      <c r="EMA16" s="343"/>
      <c r="EMB16" s="344"/>
      <c r="EMC16" s="344"/>
      <c r="EMD16" s="344"/>
      <c r="EME16" s="342"/>
      <c r="EMF16" s="342"/>
      <c r="EMG16" s="342"/>
      <c r="EMH16" s="343"/>
      <c r="EMI16" s="343"/>
      <c r="EMJ16" s="344"/>
      <c r="EMK16" s="344"/>
      <c r="EML16" s="344"/>
      <c r="EMM16" s="342"/>
      <c r="EMN16" s="342"/>
      <c r="EMO16" s="342"/>
      <c r="EMP16" s="343"/>
      <c r="EMQ16" s="343"/>
      <c r="EMR16" s="344"/>
      <c r="EMS16" s="344"/>
      <c r="EMT16" s="344"/>
      <c r="EMU16" s="342"/>
      <c r="EMV16" s="342"/>
      <c r="EMW16" s="342"/>
      <c r="EMX16" s="343"/>
      <c r="EMY16" s="343"/>
      <c r="EMZ16" s="344"/>
      <c r="ENA16" s="344"/>
      <c r="ENB16" s="344"/>
      <c r="ENC16" s="342"/>
      <c r="END16" s="342"/>
      <c r="ENE16" s="342"/>
      <c r="ENF16" s="343"/>
      <c r="ENG16" s="343"/>
      <c r="ENH16" s="344"/>
      <c r="ENI16" s="344"/>
      <c r="ENJ16" s="344"/>
      <c r="ENK16" s="342"/>
      <c r="ENL16" s="342"/>
      <c r="ENM16" s="342"/>
      <c r="ENN16" s="343"/>
      <c r="ENO16" s="343"/>
      <c r="ENP16" s="344"/>
      <c r="ENQ16" s="344"/>
      <c r="ENR16" s="344"/>
      <c r="ENS16" s="342"/>
      <c r="ENT16" s="342"/>
      <c r="ENU16" s="342"/>
      <c r="ENV16" s="343"/>
      <c r="ENW16" s="343"/>
      <c r="ENX16" s="344"/>
      <c r="ENY16" s="344"/>
      <c r="ENZ16" s="344"/>
      <c r="EOA16" s="342"/>
      <c r="EOB16" s="342"/>
      <c r="EOC16" s="342"/>
      <c r="EOD16" s="343"/>
      <c r="EOE16" s="343"/>
      <c r="EOF16" s="344"/>
      <c r="EOG16" s="344"/>
      <c r="EOH16" s="344"/>
      <c r="EOI16" s="342"/>
      <c r="EOJ16" s="342"/>
      <c r="EOK16" s="342"/>
      <c r="EOL16" s="343"/>
      <c r="EOM16" s="343"/>
      <c r="EON16" s="344"/>
      <c r="EOO16" s="344"/>
      <c r="EOP16" s="344"/>
      <c r="EOQ16" s="342"/>
      <c r="EOR16" s="342"/>
      <c r="EOS16" s="342"/>
      <c r="EOT16" s="343"/>
      <c r="EOU16" s="343"/>
      <c r="EOV16" s="344"/>
      <c r="EOW16" s="344"/>
      <c r="EOX16" s="344"/>
      <c r="EOY16" s="342"/>
      <c r="EOZ16" s="342"/>
      <c r="EPA16" s="342"/>
      <c r="EPB16" s="343"/>
      <c r="EPC16" s="343"/>
      <c r="EPD16" s="344"/>
      <c r="EPE16" s="344"/>
      <c r="EPF16" s="344"/>
      <c r="EPG16" s="342"/>
      <c r="EPH16" s="342"/>
      <c r="EPI16" s="342"/>
      <c r="EPJ16" s="343"/>
      <c r="EPK16" s="343"/>
      <c r="EPL16" s="344"/>
      <c r="EPM16" s="344"/>
      <c r="EPN16" s="344"/>
      <c r="EPO16" s="342"/>
      <c r="EPP16" s="342"/>
      <c r="EPQ16" s="342"/>
      <c r="EPR16" s="343"/>
      <c r="EPS16" s="343"/>
      <c r="EPT16" s="344"/>
      <c r="EPU16" s="344"/>
      <c r="EPV16" s="344"/>
      <c r="EPW16" s="342"/>
      <c r="EPX16" s="342"/>
      <c r="EPY16" s="342"/>
      <c r="EPZ16" s="343"/>
      <c r="EQA16" s="343"/>
      <c r="EQB16" s="344"/>
      <c r="EQC16" s="344"/>
      <c r="EQD16" s="344"/>
      <c r="EQE16" s="342"/>
      <c r="EQF16" s="342"/>
      <c r="EQG16" s="342"/>
      <c r="EQH16" s="343"/>
      <c r="EQI16" s="343"/>
      <c r="EQJ16" s="344"/>
      <c r="EQK16" s="344"/>
      <c r="EQL16" s="344"/>
      <c r="EQM16" s="342"/>
      <c r="EQN16" s="342"/>
      <c r="EQO16" s="342"/>
      <c r="EQP16" s="343"/>
      <c r="EQQ16" s="343"/>
      <c r="EQR16" s="344"/>
      <c r="EQS16" s="344"/>
      <c r="EQT16" s="344"/>
      <c r="EQU16" s="342"/>
      <c r="EQV16" s="342"/>
      <c r="EQW16" s="342"/>
      <c r="EQX16" s="343"/>
      <c r="EQY16" s="343"/>
      <c r="EQZ16" s="344"/>
      <c r="ERA16" s="344"/>
      <c r="ERB16" s="344"/>
      <c r="ERC16" s="342"/>
      <c r="ERD16" s="342"/>
      <c r="ERE16" s="342"/>
      <c r="ERF16" s="343"/>
      <c r="ERG16" s="343"/>
      <c r="ERH16" s="344"/>
      <c r="ERI16" s="344"/>
      <c r="ERJ16" s="344"/>
      <c r="ERK16" s="342"/>
      <c r="ERL16" s="342"/>
      <c r="ERM16" s="342"/>
      <c r="ERN16" s="343"/>
      <c r="ERO16" s="343"/>
      <c r="ERP16" s="344"/>
      <c r="ERQ16" s="344"/>
      <c r="ERR16" s="344"/>
      <c r="ERS16" s="342"/>
      <c r="ERT16" s="342"/>
      <c r="ERU16" s="342"/>
      <c r="ERV16" s="343"/>
      <c r="ERW16" s="343"/>
      <c r="ERX16" s="344"/>
      <c r="ERY16" s="344"/>
      <c r="ERZ16" s="344"/>
      <c r="ESA16" s="342"/>
      <c r="ESB16" s="342"/>
      <c r="ESC16" s="342"/>
      <c r="ESD16" s="343"/>
      <c r="ESE16" s="343"/>
      <c r="ESF16" s="344"/>
      <c r="ESG16" s="344"/>
      <c r="ESH16" s="344"/>
      <c r="ESI16" s="342"/>
      <c r="ESJ16" s="342"/>
      <c r="ESK16" s="342"/>
      <c r="ESL16" s="343"/>
      <c r="ESM16" s="343"/>
      <c r="ESN16" s="344"/>
      <c r="ESO16" s="344"/>
      <c r="ESP16" s="344"/>
      <c r="ESQ16" s="342"/>
      <c r="ESR16" s="342"/>
      <c r="ESS16" s="342"/>
      <c r="EST16" s="343"/>
      <c r="ESU16" s="343"/>
      <c r="ESV16" s="344"/>
      <c r="ESW16" s="344"/>
      <c r="ESX16" s="344"/>
      <c r="ESY16" s="342"/>
      <c r="ESZ16" s="342"/>
      <c r="ETA16" s="342"/>
      <c r="ETB16" s="343"/>
      <c r="ETC16" s="343"/>
      <c r="ETD16" s="344"/>
      <c r="ETE16" s="344"/>
      <c r="ETF16" s="344"/>
      <c r="ETG16" s="342"/>
      <c r="ETH16" s="342"/>
      <c r="ETI16" s="342"/>
      <c r="ETJ16" s="343"/>
      <c r="ETK16" s="343"/>
      <c r="ETL16" s="344"/>
      <c r="ETM16" s="344"/>
      <c r="ETN16" s="344"/>
      <c r="ETO16" s="342"/>
      <c r="ETP16" s="342"/>
      <c r="ETQ16" s="342"/>
      <c r="ETR16" s="343"/>
      <c r="ETS16" s="343"/>
      <c r="ETT16" s="344"/>
      <c r="ETU16" s="344"/>
      <c r="ETV16" s="344"/>
      <c r="ETW16" s="342"/>
      <c r="ETX16" s="342"/>
      <c r="ETY16" s="342"/>
      <c r="ETZ16" s="343"/>
      <c r="EUA16" s="343"/>
      <c r="EUB16" s="344"/>
      <c r="EUC16" s="344"/>
      <c r="EUD16" s="344"/>
      <c r="EUE16" s="342"/>
      <c r="EUF16" s="342"/>
      <c r="EUG16" s="342"/>
      <c r="EUH16" s="343"/>
      <c r="EUI16" s="343"/>
      <c r="EUJ16" s="344"/>
      <c r="EUK16" s="344"/>
      <c r="EUL16" s="344"/>
      <c r="EUM16" s="342"/>
      <c r="EUN16" s="342"/>
      <c r="EUO16" s="342"/>
      <c r="EUP16" s="343"/>
      <c r="EUQ16" s="343"/>
      <c r="EUR16" s="344"/>
      <c r="EUS16" s="344"/>
      <c r="EUT16" s="344"/>
      <c r="EUU16" s="342"/>
      <c r="EUV16" s="342"/>
      <c r="EUW16" s="342"/>
      <c r="EUX16" s="343"/>
      <c r="EUY16" s="343"/>
      <c r="EUZ16" s="344"/>
      <c r="EVA16" s="344"/>
      <c r="EVB16" s="344"/>
      <c r="EVC16" s="342"/>
      <c r="EVD16" s="342"/>
      <c r="EVE16" s="342"/>
      <c r="EVF16" s="343"/>
      <c r="EVG16" s="343"/>
      <c r="EVH16" s="344"/>
      <c r="EVI16" s="344"/>
      <c r="EVJ16" s="344"/>
      <c r="EVK16" s="342"/>
      <c r="EVL16" s="342"/>
      <c r="EVM16" s="342"/>
      <c r="EVN16" s="343"/>
      <c r="EVO16" s="343"/>
      <c r="EVP16" s="344"/>
      <c r="EVQ16" s="344"/>
      <c r="EVR16" s="344"/>
      <c r="EVS16" s="342"/>
      <c r="EVT16" s="342"/>
      <c r="EVU16" s="342"/>
      <c r="EVV16" s="343"/>
      <c r="EVW16" s="343"/>
      <c r="EVX16" s="344"/>
      <c r="EVY16" s="344"/>
      <c r="EVZ16" s="344"/>
      <c r="EWA16" s="342"/>
      <c r="EWB16" s="342"/>
      <c r="EWC16" s="342"/>
      <c r="EWD16" s="343"/>
      <c r="EWE16" s="343"/>
      <c r="EWF16" s="344"/>
      <c r="EWG16" s="344"/>
      <c r="EWH16" s="344"/>
      <c r="EWI16" s="342"/>
      <c r="EWJ16" s="342"/>
      <c r="EWK16" s="342"/>
      <c r="EWL16" s="343"/>
      <c r="EWM16" s="343"/>
      <c r="EWN16" s="344"/>
      <c r="EWO16" s="344"/>
      <c r="EWP16" s="344"/>
      <c r="EWQ16" s="342"/>
      <c r="EWR16" s="342"/>
      <c r="EWS16" s="342"/>
      <c r="EWT16" s="343"/>
      <c r="EWU16" s="343"/>
      <c r="EWV16" s="344"/>
      <c r="EWW16" s="344"/>
      <c r="EWX16" s="344"/>
      <c r="EWY16" s="342"/>
      <c r="EWZ16" s="342"/>
      <c r="EXA16" s="342"/>
      <c r="EXB16" s="343"/>
      <c r="EXC16" s="343"/>
      <c r="EXD16" s="344"/>
      <c r="EXE16" s="344"/>
      <c r="EXF16" s="344"/>
      <c r="EXG16" s="342"/>
      <c r="EXH16" s="342"/>
      <c r="EXI16" s="342"/>
      <c r="EXJ16" s="343"/>
      <c r="EXK16" s="343"/>
      <c r="EXL16" s="344"/>
      <c r="EXM16" s="344"/>
      <c r="EXN16" s="344"/>
      <c r="EXO16" s="342"/>
      <c r="EXP16" s="342"/>
      <c r="EXQ16" s="342"/>
      <c r="EXR16" s="343"/>
      <c r="EXS16" s="343"/>
      <c r="EXT16" s="344"/>
      <c r="EXU16" s="344"/>
      <c r="EXV16" s="344"/>
      <c r="EXW16" s="342"/>
      <c r="EXX16" s="342"/>
      <c r="EXY16" s="342"/>
      <c r="EXZ16" s="343"/>
      <c r="EYA16" s="343"/>
      <c r="EYB16" s="344"/>
      <c r="EYC16" s="344"/>
      <c r="EYD16" s="344"/>
      <c r="EYE16" s="342"/>
      <c r="EYF16" s="342"/>
      <c r="EYG16" s="342"/>
      <c r="EYH16" s="343"/>
      <c r="EYI16" s="343"/>
      <c r="EYJ16" s="344"/>
      <c r="EYK16" s="344"/>
      <c r="EYL16" s="344"/>
      <c r="EYM16" s="342"/>
      <c r="EYN16" s="342"/>
      <c r="EYO16" s="342"/>
      <c r="EYP16" s="343"/>
      <c r="EYQ16" s="343"/>
      <c r="EYR16" s="344"/>
      <c r="EYS16" s="344"/>
      <c r="EYT16" s="344"/>
      <c r="EYU16" s="342"/>
      <c r="EYV16" s="342"/>
      <c r="EYW16" s="342"/>
      <c r="EYX16" s="343"/>
      <c r="EYY16" s="343"/>
      <c r="EYZ16" s="344"/>
      <c r="EZA16" s="344"/>
      <c r="EZB16" s="344"/>
      <c r="EZC16" s="342"/>
      <c r="EZD16" s="342"/>
      <c r="EZE16" s="342"/>
      <c r="EZF16" s="343"/>
      <c r="EZG16" s="343"/>
      <c r="EZH16" s="344"/>
      <c r="EZI16" s="344"/>
      <c r="EZJ16" s="344"/>
      <c r="EZK16" s="342"/>
      <c r="EZL16" s="342"/>
      <c r="EZM16" s="342"/>
      <c r="EZN16" s="343"/>
      <c r="EZO16" s="343"/>
      <c r="EZP16" s="344"/>
      <c r="EZQ16" s="344"/>
      <c r="EZR16" s="344"/>
      <c r="EZS16" s="342"/>
      <c r="EZT16" s="342"/>
      <c r="EZU16" s="342"/>
      <c r="EZV16" s="343"/>
      <c r="EZW16" s="343"/>
      <c r="EZX16" s="344"/>
      <c r="EZY16" s="344"/>
      <c r="EZZ16" s="344"/>
      <c r="FAA16" s="342"/>
      <c r="FAB16" s="342"/>
      <c r="FAC16" s="342"/>
      <c r="FAD16" s="343"/>
      <c r="FAE16" s="343"/>
      <c r="FAF16" s="344"/>
      <c r="FAG16" s="344"/>
      <c r="FAH16" s="344"/>
      <c r="FAI16" s="342"/>
      <c r="FAJ16" s="342"/>
      <c r="FAK16" s="342"/>
      <c r="FAL16" s="343"/>
      <c r="FAM16" s="343"/>
      <c r="FAN16" s="344"/>
      <c r="FAO16" s="344"/>
      <c r="FAP16" s="344"/>
      <c r="FAQ16" s="342"/>
      <c r="FAR16" s="342"/>
      <c r="FAS16" s="342"/>
      <c r="FAT16" s="343"/>
      <c r="FAU16" s="343"/>
      <c r="FAV16" s="344"/>
      <c r="FAW16" s="344"/>
      <c r="FAX16" s="344"/>
      <c r="FAY16" s="342"/>
      <c r="FAZ16" s="342"/>
      <c r="FBA16" s="342"/>
      <c r="FBB16" s="343"/>
      <c r="FBC16" s="343"/>
      <c r="FBD16" s="344"/>
      <c r="FBE16" s="344"/>
      <c r="FBF16" s="344"/>
      <c r="FBG16" s="342"/>
      <c r="FBH16" s="342"/>
      <c r="FBI16" s="342"/>
      <c r="FBJ16" s="343"/>
      <c r="FBK16" s="343"/>
      <c r="FBL16" s="344"/>
      <c r="FBM16" s="344"/>
      <c r="FBN16" s="344"/>
      <c r="FBO16" s="342"/>
      <c r="FBP16" s="342"/>
      <c r="FBQ16" s="342"/>
      <c r="FBR16" s="343"/>
      <c r="FBS16" s="343"/>
      <c r="FBT16" s="344"/>
      <c r="FBU16" s="344"/>
      <c r="FBV16" s="344"/>
      <c r="FBW16" s="342"/>
      <c r="FBX16" s="342"/>
      <c r="FBY16" s="342"/>
      <c r="FBZ16" s="343"/>
      <c r="FCA16" s="343"/>
      <c r="FCB16" s="344"/>
      <c r="FCC16" s="344"/>
      <c r="FCD16" s="344"/>
      <c r="FCE16" s="342"/>
      <c r="FCF16" s="342"/>
      <c r="FCG16" s="342"/>
      <c r="FCH16" s="343"/>
      <c r="FCI16" s="343"/>
      <c r="FCJ16" s="344"/>
      <c r="FCK16" s="344"/>
      <c r="FCL16" s="344"/>
      <c r="FCM16" s="342"/>
      <c r="FCN16" s="342"/>
      <c r="FCO16" s="342"/>
      <c r="FCP16" s="343"/>
      <c r="FCQ16" s="343"/>
      <c r="FCR16" s="344"/>
      <c r="FCS16" s="344"/>
      <c r="FCT16" s="344"/>
      <c r="FCU16" s="342"/>
      <c r="FCV16" s="342"/>
      <c r="FCW16" s="342"/>
      <c r="FCX16" s="343"/>
      <c r="FCY16" s="343"/>
      <c r="FCZ16" s="344"/>
      <c r="FDA16" s="344"/>
      <c r="FDB16" s="344"/>
      <c r="FDC16" s="342"/>
      <c r="FDD16" s="342"/>
      <c r="FDE16" s="342"/>
      <c r="FDF16" s="343"/>
      <c r="FDG16" s="343"/>
      <c r="FDH16" s="344"/>
      <c r="FDI16" s="344"/>
      <c r="FDJ16" s="344"/>
      <c r="FDK16" s="342"/>
      <c r="FDL16" s="342"/>
      <c r="FDM16" s="342"/>
      <c r="FDN16" s="343"/>
      <c r="FDO16" s="343"/>
      <c r="FDP16" s="344"/>
      <c r="FDQ16" s="344"/>
      <c r="FDR16" s="344"/>
      <c r="FDS16" s="342"/>
      <c r="FDT16" s="342"/>
      <c r="FDU16" s="342"/>
      <c r="FDV16" s="343"/>
      <c r="FDW16" s="343"/>
      <c r="FDX16" s="344"/>
      <c r="FDY16" s="344"/>
      <c r="FDZ16" s="344"/>
      <c r="FEA16" s="342"/>
      <c r="FEB16" s="342"/>
      <c r="FEC16" s="342"/>
      <c r="FED16" s="343"/>
      <c r="FEE16" s="343"/>
      <c r="FEF16" s="344"/>
      <c r="FEG16" s="344"/>
      <c r="FEH16" s="344"/>
      <c r="FEI16" s="342"/>
      <c r="FEJ16" s="342"/>
      <c r="FEK16" s="342"/>
      <c r="FEL16" s="343"/>
      <c r="FEM16" s="343"/>
      <c r="FEN16" s="344"/>
      <c r="FEO16" s="344"/>
      <c r="FEP16" s="344"/>
      <c r="FEQ16" s="342"/>
      <c r="FER16" s="342"/>
      <c r="FES16" s="342"/>
      <c r="FET16" s="343"/>
      <c r="FEU16" s="343"/>
      <c r="FEV16" s="344"/>
      <c r="FEW16" s="344"/>
      <c r="FEX16" s="344"/>
      <c r="FEY16" s="342"/>
      <c r="FEZ16" s="342"/>
      <c r="FFA16" s="342"/>
      <c r="FFB16" s="343"/>
      <c r="FFC16" s="343"/>
      <c r="FFD16" s="344"/>
      <c r="FFE16" s="344"/>
      <c r="FFF16" s="344"/>
      <c r="FFG16" s="342"/>
      <c r="FFH16" s="342"/>
      <c r="FFI16" s="342"/>
      <c r="FFJ16" s="343"/>
      <c r="FFK16" s="343"/>
      <c r="FFL16" s="344"/>
      <c r="FFM16" s="344"/>
      <c r="FFN16" s="344"/>
      <c r="FFO16" s="342"/>
      <c r="FFP16" s="342"/>
      <c r="FFQ16" s="342"/>
      <c r="FFR16" s="343"/>
      <c r="FFS16" s="343"/>
      <c r="FFT16" s="344"/>
      <c r="FFU16" s="344"/>
      <c r="FFV16" s="344"/>
      <c r="FFW16" s="342"/>
      <c r="FFX16" s="342"/>
      <c r="FFY16" s="342"/>
      <c r="FFZ16" s="343"/>
      <c r="FGA16" s="343"/>
      <c r="FGB16" s="344"/>
      <c r="FGC16" s="344"/>
      <c r="FGD16" s="344"/>
      <c r="FGE16" s="342"/>
      <c r="FGF16" s="342"/>
      <c r="FGG16" s="342"/>
      <c r="FGH16" s="343"/>
      <c r="FGI16" s="343"/>
      <c r="FGJ16" s="344"/>
      <c r="FGK16" s="344"/>
      <c r="FGL16" s="344"/>
      <c r="FGM16" s="342"/>
      <c r="FGN16" s="342"/>
      <c r="FGO16" s="342"/>
      <c r="FGP16" s="343"/>
      <c r="FGQ16" s="343"/>
      <c r="FGR16" s="344"/>
      <c r="FGS16" s="344"/>
      <c r="FGT16" s="344"/>
      <c r="FGU16" s="342"/>
      <c r="FGV16" s="342"/>
      <c r="FGW16" s="342"/>
      <c r="FGX16" s="343"/>
      <c r="FGY16" s="343"/>
      <c r="FGZ16" s="344"/>
      <c r="FHA16" s="344"/>
      <c r="FHB16" s="344"/>
      <c r="FHC16" s="342"/>
      <c r="FHD16" s="342"/>
      <c r="FHE16" s="342"/>
      <c r="FHF16" s="343"/>
      <c r="FHG16" s="343"/>
      <c r="FHH16" s="344"/>
      <c r="FHI16" s="344"/>
      <c r="FHJ16" s="344"/>
      <c r="FHK16" s="342"/>
      <c r="FHL16" s="342"/>
      <c r="FHM16" s="342"/>
      <c r="FHN16" s="343"/>
      <c r="FHO16" s="343"/>
      <c r="FHP16" s="344"/>
      <c r="FHQ16" s="344"/>
      <c r="FHR16" s="344"/>
      <c r="FHS16" s="342"/>
      <c r="FHT16" s="342"/>
      <c r="FHU16" s="342"/>
      <c r="FHV16" s="343"/>
      <c r="FHW16" s="343"/>
      <c r="FHX16" s="344"/>
      <c r="FHY16" s="344"/>
      <c r="FHZ16" s="344"/>
      <c r="FIA16" s="342"/>
      <c r="FIB16" s="342"/>
      <c r="FIC16" s="342"/>
      <c r="FID16" s="343"/>
      <c r="FIE16" s="343"/>
      <c r="FIF16" s="344"/>
      <c r="FIG16" s="344"/>
      <c r="FIH16" s="344"/>
      <c r="FII16" s="342"/>
      <c r="FIJ16" s="342"/>
      <c r="FIK16" s="342"/>
      <c r="FIL16" s="343"/>
      <c r="FIM16" s="343"/>
      <c r="FIN16" s="344"/>
      <c r="FIO16" s="344"/>
      <c r="FIP16" s="344"/>
      <c r="FIQ16" s="342"/>
      <c r="FIR16" s="342"/>
      <c r="FIS16" s="342"/>
      <c r="FIT16" s="343"/>
      <c r="FIU16" s="343"/>
      <c r="FIV16" s="344"/>
      <c r="FIW16" s="344"/>
      <c r="FIX16" s="344"/>
      <c r="FIY16" s="342"/>
      <c r="FIZ16" s="342"/>
      <c r="FJA16" s="342"/>
      <c r="FJB16" s="343"/>
      <c r="FJC16" s="343"/>
      <c r="FJD16" s="344"/>
      <c r="FJE16" s="344"/>
      <c r="FJF16" s="344"/>
      <c r="FJG16" s="342"/>
      <c r="FJH16" s="342"/>
      <c r="FJI16" s="342"/>
      <c r="FJJ16" s="343"/>
      <c r="FJK16" s="343"/>
      <c r="FJL16" s="344"/>
      <c r="FJM16" s="344"/>
      <c r="FJN16" s="344"/>
      <c r="FJO16" s="342"/>
      <c r="FJP16" s="342"/>
      <c r="FJQ16" s="342"/>
      <c r="FJR16" s="343"/>
      <c r="FJS16" s="343"/>
      <c r="FJT16" s="344"/>
      <c r="FJU16" s="344"/>
      <c r="FJV16" s="344"/>
      <c r="FJW16" s="342"/>
      <c r="FJX16" s="342"/>
      <c r="FJY16" s="342"/>
      <c r="FJZ16" s="343"/>
      <c r="FKA16" s="343"/>
      <c r="FKB16" s="344"/>
      <c r="FKC16" s="344"/>
      <c r="FKD16" s="344"/>
      <c r="FKE16" s="342"/>
      <c r="FKF16" s="342"/>
      <c r="FKG16" s="342"/>
      <c r="FKH16" s="343"/>
      <c r="FKI16" s="343"/>
      <c r="FKJ16" s="344"/>
      <c r="FKK16" s="344"/>
      <c r="FKL16" s="344"/>
      <c r="FKM16" s="342"/>
      <c r="FKN16" s="342"/>
      <c r="FKO16" s="342"/>
      <c r="FKP16" s="343"/>
      <c r="FKQ16" s="343"/>
      <c r="FKR16" s="344"/>
      <c r="FKS16" s="344"/>
      <c r="FKT16" s="344"/>
      <c r="FKU16" s="342"/>
      <c r="FKV16" s="342"/>
      <c r="FKW16" s="342"/>
      <c r="FKX16" s="343"/>
      <c r="FKY16" s="343"/>
      <c r="FKZ16" s="344"/>
      <c r="FLA16" s="344"/>
      <c r="FLB16" s="344"/>
      <c r="FLC16" s="342"/>
      <c r="FLD16" s="342"/>
      <c r="FLE16" s="342"/>
      <c r="FLF16" s="343"/>
      <c r="FLG16" s="343"/>
      <c r="FLH16" s="344"/>
      <c r="FLI16" s="344"/>
      <c r="FLJ16" s="344"/>
      <c r="FLK16" s="342"/>
      <c r="FLL16" s="342"/>
      <c r="FLM16" s="342"/>
      <c r="FLN16" s="343"/>
      <c r="FLO16" s="343"/>
      <c r="FLP16" s="344"/>
      <c r="FLQ16" s="344"/>
      <c r="FLR16" s="344"/>
      <c r="FLS16" s="342"/>
      <c r="FLT16" s="342"/>
      <c r="FLU16" s="342"/>
      <c r="FLV16" s="343"/>
      <c r="FLW16" s="343"/>
      <c r="FLX16" s="344"/>
      <c r="FLY16" s="344"/>
      <c r="FLZ16" s="344"/>
      <c r="FMA16" s="342"/>
      <c r="FMB16" s="342"/>
      <c r="FMC16" s="342"/>
      <c r="FMD16" s="343"/>
      <c r="FME16" s="343"/>
      <c r="FMF16" s="344"/>
      <c r="FMG16" s="344"/>
      <c r="FMH16" s="344"/>
      <c r="FMI16" s="342"/>
      <c r="FMJ16" s="342"/>
      <c r="FMK16" s="342"/>
      <c r="FML16" s="343"/>
      <c r="FMM16" s="343"/>
      <c r="FMN16" s="344"/>
      <c r="FMO16" s="344"/>
      <c r="FMP16" s="344"/>
      <c r="FMQ16" s="342"/>
      <c r="FMR16" s="342"/>
      <c r="FMS16" s="342"/>
      <c r="FMT16" s="343"/>
      <c r="FMU16" s="343"/>
      <c r="FMV16" s="344"/>
      <c r="FMW16" s="344"/>
      <c r="FMX16" s="344"/>
      <c r="FMY16" s="342"/>
      <c r="FMZ16" s="342"/>
      <c r="FNA16" s="342"/>
      <c r="FNB16" s="343"/>
      <c r="FNC16" s="343"/>
      <c r="FND16" s="344"/>
      <c r="FNE16" s="344"/>
      <c r="FNF16" s="344"/>
      <c r="FNG16" s="342"/>
      <c r="FNH16" s="342"/>
      <c r="FNI16" s="342"/>
      <c r="FNJ16" s="343"/>
      <c r="FNK16" s="343"/>
      <c r="FNL16" s="344"/>
      <c r="FNM16" s="344"/>
      <c r="FNN16" s="344"/>
      <c r="FNO16" s="342"/>
      <c r="FNP16" s="342"/>
      <c r="FNQ16" s="342"/>
      <c r="FNR16" s="343"/>
      <c r="FNS16" s="343"/>
      <c r="FNT16" s="344"/>
      <c r="FNU16" s="344"/>
      <c r="FNV16" s="344"/>
      <c r="FNW16" s="342"/>
      <c r="FNX16" s="342"/>
      <c r="FNY16" s="342"/>
      <c r="FNZ16" s="343"/>
      <c r="FOA16" s="343"/>
      <c r="FOB16" s="344"/>
      <c r="FOC16" s="344"/>
      <c r="FOD16" s="344"/>
      <c r="FOE16" s="342"/>
      <c r="FOF16" s="342"/>
      <c r="FOG16" s="342"/>
      <c r="FOH16" s="343"/>
      <c r="FOI16" s="343"/>
      <c r="FOJ16" s="344"/>
      <c r="FOK16" s="344"/>
      <c r="FOL16" s="344"/>
      <c r="FOM16" s="342"/>
      <c r="FON16" s="342"/>
      <c r="FOO16" s="342"/>
      <c r="FOP16" s="343"/>
      <c r="FOQ16" s="343"/>
      <c r="FOR16" s="344"/>
      <c r="FOS16" s="344"/>
      <c r="FOT16" s="344"/>
      <c r="FOU16" s="342"/>
      <c r="FOV16" s="342"/>
      <c r="FOW16" s="342"/>
      <c r="FOX16" s="343"/>
      <c r="FOY16" s="343"/>
      <c r="FOZ16" s="344"/>
      <c r="FPA16" s="344"/>
      <c r="FPB16" s="344"/>
      <c r="FPC16" s="342"/>
      <c r="FPD16" s="342"/>
      <c r="FPE16" s="342"/>
      <c r="FPF16" s="343"/>
      <c r="FPG16" s="343"/>
      <c r="FPH16" s="344"/>
      <c r="FPI16" s="344"/>
      <c r="FPJ16" s="344"/>
      <c r="FPK16" s="342"/>
      <c r="FPL16" s="342"/>
      <c r="FPM16" s="342"/>
      <c r="FPN16" s="343"/>
      <c r="FPO16" s="343"/>
      <c r="FPP16" s="344"/>
      <c r="FPQ16" s="344"/>
      <c r="FPR16" s="344"/>
      <c r="FPS16" s="342"/>
      <c r="FPT16" s="342"/>
      <c r="FPU16" s="342"/>
      <c r="FPV16" s="343"/>
      <c r="FPW16" s="343"/>
      <c r="FPX16" s="344"/>
      <c r="FPY16" s="344"/>
      <c r="FPZ16" s="344"/>
      <c r="FQA16" s="342"/>
      <c r="FQB16" s="342"/>
      <c r="FQC16" s="342"/>
      <c r="FQD16" s="343"/>
      <c r="FQE16" s="343"/>
      <c r="FQF16" s="344"/>
      <c r="FQG16" s="344"/>
      <c r="FQH16" s="344"/>
      <c r="FQI16" s="342"/>
      <c r="FQJ16" s="342"/>
      <c r="FQK16" s="342"/>
      <c r="FQL16" s="343"/>
      <c r="FQM16" s="343"/>
      <c r="FQN16" s="344"/>
      <c r="FQO16" s="344"/>
      <c r="FQP16" s="344"/>
      <c r="FQQ16" s="342"/>
      <c r="FQR16" s="342"/>
      <c r="FQS16" s="342"/>
      <c r="FQT16" s="343"/>
      <c r="FQU16" s="343"/>
      <c r="FQV16" s="344"/>
      <c r="FQW16" s="344"/>
      <c r="FQX16" s="344"/>
      <c r="FQY16" s="342"/>
      <c r="FQZ16" s="342"/>
      <c r="FRA16" s="342"/>
      <c r="FRB16" s="343"/>
      <c r="FRC16" s="343"/>
      <c r="FRD16" s="344"/>
      <c r="FRE16" s="344"/>
      <c r="FRF16" s="344"/>
      <c r="FRG16" s="342"/>
      <c r="FRH16" s="342"/>
      <c r="FRI16" s="342"/>
      <c r="FRJ16" s="343"/>
      <c r="FRK16" s="343"/>
      <c r="FRL16" s="344"/>
      <c r="FRM16" s="344"/>
      <c r="FRN16" s="344"/>
      <c r="FRO16" s="342"/>
      <c r="FRP16" s="342"/>
      <c r="FRQ16" s="342"/>
      <c r="FRR16" s="343"/>
      <c r="FRS16" s="343"/>
      <c r="FRT16" s="344"/>
      <c r="FRU16" s="344"/>
      <c r="FRV16" s="344"/>
      <c r="FRW16" s="342"/>
      <c r="FRX16" s="342"/>
      <c r="FRY16" s="342"/>
      <c r="FRZ16" s="343"/>
      <c r="FSA16" s="343"/>
      <c r="FSB16" s="344"/>
      <c r="FSC16" s="344"/>
      <c r="FSD16" s="344"/>
      <c r="FSE16" s="342"/>
      <c r="FSF16" s="342"/>
      <c r="FSG16" s="342"/>
      <c r="FSH16" s="343"/>
      <c r="FSI16" s="343"/>
      <c r="FSJ16" s="344"/>
      <c r="FSK16" s="344"/>
      <c r="FSL16" s="344"/>
      <c r="FSM16" s="342"/>
      <c r="FSN16" s="342"/>
      <c r="FSO16" s="342"/>
      <c r="FSP16" s="343"/>
      <c r="FSQ16" s="343"/>
      <c r="FSR16" s="344"/>
      <c r="FSS16" s="344"/>
      <c r="FST16" s="344"/>
      <c r="FSU16" s="342"/>
      <c r="FSV16" s="342"/>
      <c r="FSW16" s="342"/>
      <c r="FSX16" s="343"/>
      <c r="FSY16" s="343"/>
      <c r="FSZ16" s="344"/>
      <c r="FTA16" s="344"/>
      <c r="FTB16" s="344"/>
      <c r="FTC16" s="342"/>
      <c r="FTD16" s="342"/>
      <c r="FTE16" s="342"/>
      <c r="FTF16" s="343"/>
      <c r="FTG16" s="343"/>
      <c r="FTH16" s="344"/>
      <c r="FTI16" s="344"/>
      <c r="FTJ16" s="344"/>
      <c r="FTK16" s="342"/>
      <c r="FTL16" s="342"/>
      <c r="FTM16" s="342"/>
      <c r="FTN16" s="343"/>
      <c r="FTO16" s="343"/>
      <c r="FTP16" s="344"/>
      <c r="FTQ16" s="344"/>
      <c r="FTR16" s="344"/>
      <c r="FTS16" s="342"/>
      <c r="FTT16" s="342"/>
      <c r="FTU16" s="342"/>
      <c r="FTV16" s="343"/>
      <c r="FTW16" s="343"/>
      <c r="FTX16" s="344"/>
      <c r="FTY16" s="344"/>
      <c r="FTZ16" s="344"/>
      <c r="FUA16" s="342"/>
      <c r="FUB16" s="342"/>
      <c r="FUC16" s="342"/>
      <c r="FUD16" s="343"/>
      <c r="FUE16" s="343"/>
      <c r="FUF16" s="344"/>
      <c r="FUG16" s="344"/>
      <c r="FUH16" s="344"/>
      <c r="FUI16" s="342"/>
      <c r="FUJ16" s="342"/>
      <c r="FUK16" s="342"/>
      <c r="FUL16" s="343"/>
      <c r="FUM16" s="343"/>
      <c r="FUN16" s="344"/>
      <c r="FUO16" s="344"/>
      <c r="FUP16" s="344"/>
      <c r="FUQ16" s="342"/>
      <c r="FUR16" s="342"/>
      <c r="FUS16" s="342"/>
      <c r="FUT16" s="343"/>
      <c r="FUU16" s="343"/>
      <c r="FUV16" s="344"/>
      <c r="FUW16" s="344"/>
      <c r="FUX16" s="344"/>
      <c r="FUY16" s="342"/>
      <c r="FUZ16" s="342"/>
      <c r="FVA16" s="342"/>
      <c r="FVB16" s="343"/>
      <c r="FVC16" s="343"/>
      <c r="FVD16" s="344"/>
      <c r="FVE16" s="344"/>
      <c r="FVF16" s="344"/>
      <c r="FVG16" s="342"/>
      <c r="FVH16" s="342"/>
      <c r="FVI16" s="342"/>
      <c r="FVJ16" s="343"/>
      <c r="FVK16" s="343"/>
      <c r="FVL16" s="344"/>
      <c r="FVM16" s="344"/>
      <c r="FVN16" s="344"/>
      <c r="FVO16" s="342"/>
      <c r="FVP16" s="342"/>
      <c r="FVQ16" s="342"/>
      <c r="FVR16" s="343"/>
      <c r="FVS16" s="343"/>
      <c r="FVT16" s="344"/>
      <c r="FVU16" s="344"/>
      <c r="FVV16" s="344"/>
      <c r="FVW16" s="342"/>
      <c r="FVX16" s="342"/>
      <c r="FVY16" s="342"/>
      <c r="FVZ16" s="343"/>
      <c r="FWA16" s="343"/>
      <c r="FWB16" s="344"/>
      <c r="FWC16" s="344"/>
      <c r="FWD16" s="344"/>
      <c r="FWE16" s="342"/>
      <c r="FWF16" s="342"/>
      <c r="FWG16" s="342"/>
      <c r="FWH16" s="343"/>
      <c r="FWI16" s="343"/>
      <c r="FWJ16" s="344"/>
      <c r="FWK16" s="344"/>
      <c r="FWL16" s="344"/>
      <c r="FWM16" s="342"/>
      <c r="FWN16" s="342"/>
      <c r="FWO16" s="342"/>
      <c r="FWP16" s="343"/>
      <c r="FWQ16" s="343"/>
      <c r="FWR16" s="344"/>
      <c r="FWS16" s="344"/>
      <c r="FWT16" s="344"/>
      <c r="FWU16" s="342"/>
      <c r="FWV16" s="342"/>
      <c r="FWW16" s="342"/>
      <c r="FWX16" s="343"/>
      <c r="FWY16" s="343"/>
      <c r="FWZ16" s="344"/>
      <c r="FXA16" s="344"/>
      <c r="FXB16" s="344"/>
      <c r="FXC16" s="342"/>
      <c r="FXD16" s="342"/>
      <c r="FXE16" s="342"/>
      <c r="FXF16" s="343"/>
      <c r="FXG16" s="343"/>
      <c r="FXH16" s="344"/>
      <c r="FXI16" s="344"/>
      <c r="FXJ16" s="344"/>
      <c r="FXK16" s="342"/>
      <c r="FXL16" s="342"/>
      <c r="FXM16" s="342"/>
      <c r="FXN16" s="343"/>
      <c r="FXO16" s="343"/>
      <c r="FXP16" s="344"/>
      <c r="FXQ16" s="344"/>
      <c r="FXR16" s="344"/>
      <c r="FXS16" s="342"/>
      <c r="FXT16" s="342"/>
      <c r="FXU16" s="342"/>
      <c r="FXV16" s="343"/>
      <c r="FXW16" s="343"/>
      <c r="FXX16" s="344"/>
      <c r="FXY16" s="344"/>
      <c r="FXZ16" s="344"/>
      <c r="FYA16" s="342"/>
      <c r="FYB16" s="342"/>
      <c r="FYC16" s="342"/>
      <c r="FYD16" s="343"/>
      <c r="FYE16" s="343"/>
      <c r="FYF16" s="344"/>
      <c r="FYG16" s="344"/>
      <c r="FYH16" s="344"/>
      <c r="FYI16" s="342"/>
      <c r="FYJ16" s="342"/>
      <c r="FYK16" s="342"/>
      <c r="FYL16" s="343"/>
      <c r="FYM16" s="343"/>
      <c r="FYN16" s="344"/>
      <c r="FYO16" s="344"/>
      <c r="FYP16" s="344"/>
      <c r="FYQ16" s="342"/>
      <c r="FYR16" s="342"/>
      <c r="FYS16" s="342"/>
      <c r="FYT16" s="343"/>
      <c r="FYU16" s="343"/>
      <c r="FYV16" s="344"/>
      <c r="FYW16" s="344"/>
      <c r="FYX16" s="344"/>
      <c r="FYY16" s="342"/>
      <c r="FYZ16" s="342"/>
      <c r="FZA16" s="342"/>
      <c r="FZB16" s="343"/>
      <c r="FZC16" s="343"/>
      <c r="FZD16" s="344"/>
      <c r="FZE16" s="344"/>
      <c r="FZF16" s="344"/>
      <c r="FZG16" s="342"/>
      <c r="FZH16" s="342"/>
      <c r="FZI16" s="342"/>
      <c r="FZJ16" s="343"/>
      <c r="FZK16" s="343"/>
      <c r="FZL16" s="344"/>
      <c r="FZM16" s="344"/>
      <c r="FZN16" s="344"/>
      <c r="FZO16" s="342"/>
      <c r="FZP16" s="342"/>
      <c r="FZQ16" s="342"/>
      <c r="FZR16" s="343"/>
      <c r="FZS16" s="343"/>
      <c r="FZT16" s="344"/>
      <c r="FZU16" s="344"/>
      <c r="FZV16" s="344"/>
      <c r="FZW16" s="342"/>
      <c r="FZX16" s="342"/>
      <c r="FZY16" s="342"/>
      <c r="FZZ16" s="343"/>
      <c r="GAA16" s="343"/>
      <c r="GAB16" s="344"/>
      <c r="GAC16" s="344"/>
      <c r="GAD16" s="344"/>
      <c r="GAE16" s="342"/>
      <c r="GAF16" s="342"/>
      <c r="GAG16" s="342"/>
      <c r="GAH16" s="343"/>
      <c r="GAI16" s="343"/>
      <c r="GAJ16" s="344"/>
      <c r="GAK16" s="344"/>
      <c r="GAL16" s="344"/>
      <c r="GAM16" s="342"/>
      <c r="GAN16" s="342"/>
      <c r="GAO16" s="342"/>
      <c r="GAP16" s="343"/>
      <c r="GAQ16" s="343"/>
      <c r="GAR16" s="344"/>
      <c r="GAS16" s="344"/>
      <c r="GAT16" s="344"/>
      <c r="GAU16" s="342"/>
      <c r="GAV16" s="342"/>
      <c r="GAW16" s="342"/>
      <c r="GAX16" s="343"/>
      <c r="GAY16" s="343"/>
      <c r="GAZ16" s="344"/>
      <c r="GBA16" s="344"/>
      <c r="GBB16" s="344"/>
      <c r="GBC16" s="342"/>
      <c r="GBD16" s="342"/>
      <c r="GBE16" s="342"/>
      <c r="GBF16" s="343"/>
      <c r="GBG16" s="343"/>
      <c r="GBH16" s="344"/>
      <c r="GBI16" s="344"/>
      <c r="GBJ16" s="344"/>
      <c r="GBK16" s="342"/>
      <c r="GBL16" s="342"/>
      <c r="GBM16" s="342"/>
      <c r="GBN16" s="343"/>
      <c r="GBO16" s="343"/>
      <c r="GBP16" s="344"/>
      <c r="GBQ16" s="344"/>
      <c r="GBR16" s="344"/>
      <c r="GBS16" s="342"/>
      <c r="GBT16" s="342"/>
      <c r="GBU16" s="342"/>
      <c r="GBV16" s="343"/>
      <c r="GBW16" s="343"/>
      <c r="GBX16" s="344"/>
      <c r="GBY16" s="344"/>
      <c r="GBZ16" s="344"/>
      <c r="GCA16" s="342"/>
      <c r="GCB16" s="342"/>
      <c r="GCC16" s="342"/>
      <c r="GCD16" s="343"/>
      <c r="GCE16" s="343"/>
      <c r="GCF16" s="344"/>
      <c r="GCG16" s="344"/>
      <c r="GCH16" s="344"/>
      <c r="GCI16" s="342"/>
      <c r="GCJ16" s="342"/>
      <c r="GCK16" s="342"/>
      <c r="GCL16" s="343"/>
      <c r="GCM16" s="343"/>
      <c r="GCN16" s="344"/>
      <c r="GCO16" s="344"/>
      <c r="GCP16" s="344"/>
      <c r="GCQ16" s="342"/>
      <c r="GCR16" s="342"/>
      <c r="GCS16" s="342"/>
      <c r="GCT16" s="343"/>
      <c r="GCU16" s="343"/>
      <c r="GCV16" s="344"/>
      <c r="GCW16" s="344"/>
      <c r="GCX16" s="344"/>
      <c r="GCY16" s="342"/>
      <c r="GCZ16" s="342"/>
      <c r="GDA16" s="342"/>
      <c r="GDB16" s="343"/>
      <c r="GDC16" s="343"/>
      <c r="GDD16" s="344"/>
      <c r="GDE16" s="344"/>
      <c r="GDF16" s="344"/>
      <c r="GDG16" s="342"/>
      <c r="GDH16" s="342"/>
      <c r="GDI16" s="342"/>
      <c r="GDJ16" s="343"/>
      <c r="GDK16" s="343"/>
      <c r="GDL16" s="344"/>
      <c r="GDM16" s="344"/>
      <c r="GDN16" s="344"/>
      <c r="GDO16" s="342"/>
      <c r="GDP16" s="342"/>
      <c r="GDQ16" s="342"/>
      <c r="GDR16" s="343"/>
      <c r="GDS16" s="343"/>
      <c r="GDT16" s="344"/>
      <c r="GDU16" s="344"/>
      <c r="GDV16" s="344"/>
      <c r="GDW16" s="342"/>
      <c r="GDX16" s="342"/>
      <c r="GDY16" s="342"/>
      <c r="GDZ16" s="343"/>
      <c r="GEA16" s="343"/>
      <c r="GEB16" s="344"/>
      <c r="GEC16" s="344"/>
      <c r="GED16" s="344"/>
      <c r="GEE16" s="342"/>
      <c r="GEF16" s="342"/>
      <c r="GEG16" s="342"/>
      <c r="GEH16" s="343"/>
      <c r="GEI16" s="343"/>
      <c r="GEJ16" s="344"/>
      <c r="GEK16" s="344"/>
      <c r="GEL16" s="344"/>
      <c r="GEM16" s="342"/>
      <c r="GEN16" s="342"/>
      <c r="GEO16" s="342"/>
      <c r="GEP16" s="343"/>
      <c r="GEQ16" s="343"/>
      <c r="GER16" s="344"/>
      <c r="GES16" s="344"/>
      <c r="GET16" s="344"/>
      <c r="GEU16" s="342"/>
      <c r="GEV16" s="342"/>
      <c r="GEW16" s="342"/>
      <c r="GEX16" s="343"/>
      <c r="GEY16" s="343"/>
      <c r="GEZ16" s="344"/>
      <c r="GFA16" s="344"/>
      <c r="GFB16" s="344"/>
      <c r="GFC16" s="342"/>
      <c r="GFD16" s="342"/>
      <c r="GFE16" s="342"/>
      <c r="GFF16" s="343"/>
      <c r="GFG16" s="343"/>
      <c r="GFH16" s="344"/>
      <c r="GFI16" s="344"/>
      <c r="GFJ16" s="344"/>
      <c r="GFK16" s="342"/>
      <c r="GFL16" s="342"/>
      <c r="GFM16" s="342"/>
      <c r="GFN16" s="343"/>
      <c r="GFO16" s="343"/>
      <c r="GFP16" s="344"/>
      <c r="GFQ16" s="344"/>
      <c r="GFR16" s="344"/>
      <c r="GFS16" s="342"/>
      <c r="GFT16" s="342"/>
      <c r="GFU16" s="342"/>
      <c r="GFV16" s="343"/>
      <c r="GFW16" s="343"/>
      <c r="GFX16" s="344"/>
      <c r="GFY16" s="344"/>
      <c r="GFZ16" s="344"/>
      <c r="GGA16" s="342"/>
      <c r="GGB16" s="342"/>
      <c r="GGC16" s="342"/>
      <c r="GGD16" s="343"/>
      <c r="GGE16" s="343"/>
      <c r="GGF16" s="344"/>
      <c r="GGG16" s="344"/>
      <c r="GGH16" s="344"/>
      <c r="GGI16" s="342"/>
      <c r="GGJ16" s="342"/>
      <c r="GGK16" s="342"/>
      <c r="GGL16" s="343"/>
      <c r="GGM16" s="343"/>
      <c r="GGN16" s="344"/>
      <c r="GGO16" s="344"/>
      <c r="GGP16" s="344"/>
      <c r="GGQ16" s="342"/>
      <c r="GGR16" s="342"/>
      <c r="GGS16" s="342"/>
      <c r="GGT16" s="343"/>
      <c r="GGU16" s="343"/>
      <c r="GGV16" s="344"/>
      <c r="GGW16" s="344"/>
      <c r="GGX16" s="344"/>
      <c r="GGY16" s="342"/>
      <c r="GGZ16" s="342"/>
      <c r="GHA16" s="342"/>
      <c r="GHB16" s="343"/>
      <c r="GHC16" s="343"/>
      <c r="GHD16" s="344"/>
      <c r="GHE16" s="344"/>
      <c r="GHF16" s="344"/>
      <c r="GHG16" s="342"/>
      <c r="GHH16" s="342"/>
      <c r="GHI16" s="342"/>
      <c r="GHJ16" s="343"/>
      <c r="GHK16" s="343"/>
      <c r="GHL16" s="344"/>
      <c r="GHM16" s="344"/>
      <c r="GHN16" s="344"/>
      <c r="GHO16" s="342"/>
      <c r="GHP16" s="342"/>
      <c r="GHQ16" s="342"/>
      <c r="GHR16" s="343"/>
      <c r="GHS16" s="343"/>
      <c r="GHT16" s="344"/>
      <c r="GHU16" s="344"/>
      <c r="GHV16" s="344"/>
      <c r="GHW16" s="342"/>
      <c r="GHX16" s="342"/>
      <c r="GHY16" s="342"/>
      <c r="GHZ16" s="343"/>
      <c r="GIA16" s="343"/>
      <c r="GIB16" s="344"/>
      <c r="GIC16" s="344"/>
      <c r="GID16" s="344"/>
      <c r="GIE16" s="342"/>
      <c r="GIF16" s="342"/>
      <c r="GIG16" s="342"/>
      <c r="GIH16" s="343"/>
      <c r="GII16" s="343"/>
      <c r="GIJ16" s="344"/>
      <c r="GIK16" s="344"/>
      <c r="GIL16" s="344"/>
      <c r="GIM16" s="342"/>
      <c r="GIN16" s="342"/>
      <c r="GIO16" s="342"/>
      <c r="GIP16" s="343"/>
      <c r="GIQ16" s="343"/>
      <c r="GIR16" s="344"/>
      <c r="GIS16" s="344"/>
      <c r="GIT16" s="344"/>
      <c r="GIU16" s="342"/>
      <c r="GIV16" s="342"/>
      <c r="GIW16" s="342"/>
      <c r="GIX16" s="343"/>
      <c r="GIY16" s="343"/>
      <c r="GIZ16" s="344"/>
      <c r="GJA16" s="344"/>
      <c r="GJB16" s="344"/>
      <c r="GJC16" s="342"/>
      <c r="GJD16" s="342"/>
      <c r="GJE16" s="342"/>
      <c r="GJF16" s="343"/>
      <c r="GJG16" s="343"/>
      <c r="GJH16" s="344"/>
      <c r="GJI16" s="344"/>
      <c r="GJJ16" s="344"/>
      <c r="GJK16" s="342"/>
      <c r="GJL16" s="342"/>
      <c r="GJM16" s="342"/>
      <c r="GJN16" s="343"/>
      <c r="GJO16" s="343"/>
      <c r="GJP16" s="344"/>
      <c r="GJQ16" s="344"/>
      <c r="GJR16" s="344"/>
      <c r="GJS16" s="342"/>
      <c r="GJT16" s="342"/>
      <c r="GJU16" s="342"/>
      <c r="GJV16" s="343"/>
      <c r="GJW16" s="343"/>
      <c r="GJX16" s="344"/>
      <c r="GJY16" s="344"/>
      <c r="GJZ16" s="344"/>
      <c r="GKA16" s="342"/>
      <c r="GKB16" s="342"/>
      <c r="GKC16" s="342"/>
      <c r="GKD16" s="343"/>
      <c r="GKE16" s="343"/>
      <c r="GKF16" s="344"/>
      <c r="GKG16" s="344"/>
      <c r="GKH16" s="344"/>
      <c r="GKI16" s="342"/>
      <c r="GKJ16" s="342"/>
      <c r="GKK16" s="342"/>
      <c r="GKL16" s="343"/>
      <c r="GKM16" s="343"/>
      <c r="GKN16" s="344"/>
      <c r="GKO16" s="344"/>
      <c r="GKP16" s="344"/>
      <c r="GKQ16" s="342"/>
      <c r="GKR16" s="342"/>
      <c r="GKS16" s="342"/>
      <c r="GKT16" s="343"/>
      <c r="GKU16" s="343"/>
      <c r="GKV16" s="344"/>
      <c r="GKW16" s="344"/>
      <c r="GKX16" s="344"/>
      <c r="GKY16" s="342"/>
      <c r="GKZ16" s="342"/>
      <c r="GLA16" s="342"/>
      <c r="GLB16" s="343"/>
      <c r="GLC16" s="343"/>
      <c r="GLD16" s="344"/>
      <c r="GLE16" s="344"/>
      <c r="GLF16" s="344"/>
      <c r="GLG16" s="342"/>
      <c r="GLH16" s="342"/>
      <c r="GLI16" s="342"/>
      <c r="GLJ16" s="343"/>
      <c r="GLK16" s="343"/>
      <c r="GLL16" s="344"/>
      <c r="GLM16" s="344"/>
      <c r="GLN16" s="344"/>
      <c r="GLO16" s="342"/>
      <c r="GLP16" s="342"/>
      <c r="GLQ16" s="342"/>
      <c r="GLR16" s="343"/>
      <c r="GLS16" s="343"/>
      <c r="GLT16" s="344"/>
      <c r="GLU16" s="344"/>
      <c r="GLV16" s="344"/>
      <c r="GLW16" s="342"/>
      <c r="GLX16" s="342"/>
      <c r="GLY16" s="342"/>
      <c r="GLZ16" s="343"/>
      <c r="GMA16" s="343"/>
      <c r="GMB16" s="344"/>
      <c r="GMC16" s="344"/>
      <c r="GMD16" s="344"/>
      <c r="GME16" s="342"/>
      <c r="GMF16" s="342"/>
      <c r="GMG16" s="342"/>
      <c r="GMH16" s="343"/>
      <c r="GMI16" s="343"/>
      <c r="GMJ16" s="344"/>
      <c r="GMK16" s="344"/>
      <c r="GML16" s="344"/>
      <c r="GMM16" s="342"/>
      <c r="GMN16" s="342"/>
      <c r="GMO16" s="342"/>
      <c r="GMP16" s="343"/>
      <c r="GMQ16" s="343"/>
      <c r="GMR16" s="344"/>
      <c r="GMS16" s="344"/>
      <c r="GMT16" s="344"/>
      <c r="GMU16" s="342"/>
      <c r="GMV16" s="342"/>
      <c r="GMW16" s="342"/>
      <c r="GMX16" s="343"/>
      <c r="GMY16" s="343"/>
      <c r="GMZ16" s="344"/>
      <c r="GNA16" s="344"/>
      <c r="GNB16" s="344"/>
      <c r="GNC16" s="342"/>
      <c r="GND16" s="342"/>
      <c r="GNE16" s="342"/>
      <c r="GNF16" s="343"/>
      <c r="GNG16" s="343"/>
      <c r="GNH16" s="344"/>
      <c r="GNI16" s="344"/>
      <c r="GNJ16" s="344"/>
      <c r="GNK16" s="342"/>
      <c r="GNL16" s="342"/>
      <c r="GNM16" s="342"/>
      <c r="GNN16" s="343"/>
      <c r="GNO16" s="343"/>
      <c r="GNP16" s="344"/>
      <c r="GNQ16" s="344"/>
      <c r="GNR16" s="344"/>
      <c r="GNS16" s="342"/>
      <c r="GNT16" s="342"/>
      <c r="GNU16" s="342"/>
      <c r="GNV16" s="343"/>
      <c r="GNW16" s="343"/>
      <c r="GNX16" s="344"/>
      <c r="GNY16" s="344"/>
      <c r="GNZ16" s="344"/>
      <c r="GOA16" s="342"/>
      <c r="GOB16" s="342"/>
      <c r="GOC16" s="342"/>
      <c r="GOD16" s="343"/>
      <c r="GOE16" s="343"/>
      <c r="GOF16" s="344"/>
      <c r="GOG16" s="344"/>
      <c r="GOH16" s="344"/>
      <c r="GOI16" s="342"/>
      <c r="GOJ16" s="342"/>
      <c r="GOK16" s="342"/>
      <c r="GOL16" s="343"/>
      <c r="GOM16" s="343"/>
      <c r="GON16" s="344"/>
      <c r="GOO16" s="344"/>
      <c r="GOP16" s="344"/>
      <c r="GOQ16" s="342"/>
      <c r="GOR16" s="342"/>
      <c r="GOS16" s="342"/>
      <c r="GOT16" s="343"/>
      <c r="GOU16" s="343"/>
      <c r="GOV16" s="344"/>
      <c r="GOW16" s="344"/>
      <c r="GOX16" s="344"/>
      <c r="GOY16" s="342"/>
      <c r="GOZ16" s="342"/>
      <c r="GPA16" s="342"/>
      <c r="GPB16" s="343"/>
      <c r="GPC16" s="343"/>
      <c r="GPD16" s="344"/>
      <c r="GPE16" s="344"/>
      <c r="GPF16" s="344"/>
      <c r="GPG16" s="342"/>
      <c r="GPH16" s="342"/>
      <c r="GPI16" s="342"/>
      <c r="GPJ16" s="343"/>
      <c r="GPK16" s="343"/>
      <c r="GPL16" s="344"/>
      <c r="GPM16" s="344"/>
      <c r="GPN16" s="344"/>
      <c r="GPO16" s="342"/>
      <c r="GPP16" s="342"/>
      <c r="GPQ16" s="342"/>
      <c r="GPR16" s="343"/>
      <c r="GPS16" s="343"/>
      <c r="GPT16" s="344"/>
      <c r="GPU16" s="344"/>
      <c r="GPV16" s="344"/>
      <c r="GPW16" s="342"/>
      <c r="GPX16" s="342"/>
      <c r="GPY16" s="342"/>
      <c r="GPZ16" s="343"/>
      <c r="GQA16" s="343"/>
      <c r="GQB16" s="344"/>
      <c r="GQC16" s="344"/>
      <c r="GQD16" s="344"/>
      <c r="GQE16" s="342"/>
      <c r="GQF16" s="342"/>
      <c r="GQG16" s="342"/>
      <c r="GQH16" s="343"/>
      <c r="GQI16" s="343"/>
      <c r="GQJ16" s="344"/>
      <c r="GQK16" s="344"/>
      <c r="GQL16" s="344"/>
      <c r="GQM16" s="342"/>
      <c r="GQN16" s="342"/>
      <c r="GQO16" s="342"/>
      <c r="GQP16" s="343"/>
      <c r="GQQ16" s="343"/>
      <c r="GQR16" s="344"/>
      <c r="GQS16" s="344"/>
      <c r="GQT16" s="344"/>
      <c r="GQU16" s="342"/>
      <c r="GQV16" s="342"/>
      <c r="GQW16" s="342"/>
      <c r="GQX16" s="343"/>
      <c r="GQY16" s="343"/>
      <c r="GQZ16" s="344"/>
      <c r="GRA16" s="344"/>
      <c r="GRB16" s="344"/>
      <c r="GRC16" s="342"/>
      <c r="GRD16" s="342"/>
      <c r="GRE16" s="342"/>
      <c r="GRF16" s="343"/>
      <c r="GRG16" s="343"/>
      <c r="GRH16" s="344"/>
      <c r="GRI16" s="344"/>
      <c r="GRJ16" s="344"/>
      <c r="GRK16" s="342"/>
      <c r="GRL16" s="342"/>
      <c r="GRM16" s="342"/>
      <c r="GRN16" s="343"/>
      <c r="GRO16" s="343"/>
      <c r="GRP16" s="344"/>
      <c r="GRQ16" s="344"/>
      <c r="GRR16" s="344"/>
      <c r="GRS16" s="342"/>
      <c r="GRT16" s="342"/>
      <c r="GRU16" s="342"/>
      <c r="GRV16" s="343"/>
      <c r="GRW16" s="343"/>
      <c r="GRX16" s="344"/>
      <c r="GRY16" s="344"/>
      <c r="GRZ16" s="344"/>
      <c r="GSA16" s="342"/>
      <c r="GSB16" s="342"/>
      <c r="GSC16" s="342"/>
      <c r="GSD16" s="343"/>
      <c r="GSE16" s="343"/>
      <c r="GSF16" s="344"/>
      <c r="GSG16" s="344"/>
      <c r="GSH16" s="344"/>
      <c r="GSI16" s="342"/>
      <c r="GSJ16" s="342"/>
      <c r="GSK16" s="342"/>
      <c r="GSL16" s="343"/>
      <c r="GSM16" s="343"/>
      <c r="GSN16" s="344"/>
      <c r="GSO16" s="344"/>
      <c r="GSP16" s="344"/>
      <c r="GSQ16" s="342"/>
      <c r="GSR16" s="342"/>
      <c r="GSS16" s="342"/>
      <c r="GST16" s="343"/>
      <c r="GSU16" s="343"/>
      <c r="GSV16" s="344"/>
      <c r="GSW16" s="344"/>
      <c r="GSX16" s="344"/>
      <c r="GSY16" s="342"/>
      <c r="GSZ16" s="342"/>
      <c r="GTA16" s="342"/>
      <c r="GTB16" s="343"/>
      <c r="GTC16" s="343"/>
      <c r="GTD16" s="344"/>
      <c r="GTE16" s="344"/>
      <c r="GTF16" s="344"/>
      <c r="GTG16" s="342"/>
      <c r="GTH16" s="342"/>
      <c r="GTI16" s="342"/>
      <c r="GTJ16" s="343"/>
      <c r="GTK16" s="343"/>
      <c r="GTL16" s="344"/>
      <c r="GTM16" s="344"/>
      <c r="GTN16" s="344"/>
      <c r="GTO16" s="342"/>
      <c r="GTP16" s="342"/>
      <c r="GTQ16" s="342"/>
      <c r="GTR16" s="343"/>
      <c r="GTS16" s="343"/>
      <c r="GTT16" s="344"/>
      <c r="GTU16" s="344"/>
      <c r="GTV16" s="344"/>
      <c r="GTW16" s="342"/>
      <c r="GTX16" s="342"/>
      <c r="GTY16" s="342"/>
      <c r="GTZ16" s="343"/>
      <c r="GUA16" s="343"/>
      <c r="GUB16" s="344"/>
      <c r="GUC16" s="344"/>
      <c r="GUD16" s="344"/>
      <c r="GUE16" s="342"/>
      <c r="GUF16" s="342"/>
      <c r="GUG16" s="342"/>
      <c r="GUH16" s="343"/>
      <c r="GUI16" s="343"/>
      <c r="GUJ16" s="344"/>
      <c r="GUK16" s="344"/>
      <c r="GUL16" s="344"/>
      <c r="GUM16" s="342"/>
      <c r="GUN16" s="342"/>
      <c r="GUO16" s="342"/>
      <c r="GUP16" s="343"/>
      <c r="GUQ16" s="343"/>
      <c r="GUR16" s="344"/>
      <c r="GUS16" s="344"/>
      <c r="GUT16" s="344"/>
      <c r="GUU16" s="342"/>
      <c r="GUV16" s="342"/>
      <c r="GUW16" s="342"/>
      <c r="GUX16" s="343"/>
      <c r="GUY16" s="343"/>
      <c r="GUZ16" s="344"/>
      <c r="GVA16" s="344"/>
      <c r="GVB16" s="344"/>
      <c r="GVC16" s="342"/>
      <c r="GVD16" s="342"/>
      <c r="GVE16" s="342"/>
      <c r="GVF16" s="343"/>
      <c r="GVG16" s="343"/>
      <c r="GVH16" s="344"/>
      <c r="GVI16" s="344"/>
      <c r="GVJ16" s="344"/>
      <c r="GVK16" s="342"/>
      <c r="GVL16" s="342"/>
      <c r="GVM16" s="342"/>
      <c r="GVN16" s="343"/>
      <c r="GVO16" s="343"/>
      <c r="GVP16" s="344"/>
      <c r="GVQ16" s="344"/>
      <c r="GVR16" s="344"/>
      <c r="GVS16" s="342"/>
      <c r="GVT16" s="342"/>
      <c r="GVU16" s="342"/>
      <c r="GVV16" s="343"/>
      <c r="GVW16" s="343"/>
      <c r="GVX16" s="344"/>
      <c r="GVY16" s="344"/>
      <c r="GVZ16" s="344"/>
      <c r="GWA16" s="342"/>
      <c r="GWB16" s="342"/>
      <c r="GWC16" s="342"/>
      <c r="GWD16" s="343"/>
      <c r="GWE16" s="343"/>
      <c r="GWF16" s="344"/>
      <c r="GWG16" s="344"/>
      <c r="GWH16" s="344"/>
      <c r="GWI16" s="342"/>
      <c r="GWJ16" s="342"/>
      <c r="GWK16" s="342"/>
      <c r="GWL16" s="343"/>
      <c r="GWM16" s="343"/>
      <c r="GWN16" s="344"/>
      <c r="GWO16" s="344"/>
      <c r="GWP16" s="344"/>
      <c r="GWQ16" s="342"/>
      <c r="GWR16" s="342"/>
      <c r="GWS16" s="342"/>
      <c r="GWT16" s="343"/>
      <c r="GWU16" s="343"/>
      <c r="GWV16" s="344"/>
      <c r="GWW16" s="344"/>
      <c r="GWX16" s="344"/>
      <c r="GWY16" s="342"/>
      <c r="GWZ16" s="342"/>
      <c r="GXA16" s="342"/>
      <c r="GXB16" s="343"/>
      <c r="GXC16" s="343"/>
      <c r="GXD16" s="344"/>
      <c r="GXE16" s="344"/>
      <c r="GXF16" s="344"/>
      <c r="GXG16" s="342"/>
      <c r="GXH16" s="342"/>
      <c r="GXI16" s="342"/>
      <c r="GXJ16" s="343"/>
      <c r="GXK16" s="343"/>
      <c r="GXL16" s="344"/>
      <c r="GXM16" s="344"/>
      <c r="GXN16" s="344"/>
      <c r="GXO16" s="342"/>
      <c r="GXP16" s="342"/>
      <c r="GXQ16" s="342"/>
      <c r="GXR16" s="343"/>
      <c r="GXS16" s="343"/>
      <c r="GXT16" s="344"/>
      <c r="GXU16" s="344"/>
      <c r="GXV16" s="344"/>
      <c r="GXW16" s="342"/>
      <c r="GXX16" s="342"/>
      <c r="GXY16" s="342"/>
      <c r="GXZ16" s="343"/>
      <c r="GYA16" s="343"/>
      <c r="GYB16" s="344"/>
      <c r="GYC16" s="344"/>
      <c r="GYD16" s="344"/>
      <c r="GYE16" s="342"/>
      <c r="GYF16" s="342"/>
      <c r="GYG16" s="342"/>
      <c r="GYH16" s="343"/>
      <c r="GYI16" s="343"/>
      <c r="GYJ16" s="344"/>
      <c r="GYK16" s="344"/>
      <c r="GYL16" s="344"/>
      <c r="GYM16" s="342"/>
      <c r="GYN16" s="342"/>
      <c r="GYO16" s="342"/>
      <c r="GYP16" s="343"/>
      <c r="GYQ16" s="343"/>
      <c r="GYR16" s="344"/>
      <c r="GYS16" s="344"/>
      <c r="GYT16" s="344"/>
      <c r="GYU16" s="342"/>
      <c r="GYV16" s="342"/>
      <c r="GYW16" s="342"/>
      <c r="GYX16" s="343"/>
      <c r="GYY16" s="343"/>
      <c r="GYZ16" s="344"/>
      <c r="GZA16" s="344"/>
      <c r="GZB16" s="344"/>
      <c r="GZC16" s="342"/>
      <c r="GZD16" s="342"/>
      <c r="GZE16" s="342"/>
      <c r="GZF16" s="343"/>
      <c r="GZG16" s="343"/>
      <c r="GZH16" s="344"/>
      <c r="GZI16" s="344"/>
      <c r="GZJ16" s="344"/>
      <c r="GZK16" s="342"/>
      <c r="GZL16" s="342"/>
      <c r="GZM16" s="342"/>
      <c r="GZN16" s="343"/>
      <c r="GZO16" s="343"/>
      <c r="GZP16" s="344"/>
      <c r="GZQ16" s="344"/>
      <c r="GZR16" s="344"/>
      <c r="GZS16" s="342"/>
      <c r="GZT16" s="342"/>
      <c r="GZU16" s="342"/>
      <c r="GZV16" s="343"/>
      <c r="GZW16" s="343"/>
      <c r="GZX16" s="344"/>
      <c r="GZY16" s="344"/>
      <c r="GZZ16" s="344"/>
      <c r="HAA16" s="342"/>
      <c r="HAB16" s="342"/>
      <c r="HAC16" s="342"/>
      <c r="HAD16" s="343"/>
      <c r="HAE16" s="343"/>
      <c r="HAF16" s="344"/>
      <c r="HAG16" s="344"/>
      <c r="HAH16" s="344"/>
      <c r="HAI16" s="342"/>
      <c r="HAJ16" s="342"/>
      <c r="HAK16" s="342"/>
      <c r="HAL16" s="343"/>
      <c r="HAM16" s="343"/>
      <c r="HAN16" s="344"/>
      <c r="HAO16" s="344"/>
      <c r="HAP16" s="344"/>
      <c r="HAQ16" s="342"/>
      <c r="HAR16" s="342"/>
      <c r="HAS16" s="342"/>
      <c r="HAT16" s="343"/>
      <c r="HAU16" s="343"/>
      <c r="HAV16" s="344"/>
      <c r="HAW16" s="344"/>
      <c r="HAX16" s="344"/>
      <c r="HAY16" s="342"/>
      <c r="HAZ16" s="342"/>
      <c r="HBA16" s="342"/>
      <c r="HBB16" s="343"/>
      <c r="HBC16" s="343"/>
      <c r="HBD16" s="344"/>
      <c r="HBE16" s="344"/>
      <c r="HBF16" s="344"/>
      <c r="HBG16" s="342"/>
      <c r="HBH16" s="342"/>
      <c r="HBI16" s="342"/>
      <c r="HBJ16" s="343"/>
      <c r="HBK16" s="343"/>
      <c r="HBL16" s="344"/>
      <c r="HBM16" s="344"/>
      <c r="HBN16" s="344"/>
      <c r="HBO16" s="342"/>
      <c r="HBP16" s="342"/>
      <c r="HBQ16" s="342"/>
      <c r="HBR16" s="343"/>
      <c r="HBS16" s="343"/>
      <c r="HBT16" s="344"/>
      <c r="HBU16" s="344"/>
      <c r="HBV16" s="344"/>
      <c r="HBW16" s="342"/>
      <c r="HBX16" s="342"/>
      <c r="HBY16" s="342"/>
      <c r="HBZ16" s="343"/>
      <c r="HCA16" s="343"/>
      <c r="HCB16" s="344"/>
      <c r="HCC16" s="344"/>
      <c r="HCD16" s="344"/>
      <c r="HCE16" s="342"/>
      <c r="HCF16" s="342"/>
      <c r="HCG16" s="342"/>
      <c r="HCH16" s="343"/>
      <c r="HCI16" s="343"/>
      <c r="HCJ16" s="344"/>
      <c r="HCK16" s="344"/>
      <c r="HCL16" s="344"/>
      <c r="HCM16" s="342"/>
      <c r="HCN16" s="342"/>
      <c r="HCO16" s="342"/>
      <c r="HCP16" s="343"/>
      <c r="HCQ16" s="343"/>
      <c r="HCR16" s="344"/>
      <c r="HCS16" s="344"/>
      <c r="HCT16" s="344"/>
      <c r="HCU16" s="342"/>
      <c r="HCV16" s="342"/>
      <c r="HCW16" s="342"/>
      <c r="HCX16" s="343"/>
      <c r="HCY16" s="343"/>
      <c r="HCZ16" s="344"/>
      <c r="HDA16" s="344"/>
      <c r="HDB16" s="344"/>
      <c r="HDC16" s="342"/>
      <c r="HDD16" s="342"/>
      <c r="HDE16" s="342"/>
      <c r="HDF16" s="343"/>
      <c r="HDG16" s="343"/>
      <c r="HDH16" s="344"/>
      <c r="HDI16" s="344"/>
      <c r="HDJ16" s="344"/>
      <c r="HDK16" s="342"/>
      <c r="HDL16" s="342"/>
      <c r="HDM16" s="342"/>
      <c r="HDN16" s="343"/>
      <c r="HDO16" s="343"/>
      <c r="HDP16" s="344"/>
      <c r="HDQ16" s="344"/>
      <c r="HDR16" s="344"/>
      <c r="HDS16" s="342"/>
      <c r="HDT16" s="342"/>
      <c r="HDU16" s="342"/>
      <c r="HDV16" s="343"/>
      <c r="HDW16" s="343"/>
      <c r="HDX16" s="344"/>
      <c r="HDY16" s="344"/>
      <c r="HDZ16" s="344"/>
      <c r="HEA16" s="342"/>
      <c r="HEB16" s="342"/>
      <c r="HEC16" s="342"/>
      <c r="HED16" s="343"/>
      <c r="HEE16" s="343"/>
      <c r="HEF16" s="344"/>
      <c r="HEG16" s="344"/>
      <c r="HEH16" s="344"/>
      <c r="HEI16" s="342"/>
      <c r="HEJ16" s="342"/>
      <c r="HEK16" s="342"/>
      <c r="HEL16" s="343"/>
      <c r="HEM16" s="343"/>
      <c r="HEN16" s="344"/>
      <c r="HEO16" s="344"/>
      <c r="HEP16" s="344"/>
      <c r="HEQ16" s="342"/>
      <c r="HER16" s="342"/>
      <c r="HES16" s="342"/>
      <c r="HET16" s="343"/>
      <c r="HEU16" s="343"/>
      <c r="HEV16" s="344"/>
      <c r="HEW16" s="344"/>
      <c r="HEX16" s="344"/>
      <c r="HEY16" s="342"/>
      <c r="HEZ16" s="342"/>
      <c r="HFA16" s="342"/>
      <c r="HFB16" s="343"/>
      <c r="HFC16" s="343"/>
      <c r="HFD16" s="344"/>
      <c r="HFE16" s="344"/>
      <c r="HFF16" s="344"/>
      <c r="HFG16" s="342"/>
      <c r="HFH16" s="342"/>
      <c r="HFI16" s="342"/>
      <c r="HFJ16" s="343"/>
      <c r="HFK16" s="343"/>
      <c r="HFL16" s="344"/>
      <c r="HFM16" s="344"/>
      <c r="HFN16" s="344"/>
      <c r="HFO16" s="342"/>
      <c r="HFP16" s="342"/>
      <c r="HFQ16" s="342"/>
      <c r="HFR16" s="343"/>
      <c r="HFS16" s="343"/>
      <c r="HFT16" s="344"/>
      <c r="HFU16" s="344"/>
      <c r="HFV16" s="344"/>
      <c r="HFW16" s="342"/>
      <c r="HFX16" s="342"/>
      <c r="HFY16" s="342"/>
      <c r="HFZ16" s="343"/>
      <c r="HGA16" s="343"/>
      <c r="HGB16" s="344"/>
      <c r="HGC16" s="344"/>
      <c r="HGD16" s="344"/>
      <c r="HGE16" s="342"/>
      <c r="HGF16" s="342"/>
      <c r="HGG16" s="342"/>
      <c r="HGH16" s="343"/>
      <c r="HGI16" s="343"/>
      <c r="HGJ16" s="344"/>
      <c r="HGK16" s="344"/>
      <c r="HGL16" s="344"/>
      <c r="HGM16" s="342"/>
      <c r="HGN16" s="342"/>
      <c r="HGO16" s="342"/>
      <c r="HGP16" s="343"/>
      <c r="HGQ16" s="343"/>
      <c r="HGR16" s="344"/>
      <c r="HGS16" s="344"/>
      <c r="HGT16" s="344"/>
      <c r="HGU16" s="342"/>
      <c r="HGV16" s="342"/>
      <c r="HGW16" s="342"/>
      <c r="HGX16" s="343"/>
      <c r="HGY16" s="343"/>
      <c r="HGZ16" s="344"/>
      <c r="HHA16" s="344"/>
      <c r="HHB16" s="344"/>
      <c r="HHC16" s="342"/>
      <c r="HHD16" s="342"/>
      <c r="HHE16" s="342"/>
      <c r="HHF16" s="343"/>
      <c r="HHG16" s="343"/>
      <c r="HHH16" s="344"/>
      <c r="HHI16" s="344"/>
      <c r="HHJ16" s="344"/>
      <c r="HHK16" s="342"/>
      <c r="HHL16" s="342"/>
      <c r="HHM16" s="342"/>
      <c r="HHN16" s="343"/>
      <c r="HHO16" s="343"/>
      <c r="HHP16" s="344"/>
      <c r="HHQ16" s="344"/>
      <c r="HHR16" s="344"/>
      <c r="HHS16" s="342"/>
      <c r="HHT16" s="342"/>
      <c r="HHU16" s="342"/>
      <c r="HHV16" s="343"/>
      <c r="HHW16" s="343"/>
      <c r="HHX16" s="344"/>
      <c r="HHY16" s="344"/>
      <c r="HHZ16" s="344"/>
      <c r="HIA16" s="342"/>
      <c r="HIB16" s="342"/>
      <c r="HIC16" s="342"/>
      <c r="HID16" s="343"/>
      <c r="HIE16" s="343"/>
      <c r="HIF16" s="344"/>
      <c r="HIG16" s="344"/>
      <c r="HIH16" s="344"/>
      <c r="HII16" s="342"/>
      <c r="HIJ16" s="342"/>
      <c r="HIK16" s="342"/>
      <c r="HIL16" s="343"/>
      <c r="HIM16" s="343"/>
      <c r="HIN16" s="344"/>
      <c r="HIO16" s="344"/>
      <c r="HIP16" s="344"/>
      <c r="HIQ16" s="342"/>
      <c r="HIR16" s="342"/>
      <c r="HIS16" s="342"/>
      <c r="HIT16" s="343"/>
      <c r="HIU16" s="343"/>
      <c r="HIV16" s="344"/>
      <c r="HIW16" s="344"/>
      <c r="HIX16" s="344"/>
      <c r="HIY16" s="342"/>
      <c r="HIZ16" s="342"/>
      <c r="HJA16" s="342"/>
      <c r="HJB16" s="343"/>
      <c r="HJC16" s="343"/>
      <c r="HJD16" s="344"/>
      <c r="HJE16" s="344"/>
      <c r="HJF16" s="344"/>
      <c r="HJG16" s="342"/>
      <c r="HJH16" s="342"/>
      <c r="HJI16" s="342"/>
      <c r="HJJ16" s="343"/>
      <c r="HJK16" s="343"/>
      <c r="HJL16" s="344"/>
      <c r="HJM16" s="344"/>
      <c r="HJN16" s="344"/>
      <c r="HJO16" s="342"/>
      <c r="HJP16" s="342"/>
      <c r="HJQ16" s="342"/>
      <c r="HJR16" s="343"/>
      <c r="HJS16" s="343"/>
      <c r="HJT16" s="344"/>
      <c r="HJU16" s="344"/>
      <c r="HJV16" s="344"/>
      <c r="HJW16" s="342"/>
      <c r="HJX16" s="342"/>
      <c r="HJY16" s="342"/>
      <c r="HJZ16" s="343"/>
      <c r="HKA16" s="343"/>
      <c r="HKB16" s="344"/>
      <c r="HKC16" s="344"/>
      <c r="HKD16" s="344"/>
      <c r="HKE16" s="342"/>
      <c r="HKF16" s="342"/>
      <c r="HKG16" s="342"/>
      <c r="HKH16" s="343"/>
      <c r="HKI16" s="343"/>
      <c r="HKJ16" s="344"/>
      <c r="HKK16" s="344"/>
      <c r="HKL16" s="344"/>
      <c r="HKM16" s="342"/>
      <c r="HKN16" s="342"/>
      <c r="HKO16" s="342"/>
      <c r="HKP16" s="343"/>
      <c r="HKQ16" s="343"/>
      <c r="HKR16" s="344"/>
      <c r="HKS16" s="344"/>
      <c r="HKT16" s="344"/>
      <c r="HKU16" s="342"/>
      <c r="HKV16" s="342"/>
      <c r="HKW16" s="342"/>
      <c r="HKX16" s="343"/>
      <c r="HKY16" s="343"/>
      <c r="HKZ16" s="344"/>
      <c r="HLA16" s="344"/>
      <c r="HLB16" s="344"/>
      <c r="HLC16" s="342"/>
      <c r="HLD16" s="342"/>
      <c r="HLE16" s="342"/>
      <c r="HLF16" s="343"/>
      <c r="HLG16" s="343"/>
      <c r="HLH16" s="344"/>
      <c r="HLI16" s="344"/>
      <c r="HLJ16" s="344"/>
      <c r="HLK16" s="342"/>
      <c r="HLL16" s="342"/>
      <c r="HLM16" s="342"/>
      <c r="HLN16" s="343"/>
      <c r="HLO16" s="343"/>
      <c r="HLP16" s="344"/>
      <c r="HLQ16" s="344"/>
      <c r="HLR16" s="344"/>
      <c r="HLS16" s="342"/>
      <c r="HLT16" s="342"/>
      <c r="HLU16" s="342"/>
      <c r="HLV16" s="343"/>
      <c r="HLW16" s="343"/>
      <c r="HLX16" s="344"/>
      <c r="HLY16" s="344"/>
      <c r="HLZ16" s="344"/>
      <c r="HMA16" s="342"/>
      <c r="HMB16" s="342"/>
      <c r="HMC16" s="342"/>
      <c r="HMD16" s="343"/>
      <c r="HME16" s="343"/>
      <c r="HMF16" s="344"/>
      <c r="HMG16" s="344"/>
      <c r="HMH16" s="344"/>
      <c r="HMI16" s="342"/>
      <c r="HMJ16" s="342"/>
      <c r="HMK16" s="342"/>
      <c r="HML16" s="343"/>
      <c r="HMM16" s="343"/>
      <c r="HMN16" s="344"/>
      <c r="HMO16" s="344"/>
      <c r="HMP16" s="344"/>
      <c r="HMQ16" s="342"/>
      <c r="HMR16" s="342"/>
      <c r="HMS16" s="342"/>
      <c r="HMT16" s="343"/>
      <c r="HMU16" s="343"/>
      <c r="HMV16" s="344"/>
      <c r="HMW16" s="344"/>
      <c r="HMX16" s="344"/>
      <c r="HMY16" s="342"/>
      <c r="HMZ16" s="342"/>
      <c r="HNA16" s="342"/>
      <c r="HNB16" s="343"/>
      <c r="HNC16" s="343"/>
      <c r="HND16" s="344"/>
      <c r="HNE16" s="344"/>
      <c r="HNF16" s="344"/>
      <c r="HNG16" s="342"/>
      <c r="HNH16" s="342"/>
      <c r="HNI16" s="342"/>
      <c r="HNJ16" s="343"/>
      <c r="HNK16" s="343"/>
      <c r="HNL16" s="344"/>
      <c r="HNM16" s="344"/>
      <c r="HNN16" s="344"/>
      <c r="HNO16" s="342"/>
      <c r="HNP16" s="342"/>
      <c r="HNQ16" s="342"/>
      <c r="HNR16" s="343"/>
      <c r="HNS16" s="343"/>
      <c r="HNT16" s="344"/>
      <c r="HNU16" s="344"/>
      <c r="HNV16" s="344"/>
      <c r="HNW16" s="342"/>
      <c r="HNX16" s="342"/>
      <c r="HNY16" s="342"/>
      <c r="HNZ16" s="343"/>
      <c r="HOA16" s="343"/>
      <c r="HOB16" s="344"/>
      <c r="HOC16" s="344"/>
      <c r="HOD16" s="344"/>
      <c r="HOE16" s="342"/>
      <c r="HOF16" s="342"/>
      <c r="HOG16" s="342"/>
      <c r="HOH16" s="343"/>
      <c r="HOI16" s="343"/>
      <c r="HOJ16" s="344"/>
      <c r="HOK16" s="344"/>
      <c r="HOL16" s="344"/>
      <c r="HOM16" s="342"/>
      <c r="HON16" s="342"/>
      <c r="HOO16" s="342"/>
      <c r="HOP16" s="343"/>
      <c r="HOQ16" s="343"/>
      <c r="HOR16" s="344"/>
      <c r="HOS16" s="344"/>
      <c r="HOT16" s="344"/>
      <c r="HOU16" s="342"/>
      <c r="HOV16" s="342"/>
      <c r="HOW16" s="342"/>
      <c r="HOX16" s="343"/>
      <c r="HOY16" s="343"/>
      <c r="HOZ16" s="344"/>
      <c r="HPA16" s="344"/>
      <c r="HPB16" s="344"/>
      <c r="HPC16" s="342"/>
      <c r="HPD16" s="342"/>
      <c r="HPE16" s="342"/>
      <c r="HPF16" s="343"/>
      <c r="HPG16" s="343"/>
      <c r="HPH16" s="344"/>
      <c r="HPI16" s="344"/>
      <c r="HPJ16" s="344"/>
      <c r="HPK16" s="342"/>
      <c r="HPL16" s="342"/>
      <c r="HPM16" s="342"/>
      <c r="HPN16" s="343"/>
      <c r="HPO16" s="343"/>
      <c r="HPP16" s="344"/>
      <c r="HPQ16" s="344"/>
      <c r="HPR16" s="344"/>
      <c r="HPS16" s="342"/>
      <c r="HPT16" s="342"/>
      <c r="HPU16" s="342"/>
      <c r="HPV16" s="343"/>
      <c r="HPW16" s="343"/>
      <c r="HPX16" s="344"/>
      <c r="HPY16" s="344"/>
      <c r="HPZ16" s="344"/>
      <c r="HQA16" s="342"/>
      <c r="HQB16" s="342"/>
      <c r="HQC16" s="342"/>
      <c r="HQD16" s="343"/>
      <c r="HQE16" s="343"/>
      <c r="HQF16" s="344"/>
      <c r="HQG16" s="344"/>
      <c r="HQH16" s="344"/>
      <c r="HQI16" s="342"/>
      <c r="HQJ16" s="342"/>
      <c r="HQK16" s="342"/>
      <c r="HQL16" s="343"/>
      <c r="HQM16" s="343"/>
      <c r="HQN16" s="344"/>
      <c r="HQO16" s="344"/>
      <c r="HQP16" s="344"/>
      <c r="HQQ16" s="342"/>
      <c r="HQR16" s="342"/>
      <c r="HQS16" s="342"/>
      <c r="HQT16" s="343"/>
      <c r="HQU16" s="343"/>
      <c r="HQV16" s="344"/>
      <c r="HQW16" s="344"/>
      <c r="HQX16" s="344"/>
      <c r="HQY16" s="342"/>
      <c r="HQZ16" s="342"/>
      <c r="HRA16" s="342"/>
      <c r="HRB16" s="343"/>
      <c r="HRC16" s="343"/>
      <c r="HRD16" s="344"/>
      <c r="HRE16" s="344"/>
      <c r="HRF16" s="344"/>
      <c r="HRG16" s="342"/>
      <c r="HRH16" s="342"/>
      <c r="HRI16" s="342"/>
      <c r="HRJ16" s="343"/>
      <c r="HRK16" s="343"/>
      <c r="HRL16" s="344"/>
      <c r="HRM16" s="344"/>
      <c r="HRN16" s="344"/>
      <c r="HRO16" s="342"/>
      <c r="HRP16" s="342"/>
      <c r="HRQ16" s="342"/>
      <c r="HRR16" s="343"/>
      <c r="HRS16" s="343"/>
      <c r="HRT16" s="344"/>
      <c r="HRU16" s="344"/>
      <c r="HRV16" s="344"/>
      <c r="HRW16" s="342"/>
      <c r="HRX16" s="342"/>
      <c r="HRY16" s="342"/>
      <c r="HRZ16" s="343"/>
      <c r="HSA16" s="343"/>
      <c r="HSB16" s="344"/>
      <c r="HSC16" s="344"/>
      <c r="HSD16" s="344"/>
      <c r="HSE16" s="342"/>
      <c r="HSF16" s="342"/>
      <c r="HSG16" s="342"/>
      <c r="HSH16" s="343"/>
      <c r="HSI16" s="343"/>
      <c r="HSJ16" s="344"/>
      <c r="HSK16" s="344"/>
      <c r="HSL16" s="344"/>
      <c r="HSM16" s="342"/>
      <c r="HSN16" s="342"/>
      <c r="HSO16" s="342"/>
      <c r="HSP16" s="343"/>
      <c r="HSQ16" s="343"/>
      <c r="HSR16" s="344"/>
      <c r="HSS16" s="344"/>
      <c r="HST16" s="344"/>
      <c r="HSU16" s="342"/>
      <c r="HSV16" s="342"/>
      <c r="HSW16" s="342"/>
      <c r="HSX16" s="343"/>
      <c r="HSY16" s="343"/>
      <c r="HSZ16" s="344"/>
      <c r="HTA16" s="344"/>
      <c r="HTB16" s="344"/>
      <c r="HTC16" s="342"/>
      <c r="HTD16" s="342"/>
      <c r="HTE16" s="342"/>
      <c r="HTF16" s="343"/>
      <c r="HTG16" s="343"/>
      <c r="HTH16" s="344"/>
      <c r="HTI16" s="344"/>
      <c r="HTJ16" s="344"/>
      <c r="HTK16" s="342"/>
      <c r="HTL16" s="342"/>
      <c r="HTM16" s="342"/>
      <c r="HTN16" s="343"/>
      <c r="HTO16" s="343"/>
      <c r="HTP16" s="344"/>
      <c r="HTQ16" s="344"/>
      <c r="HTR16" s="344"/>
      <c r="HTS16" s="342"/>
      <c r="HTT16" s="342"/>
      <c r="HTU16" s="342"/>
      <c r="HTV16" s="343"/>
      <c r="HTW16" s="343"/>
      <c r="HTX16" s="344"/>
      <c r="HTY16" s="344"/>
      <c r="HTZ16" s="344"/>
      <c r="HUA16" s="342"/>
      <c r="HUB16" s="342"/>
      <c r="HUC16" s="342"/>
      <c r="HUD16" s="343"/>
      <c r="HUE16" s="343"/>
      <c r="HUF16" s="344"/>
      <c r="HUG16" s="344"/>
      <c r="HUH16" s="344"/>
      <c r="HUI16" s="342"/>
      <c r="HUJ16" s="342"/>
      <c r="HUK16" s="342"/>
      <c r="HUL16" s="343"/>
      <c r="HUM16" s="343"/>
      <c r="HUN16" s="344"/>
      <c r="HUO16" s="344"/>
      <c r="HUP16" s="344"/>
      <c r="HUQ16" s="342"/>
      <c r="HUR16" s="342"/>
      <c r="HUS16" s="342"/>
      <c r="HUT16" s="343"/>
      <c r="HUU16" s="343"/>
      <c r="HUV16" s="344"/>
      <c r="HUW16" s="344"/>
      <c r="HUX16" s="344"/>
      <c r="HUY16" s="342"/>
      <c r="HUZ16" s="342"/>
      <c r="HVA16" s="342"/>
      <c r="HVB16" s="343"/>
      <c r="HVC16" s="343"/>
      <c r="HVD16" s="344"/>
      <c r="HVE16" s="344"/>
      <c r="HVF16" s="344"/>
      <c r="HVG16" s="342"/>
      <c r="HVH16" s="342"/>
      <c r="HVI16" s="342"/>
      <c r="HVJ16" s="343"/>
      <c r="HVK16" s="343"/>
      <c r="HVL16" s="344"/>
      <c r="HVM16" s="344"/>
      <c r="HVN16" s="344"/>
      <c r="HVO16" s="342"/>
      <c r="HVP16" s="342"/>
      <c r="HVQ16" s="342"/>
      <c r="HVR16" s="343"/>
      <c r="HVS16" s="343"/>
      <c r="HVT16" s="344"/>
      <c r="HVU16" s="344"/>
      <c r="HVV16" s="344"/>
      <c r="HVW16" s="342"/>
      <c r="HVX16" s="342"/>
      <c r="HVY16" s="342"/>
      <c r="HVZ16" s="343"/>
      <c r="HWA16" s="343"/>
      <c r="HWB16" s="344"/>
      <c r="HWC16" s="344"/>
      <c r="HWD16" s="344"/>
      <c r="HWE16" s="342"/>
      <c r="HWF16" s="342"/>
      <c r="HWG16" s="342"/>
      <c r="HWH16" s="343"/>
      <c r="HWI16" s="343"/>
      <c r="HWJ16" s="344"/>
      <c r="HWK16" s="344"/>
      <c r="HWL16" s="344"/>
      <c r="HWM16" s="342"/>
      <c r="HWN16" s="342"/>
      <c r="HWO16" s="342"/>
      <c r="HWP16" s="343"/>
      <c r="HWQ16" s="343"/>
      <c r="HWR16" s="344"/>
      <c r="HWS16" s="344"/>
      <c r="HWT16" s="344"/>
      <c r="HWU16" s="342"/>
      <c r="HWV16" s="342"/>
      <c r="HWW16" s="342"/>
      <c r="HWX16" s="343"/>
      <c r="HWY16" s="343"/>
      <c r="HWZ16" s="344"/>
      <c r="HXA16" s="344"/>
      <c r="HXB16" s="344"/>
      <c r="HXC16" s="342"/>
      <c r="HXD16" s="342"/>
      <c r="HXE16" s="342"/>
      <c r="HXF16" s="343"/>
      <c r="HXG16" s="343"/>
      <c r="HXH16" s="344"/>
      <c r="HXI16" s="344"/>
      <c r="HXJ16" s="344"/>
      <c r="HXK16" s="342"/>
      <c r="HXL16" s="342"/>
      <c r="HXM16" s="342"/>
      <c r="HXN16" s="343"/>
      <c r="HXO16" s="343"/>
      <c r="HXP16" s="344"/>
      <c r="HXQ16" s="344"/>
      <c r="HXR16" s="344"/>
      <c r="HXS16" s="342"/>
      <c r="HXT16" s="342"/>
      <c r="HXU16" s="342"/>
      <c r="HXV16" s="343"/>
      <c r="HXW16" s="343"/>
      <c r="HXX16" s="344"/>
      <c r="HXY16" s="344"/>
      <c r="HXZ16" s="344"/>
      <c r="HYA16" s="342"/>
      <c r="HYB16" s="342"/>
      <c r="HYC16" s="342"/>
      <c r="HYD16" s="343"/>
      <c r="HYE16" s="343"/>
      <c r="HYF16" s="344"/>
      <c r="HYG16" s="344"/>
      <c r="HYH16" s="344"/>
      <c r="HYI16" s="342"/>
      <c r="HYJ16" s="342"/>
      <c r="HYK16" s="342"/>
      <c r="HYL16" s="343"/>
      <c r="HYM16" s="343"/>
      <c r="HYN16" s="344"/>
      <c r="HYO16" s="344"/>
      <c r="HYP16" s="344"/>
      <c r="HYQ16" s="342"/>
      <c r="HYR16" s="342"/>
      <c r="HYS16" s="342"/>
      <c r="HYT16" s="343"/>
      <c r="HYU16" s="343"/>
      <c r="HYV16" s="344"/>
      <c r="HYW16" s="344"/>
      <c r="HYX16" s="344"/>
      <c r="HYY16" s="342"/>
      <c r="HYZ16" s="342"/>
      <c r="HZA16" s="342"/>
      <c r="HZB16" s="343"/>
      <c r="HZC16" s="343"/>
      <c r="HZD16" s="344"/>
      <c r="HZE16" s="344"/>
      <c r="HZF16" s="344"/>
      <c r="HZG16" s="342"/>
      <c r="HZH16" s="342"/>
      <c r="HZI16" s="342"/>
      <c r="HZJ16" s="343"/>
      <c r="HZK16" s="343"/>
      <c r="HZL16" s="344"/>
      <c r="HZM16" s="344"/>
      <c r="HZN16" s="344"/>
      <c r="HZO16" s="342"/>
      <c r="HZP16" s="342"/>
      <c r="HZQ16" s="342"/>
      <c r="HZR16" s="343"/>
      <c r="HZS16" s="343"/>
      <c r="HZT16" s="344"/>
      <c r="HZU16" s="344"/>
      <c r="HZV16" s="344"/>
      <c r="HZW16" s="342"/>
      <c r="HZX16" s="342"/>
      <c r="HZY16" s="342"/>
      <c r="HZZ16" s="343"/>
      <c r="IAA16" s="343"/>
      <c r="IAB16" s="344"/>
      <c r="IAC16" s="344"/>
      <c r="IAD16" s="344"/>
      <c r="IAE16" s="342"/>
      <c r="IAF16" s="342"/>
      <c r="IAG16" s="342"/>
      <c r="IAH16" s="343"/>
      <c r="IAI16" s="343"/>
      <c r="IAJ16" s="344"/>
      <c r="IAK16" s="344"/>
      <c r="IAL16" s="344"/>
      <c r="IAM16" s="342"/>
      <c r="IAN16" s="342"/>
      <c r="IAO16" s="342"/>
      <c r="IAP16" s="343"/>
      <c r="IAQ16" s="343"/>
      <c r="IAR16" s="344"/>
      <c r="IAS16" s="344"/>
      <c r="IAT16" s="344"/>
      <c r="IAU16" s="342"/>
      <c r="IAV16" s="342"/>
      <c r="IAW16" s="342"/>
      <c r="IAX16" s="343"/>
      <c r="IAY16" s="343"/>
      <c r="IAZ16" s="344"/>
      <c r="IBA16" s="344"/>
      <c r="IBB16" s="344"/>
      <c r="IBC16" s="342"/>
      <c r="IBD16" s="342"/>
      <c r="IBE16" s="342"/>
      <c r="IBF16" s="343"/>
      <c r="IBG16" s="343"/>
      <c r="IBH16" s="344"/>
      <c r="IBI16" s="344"/>
      <c r="IBJ16" s="344"/>
      <c r="IBK16" s="342"/>
      <c r="IBL16" s="342"/>
      <c r="IBM16" s="342"/>
      <c r="IBN16" s="343"/>
      <c r="IBO16" s="343"/>
      <c r="IBP16" s="344"/>
      <c r="IBQ16" s="344"/>
      <c r="IBR16" s="344"/>
      <c r="IBS16" s="342"/>
      <c r="IBT16" s="342"/>
      <c r="IBU16" s="342"/>
      <c r="IBV16" s="343"/>
      <c r="IBW16" s="343"/>
      <c r="IBX16" s="344"/>
      <c r="IBY16" s="344"/>
      <c r="IBZ16" s="344"/>
      <c r="ICA16" s="342"/>
      <c r="ICB16" s="342"/>
      <c r="ICC16" s="342"/>
      <c r="ICD16" s="343"/>
      <c r="ICE16" s="343"/>
      <c r="ICF16" s="344"/>
      <c r="ICG16" s="344"/>
      <c r="ICH16" s="344"/>
      <c r="ICI16" s="342"/>
      <c r="ICJ16" s="342"/>
      <c r="ICK16" s="342"/>
      <c r="ICL16" s="343"/>
      <c r="ICM16" s="343"/>
      <c r="ICN16" s="344"/>
      <c r="ICO16" s="344"/>
      <c r="ICP16" s="344"/>
      <c r="ICQ16" s="342"/>
      <c r="ICR16" s="342"/>
      <c r="ICS16" s="342"/>
      <c r="ICT16" s="343"/>
      <c r="ICU16" s="343"/>
      <c r="ICV16" s="344"/>
      <c r="ICW16" s="344"/>
      <c r="ICX16" s="344"/>
      <c r="ICY16" s="342"/>
      <c r="ICZ16" s="342"/>
      <c r="IDA16" s="342"/>
      <c r="IDB16" s="343"/>
      <c r="IDC16" s="343"/>
      <c r="IDD16" s="344"/>
      <c r="IDE16" s="344"/>
      <c r="IDF16" s="344"/>
      <c r="IDG16" s="342"/>
      <c r="IDH16" s="342"/>
      <c r="IDI16" s="342"/>
      <c r="IDJ16" s="343"/>
      <c r="IDK16" s="343"/>
      <c r="IDL16" s="344"/>
      <c r="IDM16" s="344"/>
      <c r="IDN16" s="344"/>
      <c r="IDO16" s="342"/>
      <c r="IDP16" s="342"/>
      <c r="IDQ16" s="342"/>
      <c r="IDR16" s="343"/>
      <c r="IDS16" s="343"/>
      <c r="IDT16" s="344"/>
      <c r="IDU16" s="344"/>
      <c r="IDV16" s="344"/>
      <c r="IDW16" s="342"/>
      <c r="IDX16" s="342"/>
      <c r="IDY16" s="342"/>
      <c r="IDZ16" s="343"/>
      <c r="IEA16" s="343"/>
      <c r="IEB16" s="344"/>
      <c r="IEC16" s="344"/>
      <c r="IED16" s="344"/>
      <c r="IEE16" s="342"/>
      <c r="IEF16" s="342"/>
      <c r="IEG16" s="342"/>
      <c r="IEH16" s="343"/>
      <c r="IEI16" s="343"/>
      <c r="IEJ16" s="344"/>
      <c r="IEK16" s="344"/>
      <c r="IEL16" s="344"/>
      <c r="IEM16" s="342"/>
      <c r="IEN16" s="342"/>
      <c r="IEO16" s="342"/>
      <c r="IEP16" s="343"/>
      <c r="IEQ16" s="343"/>
      <c r="IER16" s="344"/>
      <c r="IES16" s="344"/>
      <c r="IET16" s="344"/>
      <c r="IEU16" s="342"/>
      <c r="IEV16" s="342"/>
      <c r="IEW16" s="342"/>
      <c r="IEX16" s="343"/>
      <c r="IEY16" s="343"/>
      <c r="IEZ16" s="344"/>
      <c r="IFA16" s="344"/>
      <c r="IFB16" s="344"/>
      <c r="IFC16" s="342"/>
      <c r="IFD16" s="342"/>
      <c r="IFE16" s="342"/>
      <c r="IFF16" s="343"/>
      <c r="IFG16" s="343"/>
      <c r="IFH16" s="344"/>
      <c r="IFI16" s="344"/>
      <c r="IFJ16" s="344"/>
      <c r="IFK16" s="342"/>
      <c r="IFL16" s="342"/>
      <c r="IFM16" s="342"/>
      <c r="IFN16" s="343"/>
      <c r="IFO16" s="343"/>
      <c r="IFP16" s="344"/>
      <c r="IFQ16" s="344"/>
      <c r="IFR16" s="344"/>
      <c r="IFS16" s="342"/>
      <c r="IFT16" s="342"/>
      <c r="IFU16" s="342"/>
      <c r="IFV16" s="343"/>
      <c r="IFW16" s="343"/>
      <c r="IFX16" s="344"/>
      <c r="IFY16" s="344"/>
      <c r="IFZ16" s="344"/>
      <c r="IGA16" s="342"/>
      <c r="IGB16" s="342"/>
      <c r="IGC16" s="342"/>
      <c r="IGD16" s="343"/>
      <c r="IGE16" s="343"/>
      <c r="IGF16" s="344"/>
      <c r="IGG16" s="344"/>
      <c r="IGH16" s="344"/>
      <c r="IGI16" s="342"/>
      <c r="IGJ16" s="342"/>
      <c r="IGK16" s="342"/>
      <c r="IGL16" s="343"/>
      <c r="IGM16" s="343"/>
      <c r="IGN16" s="344"/>
      <c r="IGO16" s="344"/>
      <c r="IGP16" s="344"/>
      <c r="IGQ16" s="342"/>
      <c r="IGR16" s="342"/>
      <c r="IGS16" s="342"/>
      <c r="IGT16" s="343"/>
      <c r="IGU16" s="343"/>
      <c r="IGV16" s="344"/>
      <c r="IGW16" s="344"/>
      <c r="IGX16" s="344"/>
      <c r="IGY16" s="342"/>
      <c r="IGZ16" s="342"/>
      <c r="IHA16" s="342"/>
      <c r="IHB16" s="343"/>
      <c r="IHC16" s="343"/>
      <c r="IHD16" s="344"/>
      <c r="IHE16" s="344"/>
      <c r="IHF16" s="344"/>
      <c r="IHG16" s="342"/>
      <c r="IHH16" s="342"/>
      <c r="IHI16" s="342"/>
      <c r="IHJ16" s="343"/>
      <c r="IHK16" s="343"/>
      <c r="IHL16" s="344"/>
      <c r="IHM16" s="344"/>
      <c r="IHN16" s="344"/>
      <c r="IHO16" s="342"/>
      <c r="IHP16" s="342"/>
      <c r="IHQ16" s="342"/>
      <c r="IHR16" s="343"/>
      <c r="IHS16" s="343"/>
      <c r="IHT16" s="344"/>
      <c r="IHU16" s="344"/>
      <c r="IHV16" s="344"/>
      <c r="IHW16" s="342"/>
      <c r="IHX16" s="342"/>
      <c r="IHY16" s="342"/>
      <c r="IHZ16" s="343"/>
      <c r="IIA16" s="343"/>
      <c r="IIB16" s="344"/>
      <c r="IIC16" s="344"/>
      <c r="IID16" s="344"/>
      <c r="IIE16" s="342"/>
      <c r="IIF16" s="342"/>
      <c r="IIG16" s="342"/>
      <c r="IIH16" s="343"/>
      <c r="III16" s="343"/>
      <c r="IIJ16" s="344"/>
      <c r="IIK16" s="344"/>
      <c r="IIL16" s="344"/>
      <c r="IIM16" s="342"/>
      <c r="IIN16" s="342"/>
      <c r="IIO16" s="342"/>
      <c r="IIP16" s="343"/>
      <c r="IIQ16" s="343"/>
      <c r="IIR16" s="344"/>
      <c r="IIS16" s="344"/>
      <c r="IIT16" s="344"/>
      <c r="IIU16" s="342"/>
      <c r="IIV16" s="342"/>
      <c r="IIW16" s="342"/>
      <c r="IIX16" s="343"/>
      <c r="IIY16" s="343"/>
      <c r="IIZ16" s="344"/>
      <c r="IJA16" s="344"/>
      <c r="IJB16" s="344"/>
      <c r="IJC16" s="342"/>
      <c r="IJD16" s="342"/>
      <c r="IJE16" s="342"/>
      <c r="IJF16" s="343"/>
      <c r="IJG16" s="343"/>
      <c r="IJH16" s="344"/>
      <c r="IJI16" s="344"/>
      <c r="IJJ16" s="344"/>
      <c r="IJK16" s="342"/>
      <c r="IJL16" s="342"/>
      <c r="IJM16" s="342"/>
      <c r="IJN16" s="343"/>
      <c r="IJO16" s="343"/>
      <c r="IJP16" s="344"/>
      <c r="IJQ16" s="344"/>
      <c r="IJR16" s="344"/>
      <c r="IJS16" s="342"/>
      <c r="IJT16" s="342"/>
      <c r="IJU16" s="342"/>
      <c r="IJV16" s="343"/>
      <c r="IJW16" s="343"/>
      <c r="IJX16" s="344"/>
      <c r="IJY16" s="344"/>
      <c r="IJZ16" s="344"/>
      <c r="IKA16" s="342"/>
      <c r="IKB16" s="342"/>
      <c r="IKC16" s="342"/>
      <c r="IKD16" s="343"/>
      <c r="IKE16" s="343"/>
      <c r="IKF16" s="344"/>
      <c r="IKG16" s="344"/>
      <c r="IKH16" s="344"/>
      <c r="IKI16" s="342"/>
      <c r="IKJ16" s="342"/>
      <c r="IKK16" s="342"/>
      <c r="IKL16" s="343"/>
      <c r="IKM16" s="343"/>
      <c r="IKN16" s="344"/>
      <c r="IKO16" s="344"/>
      <c r="IKP16" s="344"/>
      <c r="IKQ16" s="342"/>
      <c r="IKR16" s="342"/>
      <c r="IKS16" s="342"/>
      <c r="IKT16" s="343"/>
      <c r="IKU16" s="343"/>
      <c r="IKV16" s="344"/>
      <c r="IKW16" s="344"/>
      <c r="IKX16" s="344"/>
      <c r="IKY16" s="342"/>
      <c r="IKZ16" s="342"/>
      <c r="ILA16" s="342"/>
      <c r="ILB16" s="343"/>
      <c r="ILC16" s="343"/>
      <c r="ILD16" s="344"/>
      <c r="ILE16" s="344"/>
      <c r="ILF16" s="344"/>
      <c r="ILG16" s="342"/>
      <c r="ILH16" s="342"/>
      <c r="ILI16" s="342"/>
      <c r="ILJ16" s="343"/>
      <c r="ILK16" s="343"/>
      <c r="ILL16" s="344"/>
      <c r="ILM16" s="344"/>
      <c r="ILN16" s="344"/>
      <c r="ILO16" s="342"/>
      <c r="ILP16" s="342"/>
      <c r="ILQ16" s="342"/>
      <c r="ILR16" s="343"/>
      <c r="ILS16" s="343"/>
      <c r="ILT16" s="344"/>
      <c r="ILU16" s="344"/>
      <c r="ILV16" s="344"/>
      <c r="ILW16" s="342"/>
      <c r="ILX16" s="342"/>
      <c r="ILY16" s="342"/>
      <c r="ILZ16" s="343"/>
      <c r="IMA16" s="343"/>
      <c r="IMB16" s="344"/>
      <c r="IMC16" s="344"/>
      <c r="IMD16" s="344"/>
      <c r="IME16" s="342"/>
      <c r="IMF16" s="342"/>
      <c r="IMG16" s="342"/>
      <c r="IMH16" s="343"/>
      <c r="IMI16" s="343"/>
      <c r="IMJ16" s="344"/>
      <c r="IMK16" s="344"/>
      <c r="IML16" s="344"/>
      <c r="IMM16" s="342"/>
      <c r="IMN16" s="342"/>
      <c r="IMO16" s="342"/>
      <c r="IMP16" s="343"/>
      <c r="IMQ16" s="343"/>
      <c r="IMR16" s="344"/>
      <c r="IMS16" s="344"/>
      <c r="IMT16" s="344"/>
      <c r="IMU16" s="342"/>
      <c r="IMV16" s="342"/>
      <c r="IMW16" s="342"/>
      <c r="IMX16" s="343"/>
      <c r="IMY16" s="343"/>
      <c r="IMZ16" s="344"/>
      <c r="INA16" s="344"/>
      <c r="INB16" s="344"/>
      <c r="INC16" s="342"/>
      <c r="IND16" s="342"/>
      <c r="INE16" s="342"/>
      <c r="INF16" s="343"/>
      <c r="ING16" s="343"/>
      <c r="INH16" s="344"/>
      <c r="INI16" s="344"/>
      <c r="INJ16" s="344"/>
      <c r="INK16" s="342"/>
      <c r="INL16" s="342"/>
      <c r="INM16" s="342"/>
      <c r="INN16" s="343"/>
      <c r="INO16" s="343"/>
      <c r="INP16" s="344"/>
      <c r="INQ16" s="344"/>
      <c r="INR16" s="344"/>
      <c r="INS16" s="342"/>
      <c r="INT16" s="342"/>
      <c r="INU16" s="342"/>
      <c r="INV16" s="343"/>
      <c r="INW16" s="343"/>
      <c r="INX16" s="344"/>
      <c r="INY16" s="344"/>
      <c r="INZ16" s="344"/>
      <c r="IOA16" s="342"/>
      <c r="IOB16" s="342"/>
      <c r="IOC16" s="342"/>
      <c r="IOD16" s="343"/>
      <c r="IOE16" s="343"/>
      <c r="IOF16" s="344"/>
      <c r="IOG16" s="344"/>
      <c r="IOH16" s="344"/>
      <c r="IOI16" s="342"/>
      <c r="IOJ16" s="342"/>
      <c r="IOK16" s="342"/>
      <c r="IOL16" s="343"/>
      <c r="IOM16" s="343"/>
      <c r="ION16" s="344"/>
      <c r="IOO16" s="344"/>
      <c r="IOP16" s="344"/>
      <c r="IOQ16" s="342"/>
      <c r="IOR16" s="342"/>
      <c r="IOS16" s="342"/>
      <c r="IOT16" s="343"/>
      <c r="IOU16" s="343"/>
      <c r="IOV16" s="344"/>
      <c r="IOW16" s="344"/>
      <c r="IOX16" s="344"/>
      <c r="IOY16" s="342"/>
      <c r="IOZ16" s="342"/>
      <c r="IPA16" s="342"/>
      <c r="IPB16" s="343"/>
      <c r="IPC16" s="343"/>
      <c r="IPD16" s="344"/>
      <c r="IPE16" s="344"/>
      <c r="IPF16" s="344"/>
      <c r="IPG16" s="342"/>
      <c r="IPH16" s="342"/>
      <c r="IPI16" s="342"/>
      <c r="IPJ16" s="343"/>
      <c r="IPK16" s="343"/>
      <c r="IPL16" s="344"/>
      <c r="IPM16" s="344"/>
      <c r="IPN16" s="344"/>
      <c r="IPO16" s="342"/>
      <c r="IPP16" s="342"/>
      <c r="IPQ16" s="342"/>
      <c r="IPR16" s="343"/>
      <c r="IPS16" s="343"/>
      <c r="IPT16" s="344"/>
      <c r="IPU16" s="344"/>
      <c r="IPV16" s="344"/>
      <c r="IPW16" s="342"/>
      <c r="IPX16" s="342"/>
      <c r="IPY16" s="342"/>
      <c r="IPZ16" s="343"/>
      <c r="IQA16" s="343"/>
      <c r="IQB16" s="344"/>
      <c r="IQC16" s="344"/>
      <c r="IQD16" s="344"/>
      <c r="IQE16" s="342"/>
      <c r="IQF16" s="342"/>
      <c r="IQG16" s="342"/>
      <c r="IQH16" s="343"/>
      <c r="IQI16" s="343"/>
      <c r="IQJ16" s="344"/>
      <c r="IQK16" s="344"/>
      <c r="IQL16" s="344"/>
      <c r="IQM16" s="342"/>
      <c r="IQN16" s="342"/>
      <c r="IQO16" s="342"/>
      <c r="IQP16" s="343"/>
      <c r="IQQ16" s="343"/>
      <c r="IQR16" s="344"/>
      <c r="IQS16" s="344"/>
      <c r="IQT16" s="344"/>
      <c r="IQU16" s="342"/>
      <c r="IQV16" s="342"/>
      <c r="IQW16" s="342"/>
      <c r="IQX16" s="343"/>
      <c r="IQY16" s="343"/>
      <c r="IQZ16" s="344"/>
      <c r="IRA16" s="344"/>
      <c r="IRB16" s="344"/>
      <c r="IRC16" s="342"/>
      <c r="IRD16" s="342"/>
      <c r="IRE16" s="342"/>
      <c r="IRF16" s="343"/>
      <c r="IRG16" s="343"/>
      <c r="IRH16" s="344"/>
      <c r="IRI16" s="344"/>
      <c r="IRJ16" s="344"/>
      <c r="IRK16" s="342"/>
      <c r="IRL16" s="342"/>
      <c r="IRM16" s="342"/>
      <c r="IRN16" s="343"/>
      <c r="IRO16" s="343"/>
      <c r="IRP16" s="344"/>
      <c r="IRQ16" s="344"/>
      <c r="IRR16" s="344"/>
      <c r="IRS16" s="342"/>
      <c r="IRT16" s="342"/>
      <c r="IRU16" s="342"/>
      <c r="IRV16" s="343"/>
      <c r="IRW16" s="343"/>
      <c r="IRX16" s="344"/>
      <c r="IRY16" s="344"/>
      <c r="IRZ16" s="344"/>
      <c r="ISA16" s="342"/>
      <c r="ISB16" s="342"/>
      <c r="ISC16" s="342"/>
      <c r="ISD16" s="343"/>
      <c r="ISE16" s="343"/>
      <c r="ISF16" s="344"/>
      <c r="ISG16" s="344"/>
      <c r="ISH16" s="344"/>
      <c r="ISI16" s="342"/>
      <c r="ISJ16" s="342"/>
      <c r="ISK16" s="342"/>
      <c r="ISL16" s="343"/>
      <c r="ISM16" s="343"/>
      <c r="ISN16" s="344"/>
      <c r="ISO16" s="344"/>
      <c r="ISP16" s="344"/>
      <c r="ISQ16" s="342"/>
      <c r="ISR16" s="342"/>
      <c r="ISS16" s="342"/>
      <c r="IST16" s="343"/>
      <c r="ISU16" s="343"/>
      <c r="ISV16" s="344"/>
      <c r="ISW16" s="344"/>
      <c r="ISX16" s="344"/>
      <c r="ISY16" s="342"/>
      <c r="ISZ16" s="342"/>
      <c r="ITA16" s="342"/>
      <c r="ITB16" s="343"/>
      <c r="ITC16" s="343"/>
      <c r="ITD16" s="344"/>
      <c r="ITE16" s="344"/>
      <c r="ITF16" s="344"/>
      <c r="ITG16" s="342"/>
      <c r="ITH16" s="342"/>
      <c r="ITI16" s="342"/>
      <c r="ITJ16" s="343"/>
      <c r="ITK16" s="343"/>
      <c r="ITL16" s="344"/>
      <c r="ITM16" s="344"/>
      <c r="ITN16" s="344"/>
      <c r="ITO16" s="342"/>
      <c r="ITP16" s="342"/>
      <c r="ITQ16" s="342"/>
      <c r="ITR16" s="343"/>
      <c r="ITS16" s="343"/>
      <c r="ITT16" s="344"/>
      <c r="ITU16" s="344"/>
      <c r="ITV16" s="344"/>
      <c r="ITW16" s="342"/>
      <c r="ITX16" s="342"/>
      <c r="ITY16" s="342"/>
      <c r="ITZ16" s="343"/>
      <c r="IUA16" s="343"/>
      <c r="IUB16" s="344"/>
      <c r="IUC16" s="344"/>
      <c r="IUD16" s="344"/>
      <c r="IUE16" s="342"/>
      <c r="IUF16" s="342"/>
      <c r="IUG16" s="342"/>
      <c r="IUH16" s="343"/>
      <c r="IUI16" s="343"/>
      <c r="IUJ16" s="344"/>
      <c r="IUK16" s="344"/>
      <c r="IUL16" s="344"/>
      <c r="IUM16" s="342"/>
      <c r="IUN16" s="342"/>
      <c r="IUO16" s="342"/>
      <c r="IUP16" s="343"/>
      <c r="IUQ16" s="343"/>
      <c r="IUR16" s="344"/>
      <c r="IUS16" s="344"/>
      <c r="IUT16" s="344"/>
      <c r="IUU16" s="342"/>
      <c r="IUV16" s="342"/>
      <c r="IUW16" s="342"/>
      <c r="IUX16" s="343"/>
      <c r="IUY16" s="343"/>
      <c r="IUZ16" s="344"/>
      <c r="IVA16" s="344"/>
      <c r="IVB16" s="344"/>
      <c r="IVC16" s="342"/>
      <c r="IVD16" s="342"/>
      <c r="IVE16" s="342"/>
      <c r="IVF16" s="343"/>
      <c r="IVG16" s="343"/>
      <c r="IVH16" s="344"/>
      <c r="IVI16" s="344"/>
      <c r="IVJ16" s="344"/>
      <c r="IVK16" s="342"/>
      <c r="IVL16" s="342"/>
      <c r="IVM16" s="342"/>
      <c r="IVN16" s="343"/>
      <c r="IVO16" s="343"/>
      <c r="IVP16" s="344"/>
      <c r="IVQ16" s="344"/>
      <c r="IVR16" s="344"/>
      <c r="IVS16" s="342"/>
      <c r="IVT16" s="342"/>
      <c r="IVU16" s="342"/>
      <c r="IVV16" s="343"/>
      <c r="IVW16" s="343"/>
      <c r="IVX16" s="344"/>
      <c r="IVY16" s="344"/>
      <c r="IVZ16" s="344"/>
      <c r="IWA16" s="342"/>
      <c r="IWB16" s="342"/>
      <c r="IWC16" s="342"/>
      <c r="IWD16" s="343"/>
      <c r="IWE16" s="343"/>
      <c r="IWF16" s="344"/>
      <c r="IWG16" s="344"/>
      <c r="IWH16" s="344"/>
      <c r="IWI16" s="342"/>
      <c r="IWJ16" s="342"/>
      <c r="IWK16" s="342"/>
      <c r="IWL16" s="343"/>
      <c r="IWM16" s="343"/>
      <c r="IWN16" s="344"/>
      <c r="IWO16" s="344"/>
      <c r="IWP16" s="344"/>
      <c r="IWQ16" s="342"/>
      <c r="IWR16" s="342"/>
      <c r="IWS16" s="342"/>
      <c r="IWT16" s="343"/>
      <c r="IWU16" s="343"/>
      <c r="IWV16" s="344"/>
      <c r="IWW16" s="344"/>
      <c r="IWX16" s="344"/>
      <c r="IWY16" s="342"/>
      <c r="IWZ16" s="342"/>
      <c r="IXA16" s="342"/>
      <c r="IXB16" s="343"/>
      <c r="IXC16" s="343"/>
      <c r="IXD16" s="344"/>
      <c r="IXE16" s="344"/>
      <c r="IXF16" s="344"/>
      <c r="IXG16" s="342"/>
      <c r="IXH16" s="342"/>
      <c r="IXI16" s="342"/>
      <c r="IXJ16" s="343"/>
      <c r="IXK16" s="343"/>
      <c r="IXL16" s="344"/>
      <c r="IXM16" s="344"/>
      <c r="IXN16" s="344"/>
      <c r="IXO16" s="342"/>
      <c r="IXP16" s="342"/>
      <c r="IXQ16" s="342"/>
      <c r="IXR16" s="343"/>
      <c r="IXS16" s="343"/>
      <c r="IXT16" s="344"/>
      <c r="IXU16" s="344"/>
      <c r="IXV16" s="344"/>
      <c r="IXW16" s="342"/>
      <c r="IXX16" s="342"/>
      <c r="IXY16" s="342"/>
      <c r="IXZ16" s="343"/>
      <c r="IYA16" s="343"/>
      <c r="IYB16" s="344"/>
      <c r="IYC16" s="344"/>
      <c r="IYD16" s="344"/>
      <c r="IYE16" s="342"/>
      <c r="IYF16" s="342"/>
      <c r="IYG16" s="342"/>
      <c r="IYH16" s="343"/>
      <c r="IYI16" s="343"/>
      <c r="IYJ16" s="344"/>
      <c r="IYK16" s="344"/>
      <c r="IYL16" s="344"/>
      <c r="IYM16" s="342"/>
      <c r="IYN16" s="342"/>
      <c r="IYO16" s="342"/>
      <c r="IYP16" s="343"/>
      <c r="IYQ16" s="343"/>
      <c r="IYR16" s="344"/>
      <c r="IYS16" s="344"/>
      <c r="IYT16" s="344"/>
      <c r="IYU16" s="342"/>
      <c r="IYV16" s="342"/>
      <c r="IYW16" s="342"/>
      <c r="IYX16" s="343"/>
      <c r="IYY16" s="343"/>
      <c r="IYZ16" s="344"/>
      <c r="IZA16" s="344"/>
      <c r="IZB16" s="344"/>
      <c r="IZC16" s="342"/>
      <c r="IZD16" s="342"/>
      <c r="IZE16" s="342"/>
      <c r="IZF16" s="343"/>
      <c r="IZG16" s="343"/>
      <c r="IZH16" s="344"/>
      <c r="IZI16" s="344"/>
      <c r="IZJ16" s="344"/>
      <c r="IZK16" s="342"/>
      <c r="IZL16" s="342"/>
      <c r="IZM16" s="342"/>
      <c r="IZN16" s="343"/>
      <c r="IZO16" s="343"/>
      <c r="IZP16" s="344"/>
      <c r="IZQ16" s="344"/>
      <c r="IZR16" s="344"/>
      <c r="IZS16" s="342"/>
      <c r="IZT16" s="342"/>
      <c r="IZU16" s="342"/>
      <c r="IZV16" s="343"/>
      <c r="IZW16" s="343"/>
      <c r="IZX16" s="344"/>
      <c r="IZY16" s="344"/>
      <c r="IZZ16" s="344"/>
      <c r="JAA16" s="342"/>
      <c r="JAB16" s="342"/>
      <c r="JAC16" s="342"/>
      <c r="JAD16" s="343"/>
      <c r="JAE16" s="343"/>
      <c r="JAF16" s="344"/>
      <c r="JAG16" s="344"/>
      <c r="JAH16" s="344"/>
      <c r="JAI16" s="342"/>
      <c r="JAJ16" s="342"/>
      <c r="JAK16" s="342"/>
      <c r="JAL16" s="343"/>
      <c r="JAM16" s="343"/>
      <c r="JAN16" s="344"/>
      <c r="JAO16" s="344"/>
      <c r="JAP16" s="344"/>
      <c r="JAQ16" s="342"/>
      <c r="JAR16" s="342"/>
      <c r="JAS16" s="342"/>
      <c r="JAT16" s="343"/>
      <c r="JAU16" s="343"/>
      <c r="JAV16" s="344"/>
      <c r="JAW16" s="344"/>
      <c r="JAX16" s="344"/>
      <c r="JAY16" s="342"/>
      <c r="JAZ16" s="342"/>
      <c r="JBA16" s="342"/>
      <c r="JBB16" s="343"/>
      <c r="JBC16" s="343"/>
      <c r="JBD16" s="344"/>
      <c r="JBE16" s="344"/>
      <c r="JBF16" s="344"/>
      <c r="JBG16" s="342"/>
      <c r="JBH16" s="342"/>
      <c r="JBI16" s="342"/>
      <c r="JBJ16" s="343"/>
      <c r="JBK16" s="343"/>
      <c r="JBL16" s="344"/>
      <c r="JBM16" s="344"/>
      <c r="JBN16" s="344"/>
      <c r="JBO16" s="342"/>
      <c r="JBP16" s="342"/>
      <c r="JBQ16" s="342"/>
      <c r="JBR16" s="343"/>
      <c r="JBS16" s="343"/>
      <c r="JBT16" s="344"/>
      <c r="JBU16" s="344"/>
      <c r="JBV16" s="344"/>
      <c r="JBW16" s="342"/>
      <c r="JBX16" s="342"/>
      <c r="JBY16" s="342"/>
      <c r="JBZ16" s="343"/>
      <c r="JCA16" s="343"/>
      <c r="JCB16" s="344"/>
      <c r="JCC16" s="344"/>
      <c r="JCD16" s="344"/>
      <c r="JCE16" s="342"/>
      <c r="JCF16" s="342"/>
      <c r="JCG16" s="342"/>
      <c r="JCH16" s="343"/>
      <c r="JCI16" s="343"/>
      <c r="JCJ16" s="344"/>
      <c r="JCK16" s="344"/>
      <c r="JCL16" s="344"/>
      <c r="JCM16" s="342"/>
      <c r="JCN16" s="342"/>
      <c r="JCO16" s="342"/>
      <c r="JCP16" s="343"/>
      <c r="JCQ16" s="343"/>
      <c r="JCR16" s="344"/>
      <c r="JCS16" s="344"/>
      <c r="JCT16" s="344"/>
      <c r="JCU16" s="342"/>
      <c r="JCV16" s="342"/>
      <c r="JCW16" s="342"/>
      <c r="JCX16" s="343"/>
      <c r="JCY16" s="343"/>
      <c r="JCZ16" s="344"/>
      <c r="JDA16" s="344"/>
      <c r="JDB16" s="344"/>
      <c r="JDC16" s="342"/>
      <c r="JDD16" s="342"/>
      <c r="JDE16" s="342"/>
      <c r="JDF16" s="343"/>
      <c r="JDG16" s="343"/>
      <c r="JDH16" s="344"/>
      <c r="JDI16" s="344"/>
      <c r="JDJ16" s="344"/>
      <c r="JDK16" s="342"/>
      <c r="JDL16" s="342"/>
      <c r="JDM16" s="342"/>
      <c r="JDN16" s="343"/>
      <c r="JDO16" s="343"/>
      <c r="JDP16" s="344"/>
      <c r="JDQ16" s="344"/>
      <c r="JDR16" s="344"/>
      <c r="JDS16" s="342"/>
      <c r="JDT16" s="342"/>
      <c r="JDU16" s="342"/>
      <c r="JDV16" s="343"/>
      <c r="JDW16" s="343"/>
      <c r="JDX16" s="344"/>
      <c r="JDY16" s="344"/>
      <c r="JDZ16" s="344"/>
      <c r="JEA16" s="342"/>
      <c r="JEB16" s="342"/>
      <c r="JEC16" s="342"/>
      <c r="JED16" s="343"/>
      <c r="JEE16" s="343"/>
      <c r="JEF16" s="344"/>
      <c r="JEG16" s="344"/>
      <c r="JEH16" s="344"/>
      <c r="JEI16" s="342"/>
      <c r="JEJ16" s="342"/>
      <c r="JEK16" s="342"/>
      <c r="JEL16" s="343"/>
      <c r="JEM16" s="343"/>
      <c r="JEN16" s="344"/>
      <c r="JEO16" s="344"/>
      <c r="JEP16" s="344"/>
      <c r="JEQ16" s="342"/>
      <c r="JER16" s="342"/>
      <c r="JES16" s="342"/>
      <c r="JET16" s="343"/>
      <c r="JEU16" s="343"/>
      <c r="JEV16" s="344"/>
      <c r="JEW16" s="344"/>
      <c r="JEX16" s="344"/>
      <c r="JEY16" s="342"/>
      <c r="JEZ16" s="342"/>
      <c r="JFA16" s="342"/>
      <c r="JFB16" s="343"/>
      <c r="JFC16" s="343"/>
      <c r="JFD16" s="344"/>
      <c r="JFE16" s="344"/>
      <c r="JFF16" s="344"/>
      <c r="JFG16" s="342"/>
      <c r="JFH16" s="342"/>
      <c r="JFI16" s="342"/>
      <c r="JFJ16" s="343"/>
      <c r="JFK16" s="343"/>
      <c r="JFL16" s="344"/>
      <c r="JFM16" s="344"/>
      <c r="JFN16" s="344"/>
      <c r="JFO16" s="342"/>
      <c r="JFP16" s="342"/>
      <c r="JFQ16" s="342"/>
      <c r="JFR16" s="343"/>
      <c r="JFS16" s="343"/>
      <c r="JFT16" s="344"/>
      <c r="JFU16" s="344"/>
      <c r="JFV16" s="344"/>
      <c r="JFW16" s="342"/>
      <c r="JFX16" s="342"/>
      <c r="JFY16" s="342"/>
      <c r="JFZ16" s="343"/>
      <c r="JGA16" s="343"/>
      <c r="JGB16" s="344"/>
      <c r="JGC16" s="344"/>
      <c r="JGD16" s="344"/>
      <c r="JGE16" s="342"/>
      <c r="JGF16" s="342"/>
      <c r="JGG16" s="342"/>
      <c r="JGH16" s="343"/>
      <c r="JGI16" s="343"/>
      <c r="JGJ16" s="344"/>
      <c r="JGK16" s="344"/>
      <c r="JGL16" s="344"/>
      <c r="JGM16" s="342"/>
      <c r="JGN16" s="342"/>
      <c r="JGO16" s="342"/>
      <c r="JGP16" s="343"/>
      <c r="JGQ16" s="343"/>
      <c r="JGR16" s="344"/>
      <c r="JGS16" s="344"/>
      <c r="JGT16" s="344"/>
      <c r="JGU16" s="342"/>
      <c r="JGV16" s="342"/>
      <c r="JGW16" s="342"/>
      <c r="JGX16" s="343"/>
      <c r="JGY16" s="343"/>
      <c r="JGZ16" s="344"/>
      <c r="JHA16" s="344"/>
      <c r="JHB16" s="344"/>
      <c r="JHC16" s="342"/>
      <c r="JHD16" s="342"/>
      <c r="JHE16" s="342"/>
      <c r="JHF16" s="343"/>
      <c r="JHG16" s="343"/>
      <c r="JHH16" s="344"/>
      <c r="JHI16" s="344"/>
      <c r="JHJ16" s="344"/>
      <c r="JHK16" s="342"/>
      <c r="JHL16" s="342"/>
      <c r="JHM16" s="342"/>
      <c r="JHN16" s="343"/>
      <c r="JHO16" s="343"/>
      <c r="JHP16" s="344"/>
      <c r="JHQ16" s="344"/>
      <c r="JHR16" s="344"/>
      <c r="JHS16" s="342"/>
      <c r="JHT16" s="342"/>
      <c r="JHU16" s="342"/>
      <c r="JHV16" s="343"/>
      <c r="JHW16" s="343"/>
      <c r="JHX16" s="344"/>
      <c r="JHY16" s="344"/>
      <c r="JHZ16" s="344"/>
      <c r="JIA16" s="342"/>
      <c r="JIB16" s="342"/>
      <c r="JIC16" s="342"/>
      <c r="JID16" s="343"/>
      <c r="JIE16" s="343"/>
      <c r="JIF16" s="344"/>
      <c r="JIG16" s="344"/>
      <c r="JIH16" s="344"/>
      <c r="JII16" s="342"/>
      <c r="JIJ16" s="342"/>
      <c r="JIK16" s="342"/>
      <c r="JIL16" s="343"/>
      <c r="JIM16" s="343"/>
      <c r="JIN16" s="344"/>
      <c r="JIO16" s="344"/>
      <c r="JIP16" s="344"/>
      <c r="JIQ16" s="342"/>
      <c r="JIR16" s="342"/>
      <c r="JIS16" s="342"/>
      <c r="JIT16" s="343"/>
      <c r="JIU16" s="343"/>
      <c r="JIV16" s="344"/>
      <c r="JIW16" s="344"/>
      <c r="JIX16" s="344"/>
      <c r="JIY16" s="342"/>
      <c r="JIZ16" s="342"/>
      <c r="JJA16" s="342"/>
      <c r="JJB16" s="343"/>
      <c r="JJC16" s="343"/>
      <c r="JJD16" s="344"/>
      <c r="JJE16" s="344"/>
      <c r="JJF16" s="344"/>
      <c r="JJG16" s="342"/>
      <c r="JJH16" s="342"/>
      <c r="JJI16" s="342"/>
      <c r="JJJ16" s="343"/>
      <c r="JJK16" s="343"/>
      <c r="JJL16" s="344"/>
      <c r="JJM16" s="344"/>
      <c r="JJN16" s="344"/>
      <c r="JJO16" s="342"/>
      <c r="JJP16" s="342"/>
      <c r="JJQ16" s="342"/>
      <c r="JJR16" s="343"/>
      <c r="JJS16" s="343"/>
      <c r="JJT16" s="344"/>
      <c r="JJU16" s="344"/>
      <c r="JJV16" s="344"/>
      <c r="JJW16" s="342"/>
      <c r="JJX16" s="342"/>
      <c r="JJY16" s="342"/>
      <c r="JJZ16" s="343"/>
      <c r="JKA16" s="343"/>
      <c r="JKB16" s="344"/>
      <c r="JKC16" s="344"/>
      <c r="JKD16" s="344"/>
      <c r="JKE16" s="342"/>
      <c r="JKF16" s="342"/>
      <c r="JKG16" s="342"/>
      <c r="JKH16" s="343"/>
      <c r="JKI16" s="343"/>
      <c r="JKJ16" s="344"/>
      <c r="JKK16" s="344"/>
      <c r="JKL16" s="344"/>
      <c r="JKM16" s="342"/>
      <c r="JKN16" s="342"/>
      <c r="JKO16" s="342"/>
      <c r="JKP16" s="343"/>
      <c r="JKQ16" s="343"/>
      <c r="JKR16" s="344"/>
      <c r="JKS16" s="344"/>
      <c r="JKT16" s="344"/>
      <c r="JKU16" s="342"/>
      <c r="JKV16" s="342"/>
      <c r="JKW16" s="342"/>
      <c r="JKX16" s="343"/>
      <c r="JKY16" s="343"/>
      <c r="JKZ16" s="344"/>
      <c r="JLA16" s="344"/>
      <c r="JLB16" s="344"/>
      <c r="JLC16" s="342"/>
      <c r="JLD16" s="342"/>
      <c r="JLE16" s="342"/>
      <c r="JLF16" s="343"/>
      <c r="JLG16" s="343"/>
      <c r="JLH16" s="344"/>
      <c r="JLI16" s="344"/>
      <c r="JLJ16" s="344"/>
      <c r="JLK16" s="342"/>
      <c r="JLL16" s="342"/>
      <c r="JLM16" s="342"/>
      <c r="JLN16" s="343"/>
      <c r="JLO16" s="343"/>
      <c r="JLP16" s="344"/>
      <c r="JLQ16" s="344"/>
      <c r="JLR16" s="344"/>
      <c r="JLS16" s="342"/>
      <c r="JLT16" s="342"/>
      <c r="JLU16" s="342"/>
      <c r="JLV16" s="343"/>
      <c r="JLW16" s="343"/>
      <c r="JLX16" s="344"/>
      <c r="JLY16" s="344"/>
      <c r="JLZ16" s="344"/>
      <c r="JMA16" s="342"/>
      <c r="JMB16" s="342"/>
      <c r="JMC16" s="342"/>
      <c r="JMD16" s="343"/>
      <c r="JME16" s="343"/>
      <c r="JMF16" s="344"/>
      <c r="JMG16" s="344"/>
      <c r="JMH16" s="344"/>
      <c r="JMI16" s="342"/>
      <c r="JMJ16" s="342"/>
      <c r="JMK16" s="342"/>
      <c r="JML16" s="343"/>
      <c r="JMM16" s="343"/>
      <c r="JMN16" s="344"/>
      <c r="JMO16" s="344"/>
      <c r="JMP16" s="344"/>
      <c r="JMQ16" s="342"/>
      <c r="JMR16" s="342"/>
      <c r="JMS16" s="342"/>
      <c r="JMT16" s="343"/>
      <c r="JMU16" s="343"/>
      <c r="JMV16" s="344"/>
      <c r="JMW16" s="344"/>
      <c r="JMX16" s="344"/>
      <c r="JMY16" s="342"/>
      <c r="JMZ16" s="342"/>
      <c r="JNA16" s="342"/>
      <c r="JNB16" s="343"/>
      <c r="JNC16" s="343"/>
      <c r="JND16" s="344"/>
      <c r="JNE16" s="344"/>
      <c r="JNF16" s="344"/>
      <c r="JNG16" s="342"/>
      <c r="JNH16" s="342"/>
      <c r="JNI16" s="342"/>
      <c r="JNJ16" s="343"/>
      <c r="JNK16" s="343"/>
      <c r="JNL16" s="344"/>
      <c r="JNM16" s="344"/>
      <c r="JNN16" s="344"/>
      <c r="JNO16" s="342"/>
      <c r="JNP16" s="342"/>
      <c r="JNQ16" s="342"/>
      <c r="JNR16" s="343"/>
      <c r="JNS16" s="343"/>
      <c r="JNT16" s="344"/>
      <c r="JNU16" s="344"/>
      <c r="JNV16" s="344"/>
      <c r="JNW16" s="342"/>
      <c r="JNX16" s="342"/>
      <c r="JNY16" s="342"/>
      <c r="JNZ16" s="343"/>
      <c r="JOA16" s="343"/>
      <c r="JOB16" s="344"/>
      <c r="JOC16" s="344"/>
      <c r="JOD16" s="344"/>
      <c r="JOE16" s="342"/>
      <c r="JOF16" s="342"/>
      <c r="JOG16" s="342"/>
      <c r="JOH16" s="343"/>
      <c r="JOI16" s="343"/>
      <c r="JOJ16" s="344"/>
      <c r="JOK16" s="344"/>
      <c r="JOL16" s="344"/>
      <c r="JOM16" s="342"/>
      <c r="JON16" s="342"/>
      <c r="JOO16" s="342"/>
      <c r="JOP16" s="343"/>
      <c r="JOQ16" s="343"/>
      <c r="JOR16" s="344"/>
      <c r="JOS16" s="344"/>
      <c r="JOT16" s="344"/>
      <c r="JOU16" s="342"/>
      <c r="JOV16" s="342"/>
      <c r="JOW16" s="342"/>
      <c r="JOX16" s="343"/>
      <c r="JOY16" s="343"/>
      <c r="JOZ16" s="344"/>
      <c r="JPA16" s="344"/>
      <c r="JPB16" s="344"/>
      <c r="JPC16" s="342"/>
      <c r="JPD16" s="342"/>
      <c r="JPE16" s="342"/>
      <c r="JPF16" s="343"/>
      <c r="JPG16" s="343"/>
      <c r="JPH16" s="344"/>
      <c r="JPI16" s="344"/>
      <c r="JPJ16" s="344"/>
      <c r="JPK16" s="342"/>
      <c r="JPL16" s="342"/>
      <c r="JPM16" s="342"/>
      <c r="JPN16" s="343"/>
      <c r="JPO16" s="343"/>
      <c r="JPP16" s="344"/>
      <c r="JPQ16" s="344"/>
      <c r="JPR16" s="344"/>
      <c r="JPS16" s="342"/>
      <c r="JPT16" s="342"/>
      <c r="JPU16" s="342"/>
      <c r="JPV16" s="343"/>
      <c r="JPW16" s="343"/>
      <c r="JPX16" s="344"/>
      <c r="JPY16" s="344"/>
      <c r="JPZ16" s="344"/>
      <c r="JQA16" s="342"/>
      <c r="JQB16" s="342"/>
      <c r="JQC16" s="342"/>
      <c r="JQD16" s="343"/>
      <c r="JQE16" s="343"/>
      <c r="JQF16" s="344"/>
      <c r="JQG16" s="344"/>
      <c r="JQH16" s="344"/>
      <c r="JQI16" s="342"/>
      <c r="JQJ16" s="342"/>
      <c r="JQK16" s="342"/>
      <c r="JQL16" s="343"/>
      <c r="JQM16" s="343"/>
      <c r="JQN16" s="344"/>
      <c r="JQO16" s="344"/>
      <c r="JQP16" s="344"/>
      <c r="JQQ16" s="342"/>
      <c r="JQR16" s="342"/>
      <c r="JQS16" s="342"/>
      <c r="JQT16" s="343"/>
      <c r="JQU16" s="343"/>
      <c r="JQV16" s="344"/>
      <c r="JQW16" s="344"/>
      <c r="JQX16" s="344"/>
      <c r="JQY16" s="342"/>
      <c r="JQZ16" s="342"/>
      <c r="JRA16" s="342"/>
      <c r="JRB16" s="343"/>
      <c r="JRC16" s="343"/>
      <c r="JRD16" s="344"/>
      <c r="JRE16" s="344"/>
      <c r="JRF16" s="344"/>
      <c r="JRG16" s="342"/>
      <c r="JRH16" s="342"/>
      <c r="JRI16" s="342"/>
      <c r="JRJ16" s="343"/>
      <c r="JRK16" s="343"/>
      <c r="JRL16" s="344"/>
      <c r="JRM16" s="344"/>
      <c r="JRN16" s="344"/>
      <c r="JRO16" s="342"/>
      <c r="JRP16" s="342"/>
      <c r="JRQ16" s="342"/>
      <c r="JRR16" s="343"/>
      <c r="JRS16" s="343"/>
      <c r="JRT16" s="344"/>
      <c r="JRU16" s="344"/>
      <c r="JRV16" s="344"/>
      <c r="JRW16" s="342"/>
      <c r="JRX16" s="342"/>
      <c r="JRY16" s="342"/>
      <c r="JRZ16" s="343"/>
      <c r="JSA16" s="343"/>
      <c r="JSB16" s="344"/>
      <c r="JSC16" s="344"/>
      <c r="JSD16" s="344"/>
      <c r="JSE16" s="342"/>
      <c r="JSF16" s="342"/>
      <c r="JSG16" s="342"/>
      <c r="JSH16" s="343"/>
      <c r="JSI16" s="343"/>
      <c r="JSJ16" s="344"/>
      <c r="JSK16" s="344"/>
      <c r="JSL16" s="344"/>
      <c r="JSM16" s="342"/>
      <c r="JSN16" s="342"/>
      <c r="JSO16" s="342"/>
      <c r="JSP16" s="343"/>
      <c r="JSQ16" s="343"/>
      <c r="JSR16" s="344"/>
      <c r="JSS16" s="344"/>
      <c r="JST16" s="344"/>
      <c r="JSU16" s="342"/>
      <c r="JSV16" s="342"/>
      <c r="JSW16" s="342"/>
      <c r="JSX16" s="343"/>
      <c r="JSY16" s="343"/>
      <c r="JSZ16" s="344"/>
      <c r="JTA16" s="344"/>
      <c r="JTB16" s="344"/>
      <c r="JTC16" s="342"/>
      <c r="JTD16" s="342"/>
      <c r="JTE16" s="342"/>
      <c r="JTF16" s="343"/>
      <c r="JTG16" s="343"/>
      <c r="JTH16" s="344"/>
      <c r="JTI16" s="344"/>
      <c r="JTJ16" s="344"/>
      <c r="JTK16" s="342"/>
      <c r="JTL16" s="342"/>
      <c r="JTM16" s="342"/>
      <c r="JTN16" s="343"/>
      <c r="JTO16" s="343"/>
      <c r="JTP16" s="344"/>
      <c r="JTQ16" s="344"/>
      <c r="JTR16" s="344"/>
      <c r="JTS16" s="342"/>
      <c r="JTT16" s="342"/>
      <c r="JTU16" s="342"/>
      <c r="JTV16" s="343"/>
      <c r="JTW16" s="343"/>
      <c r="JTX16" s="344"/>
      <c r="JTY16" s="344"/>
      <c r="JTZ16" s="344"/>
      <c r="JUA16" s="342"/>
      <c r="JUB16" s="342"/>
      <c r="JUC16" s="342"/>
      <c r="JUD16" s="343"/>
      <c r="JUE16" s="343"/>
      <c r="JUF16" s="344"/>
      <c r="JUG16" s="344"/>
      <c r="JUH16" s="344"/>
      <c r="JUI16" s="342"/>
      <c r="JUJ16" s="342"/>
      <c r="JUK16" s="342"/>
      <c r="JUL16" s="343"/>
      <c r="JUM16" s="343"/>
      <c r="JUN16" s="344"/>
      <c r="JUO16" s="344"/>
      <c r="JUP16" s="344"/>
      <c r="JUQ16" s="342"/>
      <c r="JUR16" s="342"/>
      <c r="JUS16" s="342"/>
      <c r="JUT16" s="343"/>
      <c r="JUU16" s="343"/>
      <c r="JUV16" s="344"/>
      <c r="JUW16" s="344"/>
      <c r="JUX16" s="344"/>
      <c r="JUY16" s="342"/>
      <c r="JUZ16" s="342"/>
      <c r="JVA16" s="342"/>
      <c r="JVB16" s="343"/>
      <c r="JVC16" s="343"/>
      <c r="JVD16" s="344"/>
      <c r="JVE16" s="344"/>
      <c r="JVF16" s="344"/>
      <c r="JVG16" s="342"/>
      <c r="JVH16" s="342"/>
      <c r="JVI16" s="342"/>
      <c r="JVJ16" s="343"/>
      <c r="JVK16" s="343"/>
      <c r="JVL16" s="344"/>
      <c r="JVM16" s="344"/>
      <c r="JVN16" s="344"/>
      <c r="JVO16" s="342"/>
      <c r="JVP16" s="342"/>
      <c r="JVQ16" s="342"/>
      <c r="JVR16" s="343"/>
      <c r="JVS16" s="343"/>
      <c r="JVT16" s="344"/>
      <c r="JVU16" s="344"/>
      <c r="JVV16" s="344"/>
      <c r="JVW16" s="342"/>
      <c r="JVX16" s="342"/>
      <c r="JVY16" s="342"/>
      <c r="JVZ16" s="343"/>
      <c r="JWA16" s="343"/>
      <c r="JWB16" s="344"/>
      <c r="JWC16" s="344"/>
      <c r="JWD16" s="344"/>
      <c r="JWE16" s="342"/>
      <c r="JWF16" s="342"/>
      <c r="JWG16" s="342"/>
      <c r="JWH16" s="343"/>
      <c r="JWI16" s="343"/>
      <c r="JWJ16" s="344"/>
      <c r="JWK16" s="344"/>
      <c r="JWL16" s="344"/>
      <c r="JWM16" s="342"/>
      <c r="JWN16" s="342"/>
      <c r="JWO16" s="342"/>
      <c r="JWP16" s="343"/>
      <c r="JWQ16" s="343"/>
      <c r="JWR16" s="344"/>
      <c r="JWS16" s="344"/>
      <c r="JWT16" s="344"/>
      <c r="JWU16" s="342"/>
      <c r="JWV16" s="342"/>
      <c r="JWW16" s="342"/>
      <c r="JWX16" s="343"/>
      <c r="JWY16" s="343"/>
      <c r="JWZ16" s="344"/>
      <c r="JXA16" s="344"/>
      <c r="JXB16" s="344"/>
      <c r="JXC16" s="342"/>
      <c r="JXD16" s="342"/>
      <c r="JXE16" s="342"/>
      <c r="JXF16" s="343"/>
      <c r="JXG16" s="343"/>
      <c r="JXH16" s="344"/>
      <c r="JXI16" s="344"/>
      <c r="JXJ16" s="344"/>
      <c r="JXK16" s="342"/>
      <c r="JXL16" s="342"/>
      <c r="JXM16" s="342"/>
      <c r="JXN16" s="343"/>
      <c r="JXO16" s="343"/>
      <c r="JXP16" s="344"/>
      <c r="JXQ16" s="344"/>
      <c r="JXR16" s="344"/>
      <c r="JXS16" s="342"/>
      <c r="JXT16" s="342"/>
      <c r="JXU16" s="342"/>
      <c r="JXV16" s="343"/>
      <c r="JXW16" s="343"/>
      <c r="JXX16" s="344"/>
      <c r="JXY16" s="344"/>
      <c r="JXZ16" s="344"/>
      <c r="JYA16" s="342"/>
      <c r="JYB16" s="342"/>
      <c r="JYC16" s="342"/>
      <c r="JYD16" s="343"/>
      <c r="JYE16" s="343"/>
      <c r="JYF16" s="344"/>
      <c r="JYG16" s="344"/>
      <c r="JYH16" s="344"/>
      <c r="JYI16" s="342"/>
      <c r="JYJ16" s="342"/>
      <c r="JYK16" s="342"/>
      <c r="JYL16" s="343"/>
      <c r="JYM16" s="343"/>
      <c r="JYN16" s="344"/>
      <c r="JYO16" s="344"/>
      <c r="JYP16" s="344"/>
      <c r="JYQ16" s="342"/>
      <c r="JYR16" s="342"/>
      <c r="JYS16" s="342"/>
      <c r="JYT16" s="343"/>
      <c r="JYU16" s="343"/>
      <c r="JYV16" s="344"/>
      <c r="JYW16" s="344"/>
      <c r="JYX16" s="344"/>
      <c r="JYY16" s="342"/>
      <c r="JYZ16" s="342"/>
      <c r="JZA16" s="342"/>
      <c r="JZB16" s="343"/>
      <c r="JZC16" s="343"/>
      <c r="JZD16" s="344"/>
      <c r="JZE16" s="344"/>
      <c r="JZF16" s="344"/>
      <c r="JZG16" s="342"/>
      <c r="JZH16" s="342"/>
      <c r="JZI16" s="342"/>
      <c r="JZJ16" s="343"/>
      <c r="JZK16" s="343"/>
      <c r="JZL16" s="344"/>
      <c r="JZM16" s="344"/>
      <c r="JZN16" s="344"/>
      <c r="JZO16" s="342"/>
      <c r="JZP16" s="342"/>
      <c r="JZQ16" s="342"/>
      <c r="JZR16" s="343"/>
      <c r="JZS16" s="343"/>
      <c r="JZT16" s="344"/>
      <c r="JZU16" s="344"/>
      <c r="JZV16" s="344"/>
      <c r="JZW16" s="342"/>
      <c r="JZX16" s="342"/>
      <c r="JZY16" s="342"/>
      <c r="JZZ16" s="343"/>
      <c r="KAA16" s="343"/>
      <c r="KAB16" s="344"/>
      <c r="KAC16" s="344"/>
      <c r="KAD16" s="344"/>
      <c r="KAE16" s="342"/>
      <c r="KAF16" s="342"/>
      <c r="KAG16" s="342"/>
      <c r="KAH16" s="343"/>
      <c r="KAI16" s="343"/>
      <c r="KAJ16" s="344"/>
      <c r="KAK16" s="344"/>
      <c r="KAL16" s="344"/>
      <c r="KAM16" s="342"/>
      <c r="KAN16" s="342"/>
      <c r="KAO16" s="342"/>
      <c r="KAP16" s="343"/>
      <c r="KAQ16" s="343"/>
      <c r="KAR16" s="344"/>
      <c r="KAS16" s="344"/>
      <c r="KAT16" s="344"/>
      <c r="KAU16" s="342"/>
      <c r="KAV16" s="342"/>
      <c r="KAW16" s="342"/>
      <c r="KAX16" s="343"/>
      <c r="KAY16" s="343"/>
      <c r="KAZ16" s="344"/>
      <c r="KBA16" s="344"/>
      <c r="KBB16" s="344"/>
      <c r="KBC16" s="342"/>
      <c r="KBD16" s="342"/>
      <c r="KBE16" s="342"/>
      <c r="KBF16" s="343"/>
      <c r="KBG16" s="343"/>
      <c r="KBH16" s="344"/>
      <c r="KBI16" s="344"/>
      <c r="KBJ16" s="344"/>
      <c r="KBK16" s="342"/>
      <c r="KBL16" s="342"/>
      <c r="KBM16" s="342"/>
      <c r="KBN16" s="343"/>
      <c r="KBO16" s="343"/>
      <c r="KBP16" s="344"/>
      <c r="KBQ16" s="344"/>
      <c r="KBR16" s="344"/>
      <c r="KBS16" s="342"/>
      <c r="KBT16" s="342"/>
      <c r="KBU16" s="342"/>
      <c r="KBV16" s="343"/>
      <c r="KBW16" s="343"/>
      <c r="KBX16" s="344"/>
      <c r="KBY16" s="344"/>
      <c r="KBZ16" s="344"/>
      <c r="KCA16" s="342"/>
      <c r="KCB16" s="342"/>
      <c r="KCC16" s="342"/>
      <c r="KCD16" s="343"/>
      <c r="KCE16" s="343"/>
      <c r="KCF16" s="344"/>
      <c r="KCG16" s="344"/>
      <c r="KCH16" s="344"/>
      <c r="KCI16" s="342"/>
      <c r="KCJ16" s="342"/>
      <c r="KCK16" s="342"/>
      <c r="KCL16" s="343"/>
      <c r="KCM16" s="343"/>
      <c r="KCN16" s="344"/>
      <c r="KCO16" s="344"/>
      <c r="KCP16" s="344"/>
      <c r="KCQ16" s="342"/>
      <c r="KCR16" s="342"/>
      <c r="KCS16" s="342"/>
      <c r="KCT16" s="343"/>
      <c r="KCU16" s="343"/>
      <c r="KCV16" s="344"/>
      <c r="KCW16" s="344"/>
      <c r="KCX16" s="344"/>
      <c r="KCY16" s="342"/>
      <c r="KCZ16" s="342"/>
      <c r="KDA16" s="342"/>
      <c r="KDB16" s="343"/>
      <c r="KDC16" s="343"/>
      <c r="KDD16" s="344"/>
      <c r="KDE16" s="344"/>
      <c r="KDF16" s="344"/>
      <c r="KDG16" s="342"/>
      <c r="KDH16" s="342"/>
      <c r="KDI16" s="342"/>
      <c r="KDJ16" s="343"/>
      <c r="KDK16" s="343"/>
      <c r="KDL16" s="344"/>
      <c r="KDM16" s="344"/>
      <c r="KDN16" s="344"/>
      <c r="KDO16" s="342"/>
      <c r="KDP16" s="342"/>
      <c r="KDQ16" s="342"/>
      <c r="KDR16" s="343"/>
      <c r="KDS16" s="343"/>
      <c r="KDT16" s="344"/>
      <c r="KDU16" s="344"/>
      <c r="KDV16" s="344"/>
      <c r="KDW16" s="342"/>
      <c r="KDX16" s="342"/>
      <c r="KDY16" s="342"/>
      <c r="KDZ16" s="343"/>
      <c r="KEA16" s="343"/>
      <c r="KEB16" s="344"/>
      <c r="KEC16" s="344"/>
      <c r="KED16" s="344"/>
      <c r="KEE16" s="342"/>
      <c r="KEF16" s="342"/>
      <c r="KEG16" s="342"/>
      <c r="KEH16" s="343"/>
      <c r="KEI16" s="343"/>
      <c r="KEJ16" s="344"/>
      <c r="KEK16" s="344"/>
      <c r="KEL16" s="344"/>
      <c r="KEM16" s="342"/>
      <c r="KEN16" s="342"/>
      <c r="KEO16" s="342"/>
      <c r="KEP16" s="343"/>
      <c r="KEQ16" s="343"/>
      <c r="KER16" s="344"/>
      <c r="KES16" s="344"/>
      <c r="KET16" s="344"/>
      <c r="KEU16" s="342"/>
      <c r="KEV16" s="342"/>
      <c r="KEW16" s="342"/>
      <c r="KEX16" s="343"/>
      <c r="KEY16" s="343"/>
      <c r="KEZ16" s="344"/>
      <c r="KFA16" s="344"/>
      <c r="KFB16" s="344"/>
      <c r="KFC16" s="342"/>
      <c r="KFD16" s="342"/>
      <c r="KFE16" s="342"/>
      <c r="KFF16" s="343"/>
      <c r="KFG16" s="343"/>
      <c r="KFH16" s="344"/>
      <c r="KFI16" s="344"/>
      <c r="KFJ16" s="344"/>
      <c r="KFK16" s="342"/>
      <c r="KFL16" s="342"/>
      <c r="KFM16" s="342"/>
      <c r="KFN16" s="343"/>
      <c r="KFO16" s="343"/>
      <c r="KFP16" s="344"/>
      <c r="KFQ16" s="344"/>
      <c r="KFR16" s="344"/>
      <c r="KFS16" s="342"/>
      <c r="KFT16" s="342"/>
      <c r="KFU16" s="342"/>
      <c r="KFV16" s="343"/>
      <c r="KFW16" s="343"/>
      <c r="KFX16" s="344"/>
      <c r="KFY16" s="344"/>
      <c r="KFZ16" s="344"/>
      <c r="KGA16" s="342"/>
      <c r="KGB16" s="342"/>
      <c r="KGC16" s="342"/>
      <c r="KGD16" s="343"/>
      <c r="KGE16" s="343"/>
      <c r="KGF16" s="344"/>
      <c r="KGG16" s="344"/>
      <c r="KGH16" s="344"/>
      <c r="KGI16" s="342"/>
      <c r="KGJ16" s="342"/>
      <c r="KGK16" s="342"/>
      <c r="KGL16" s="343"/>
      <c r="KGM16" s="343"/>
      <c r="KGN16" s="344"/>
      <c r="KGO16" s="344"/>
      <c r="KGP16" s="344"/>
      <c r="KGQ16" s="342"/>
      <c r="KGR16" s="342"/>
      <c r="KGS16" s="342"/>
      <c r="KGT16" s="343"/>
      <c r="KGU16" s="343"/>
      <c r="KGV16" s="344"/>
      <c r="KGW16" s="344"/>
      <c r="KGX16" s="344"/>
      <c r="KGY16" s="342"/>
      <c r="KGZ16" s="342"/>
      <c r="KHA16" s="342"/>
      <c r="KHB16" s="343"/>
      <c r="KHC16" s="343"/>
      <c r="KHD16" s="344"/>
      <c r="KHE16" s="344"/>
      <c r="KHF16" s="344"/>
      <c r="KHG16" s="342"/>
      <c r="KHH16" s="342"/>
      <c r="KHI16" s="342"/>
      <c r="KHJ16" s="343"/>
      <c r="KHK16" s="343"/>
      <c r="KHL16" s="344"/>
      <c r="KHM16" s="344"/>
      <c r="KHN16" s="344"/>
      <c r="KHO16" s="342"/>
      <c r="KHP16" s="342"/>
      <c r="KHQ16" s="342"/>
      <c r="KHR16" s="343"/>
      <c r="KHS16" s="343"/>
      <c r="KHT16" s="344"/>
      <c r="KHU16" s="344"/>
      <c r="KHV16" s="344"/>
      <c r="KHW16" s="342"/>
      <c r="KHX16" s="342"/>
      <c r="KHY16" s="342"/>
      <c r="KHZ16" s="343"/>
      <c r="KIA16" s="343"/>
      <c r="KIB16" s="344"/>
      <c r="KIC16" s="344"/>
      <c r="KID16" s="344"/>
      <c r="KIE16" s="342"/>
      <c r="KIF16" s="342"/>
      <c r="KIG16" s="342"/>
      <c r="KIH16" s="343"/>
      <c r="KII16" s="343"/>
      <c r="KIJ16" s="344"/>
      <c r="KIK16" s="344"/>
      <c r="KIL16" s="344"/>
      <c r="KIM16" s="342"/>
      <c r="KIN16" s="342"/>
      <c r="KIO16" s="342"/>
      <c r="KIP16" s="343"/>
      <c r="KIQ16" s="343"/>
      <c r="KIR16" s="344"/>
      <c r="KIS16" s="344"/>
      <c r="KIT16" s="344"/>
      <c r="KIU16" s="342"/>
      <c r="KIV16" s="342"/>
      <c r="KIW16" s="342"/>
      <c r="KIX16" s="343"/>
      <c r="KIY16" s="343"/>
      <c r="KIZ16" s="344"/>
      <c r="KJA16" s="344"/>
      <c r="KJB16" s="344"/>
      <c r="KJC16" s="342"/>
      <c r="KJD16" s="342"/>
      <c r="KJE16" s="342"/>
      <c r="KJF16" s="343"/>
      <c r="KJG16" s="343"/>
      <c r="KJH16" s="344"/>
      <c r="KJI16" s="344"/>
      <c r="KJJ16" s="344"/>
      <c r="KJK16" s="342"/>
      <c r="KJL16" s="342"/>
      <c r="KJM16" s="342"/>
      <c r="KJN16" s="343"/>
      <c r="KJO16" s="343"/>
      <c r="KJP16" s="344"/>
      <c r="KJQ16" s="344"/>
      <c r="KJR16" s="344"/>
      <c r="KJS16" s="342"/>
      <c r="KJT16" s="342"/>
      <c r="KJU16" s="342"/>
      <c r="KJV16" s="343"/>
      <c r="KJW16" s="343"/>
      <c r="KJX16" s="344"/>
      <c r="KJY16" s="344"/>
      <c r="KJZ16" s="344"/>
      <c r="KKA16" s="342"/>
      <c r="KKB16" s="342"/>
      <c r="KKC16" s="342"/>
      <c r="KKD16" s="343"/>
      <c r="KKE16" s="343"/>
      <c r="KKF16" s="344"/>
      <c r="KKG16" s="344"/>
      <c r="KKH16" s="344"/>
      <c r="KKI16" s="342"/>
      <c r="KKJ16" s="342"/>
      <c r="KKK16" s="342"/>
      <c r="KKL16" s="343"/>
      <c r="KKM16" s="343"/>
      <c r="KKN16" s="344"/>
      <c r="KKO16" s="344"/>
      <c r="KKP16" s="344"/>
      <c r="KKQ16" s="342"/>
      <c r="KKR16" s="342"/>
      <c r="KKS16" s="342"/>
      <c r="KKT16" s="343"/>
      <c r="KKU16" s="343"/>
      <c r="KKV16" s="344"/>
      <c r="KKW16" s="344"/>
      <c r="KKX16" s="344"/>
      <c r="KKY16" s="342"/>
      <c r="KKZ16" s="342"/>
      <c r="KLA16" s="342"/>
      <c r="KLB16" s="343"/>
      <c r="KLC16" s="343"/>
      <c r="KLD16" s="344"/>
      <c r="KLE16" s="344"/>
      <c r="KLF16" s="344"/>
      <c r="KLG16" s="342"/>
      <c r="KLH16" s="342"/>
      <c r="KLI16" s="342"/>
      <c r="KLJ16" s="343"/>
      <c r="KLK16" s="343"/>
      <c r="KLL16" s="344"/>
      <c r="KLM16" s="344"/>
      <c r="KLN16" s="344"/>
      <c r="KLO16" s="342"/>
      <c r="KLP16" s="342"/>
      <c r="KLQ16" s="342"/>
      <c r="KLR16" s="343"/>
      <c r="KLS16" s="343"/>
      <c r="KLT16" s="344"/>
      <c r="KLU16" s="344"/>
      <c r="KLV16" s="344"/>
      <c r="KLW16" s="342"/>
      <c r="KLX16" s="342"/>
      <c r="KLY16" s="342"/>
      <c r="KLZ16" s="343"/>
      <c r="KMA16" s="343"/>
      <c r="KMB16" s="344"/>
      <c r="KMC16" s="344"/>
      <c r="KMD16" s="344"/>
      <c r="KME16" s="342"/>
      <c r="KMF16" s="342"/>
      <c r="KMG16" s="342"/>
      <c r="KMH16" s="343"/>
      <c r="KMI16" s="343"/>
      <c r="KMJ16" s="344"/>
      <c r="KMK16" s="344"/>
      <c r="KML16" s="344"/>
      <c r="KMM16" s="342"/>
      <c r="KMN16" s="342"/>
      <c r="KMO16" s="342"/>
      <c r="KMP16" s="343"/>
      <c r="KMQ16" s="343"/>
      <c r="KMR16" s="344"/>
      <c r="KMS16" s="344"/>
      <c r="KMT16" s="344"/>
      <c r="KMU16" s="342"/>
      <c r="KMV16" s="342"/>
      <c r="KMW16" s="342"/>
      <c r="KMX16" s="343"/>
      <c r="KMY16" s="343"/>
      <c r="KMZ16" s="344"/>
      <c r="KNA16" s="344"/>
      <c r="KNB16" s="344"/>
      <c r="KNC16" s="342"/>
      <c r="KND16" s="342"/>
      <c r="KNE16" s="342"/>
      <c r="KNF16" s="343"/>
      <c r="KNG16" s="343"/>
      <c r="KNH16" s="344"/>
      <c r="KNI16" s="344"/>
      <c r="KNJ16" s="344"/>
      <c r="KNK16" s="342"/>
      <c r="KNL16" s="342"/>
      <c r="KNM16" s="342"/>
      <c r="KNN16" s="343"/>
      <c r="KNO16" s="343"/>
      <c r="KNP16" s="344"/>
      <c r="KNQ16" s="344"/>
      <c r="KNR16" s="344"/>
      <c r="KNS16" s="342"/>
      <c r="KNT16" s="342"/>
      <c r="KNU16" s="342"/>
      <c r="KNV16" s="343"/>
      <c r="KNW16" s="343"/>
      <c r="KNX16" s="344"/>
      <c r="KNY16" s="344"/>
      <c r="KNZ16" s="344"/>
      <c r="KOA16" s="342"/>
      <c r="KOB16" s="342"/>
      <c r="KOC16" s="342"/>
      <c r="KOD16" s="343"/>
      <c r="KOE16" s="343"/>
      <c r="KOF16" s="344"/>
      <c r="KOG16" s="344"/>
      <c r="KOH16" s="344"/>
      <c r="KOI16" s="342"/>
      <c r="KOJ16" s="342"/>
      <c r="KOK16" s="342"/>
      <c r="KOL16" s="343"/>
      <c r="KOM16" s="343"/>
      <c r="KON16" s="344"/>
      <c r="KOO16" s="344"/>
      <c r="KOP16" s="344"/>
      <c r="KOQ16" s="342"/>
      <c r="KOR16" s="342"/>
      <c r="KOS16" s="342"/>
      <c r="KOT16" s="343"/>
      <c r="KOU16" s="343"/>
      <c r="KOV16" s="344"/>
      <c r="KOW16" s="344"/>
      <c r="KOX16" s="344"/>
      <c r="KOY16" s="342"/>
      <c r="KOZ16" s="342"/>
      <c r="KPA16" s="342"/>
      <c r="KPB16" s="343"/>
      <c r="KPC16" s="343"/>
      <c r="KPD16" s="344"/>
      <c r="KPE16" s="344"/>
      <c r="KPF16" s="344"/>
      <c r="KPG16" s="342"/>
      <c r="KPH16" s="342"/>
      <c r="KPI16" s="342"/>
      <c r="KPJ16" s="343"/>
      <c r="KPK16" s="343"/>
      <c r="KPL16" s="344"/>
      <c r="KPM16" s="344"/>
      <c r="KPN16" s="344"/>
      <c r="KPO16" s="342"/>
      <c r="KPP16" s="342"/>
      <c r="KPQ16" s="342"/>
      <c r="KPR16" s="343"/>
      <c r="KPS16" s="343"/>
      <c r="KPT16" s="344"/>
      <c r="KPU16" s="344"/>
      <c r="KPV16" s="344"/>
      <c r="KPW16" s="342"/>
      <c r="KPX16" s="342"/>
      <c r="KPY16" s="342"/>
      <c r="KPZ16" s="343"/>
      <c r="KQA16" s="343"/>
      <c r="KQB16" s="344"/>
      <c r="KQC16" s="344"/>
      <c r="KQD16" s="344"/>
      <c r="KQE16" s="342"/>
      <c r="KQF16" s="342"/>
      <c r="KQG16" s="342"/>
      <c r="KQH16" s="343"/>
      <c r="KQI16" s="343"/>
      <c r="KQJ16" s="344"/>
      <c r="KQK16" s="344"/>
      <c r="KQL16" s="344"/>
      <c r="KQM16" s="342"/>
      <c r="KQN16" s="342"/>
      <c r="KQO16" s="342"/>
      <c r="KQP16" s="343"/>
      <c r="KQQ16" s="343"/>
      <c r="KQR16" s="344"/>
      <c r="KQS16" s="344"/>
      <c r="KQT16" s="344"/>
      <c r="KQU16" s="342"/>
      <c r="KQV16" s="342"/>
      <c r="KQW16" s="342"/>
      <c r="KQX16" s="343"/>
      <c r="KQY16" s="343"/>
      <c r="KQZ16" s="344"/>
      <c r="KRA16" s="344"/>
      <c r="KRB16" s="344"/>
      <c r="KRC16" s="342"/>
      <c r="KRD16" s="342"/>
      <c r="KRE16" s="342"/>
      <c r="KRF16" s="343"/>
      <c r="KRG16" s="343"/>
      <c r="KRH16" s="344"/>
      <c r="KRI16" s="344"/>
      <c r="KRJ16" s="344"/>
      <c r="KRK16" s="342"/>
      <c r="KRL16" s="342"/>
      <c r="KRM16" s="342"/>
      <c r="KRN16" s="343"/>
      <c r="KRO16" s="343"/>
      <c r="KRP16" s="344"/>
      <c r="KRQ16" s="344"/>
      <c r="KRR16" s="344"/>
      <c r="KRS16" s="342"/>
      <c r="KRT16" s="342"/>
      <c r="KRU16" s="342"/>
      <c r="KRV16" s="343"/>
      <c r="KRW16" s="343"/>
      <c r="KRX16" s="344"/>
      <c r="KRY16" s="344"/>
      <c r="KRZ16" s="344"/>
      <c r="KSA16" s="342"/>
      <c r="KSB16" s="342"/>
      <c r="KSC16" s="342"/>
      <c r="KSD16" s="343"/>
      <c r="KSE16" s="343"/>
      <c r="KSF16" s="344"/>
      <c r="KSG16" s="344"/>
      <c r="KSH16" s="344"/>
      <c r="KSI16" s="342"/>
      <c r="KSJ16" s="342"/>
      <c r="KSK16" s="342"/>
      <c r="KSL16" s="343"/>
      <c r="KSM16" s="343"/>
      <c r="KSN16" s="344"/>
      <c r="KSO16" s="344"/>
      <c r="KSP16" s="344"/>
      <c r="KSQ16" s="342"/>
      <c r="KSR16" s="342"/>
      <c r="KSS16" s="342"/>
      <c r="KST16" s="343"/>
      <c r="KSU16" s="343"/>
      <c r="KSV16" s="344"/>
      <c r="KSW16" s="344"/>
      <c r="KSX16" s="344"/>
      <c r="KSY16" s="342"/>
      <c r="KSZ16" s="342"/>
      <c r="KTA16" s="342"/>
      <c r="KTB16" s="343"/>
      <c r="KTC16" s="343"/>
      <c r="KTD16" s="344"/>
      <c r="KTE16" s="344"/>
      <c r="KTF16" s="344"/>
      <c r="KTG16" s="342"/>
      <c r="KTH16" s="342"/>
      <c r="KTI16" s="342"/>
      <c r="KTJ16" s="343"/>
      <c r="KTK16" s="343"/>
      <c r="KTL16" s="344"/>
      <c r="KTM16" s="344"/>
      <c r="KTN16" s="344"/>
      <c r="KTO16" s="342"/>
      <c r="KTP16" s="342"/>
      <c r="KTQ16" s="342"/>
      <c r="KTR16" s="343"/>
      <c r="KTS16" s="343"/>
      <c r="KTT16" s="344"/>
      <c r="KTU16" s="344"/>
      <c r="KTV16" s="344"/>
      <c r="KTW16" s="342"/>
      <c r="KTX16" s="342"/>
      <c r="KTY16" s="342"/>
      <c r="KTZ16" s="343"/>
      <c r="KUA16" s="343"/>
      <c r="KUB16" s="344"/>
      <c r="KUC16" s="344"/>
      <c r="KUD16" s="344"/>
      <c r="KUE16" s="342"/>
      <c r="KUF16" s="342"/>
      <c r="KUG16" s="342"/>
      <c r="KUH16" s="343"/>
      <c r="KUI16" s="343"/>
      <c r="KUJ16" s="344"/>
      <c r="KUK16" s="344"/>
      <c r="KUL16" s="344"/>
      <c r="KUM16" s="342"/>
      <c r="KUN16" s="342"/>
      <c r="KUO16" s="342"/>
      <c r="KUP16" s="343"/>
      <c r="KUQ16" s="343"/>
      <c r="KUR16" s="344"/>
      <c r="KUS16" s="344"/>
      <c r="KUT16" s="344"/>
      <c r="KUU16" s="342"/>
      <c r="KUV16" s="342"/>
      <c r="KUW16" s="342"/>
      <c r="KUX16" s="343"/>
      <c r="KUY16" s="343"/>
      <c r="KUZ16" s="344"/>
      <c r="KVA16" s="344"/>
      <c r="KVB16" s="344"/>
      <c r="KVC16" s="342"/>
      <c r="KVD16" s="342"/>
      <c r="KVE16" s="342"/>
      <c r="KVF16" s="343"/>
      <c r="KVG16" s="343"/>
      <c r="KVH16" s="344"/>
      <c r="KVI16" s="344"/>
      <c r="KVJ16" s="344"/>
      <c r="KVK16" s="342"/>
      <c r="KVL16" s="342"/>
      <c r="KVM16" s="342"/>
      <c r="KVN16" s="343"/>
      <c r="KVO16" s="343"/>
      <c r="KVP16" s="344"/>
      <c r="KVQ16" s="344"/>
      <c r="KVR16" s="344"/>
      <c r="KVS16" s="342"/>
      <c r="KVT16" s="342"/>
      <c r="KVU16" s="342"/>
      <c r="KVV16" s="343"/>
      <c r="KVW16" s="343"/>
      <c r="KVX16" s="344"/>
      <c r="KVY16" s="344"/>
      <c r="KVZ16" s="344"/>
      <c r="KWA16" s="342"/>
      <c r="KWB16" s="342"/>
      <c r="KWC16" s="342"/>
      <c r="KWD16" s="343"/>
      <c r="KWE16" s="343"/>
      <c r="KWF16" s="344"/>
      <c r="KWG16" s="344"/>
      <c r="KWH16" s="344"/>
      <c r="KWI16" s="342"/>
      <c r="KWJ16" s="342"/>
      <c r="KWK16" s="342"/>
      <c r="KWL16" s="343"/>
      <c r="KWM16" s="343"/>
      <c r="KWN16" s="344"/>
      <c r="KWO16" s="344"/>
      <c r="KWP16" s="344"/>
      <c r="KWQ16" s="342"/>
      <c r="KWR16" s="342"/>
      <c r="KWS16" s="342"/>
      <c r="KWT16" s="343"/>
      <c r="KWU16" s="343"/>
      <c r="KWV16" s="344"/>
      <c r="KWW16" s="344"/>
      <c r="KWX16" s="344"/>
      <c r="KWY16" s="342"/>
      <c r="KWZ16" s="342"/>
      <c r="KXA16" s="342"/>
      <c r="KXB16" s="343"/>
      <c r="KXC16" s="343"/>
      <c r="KXD16" s="344"/>
      <c r="KXE16" s="344"/>
      <c r="KXF16" s="344"/>
      <c r="KXG16" s="342"/>
      <c r="KXH16" s="342"/>
      <c r="KXI16" s="342"/>
      <c r="KXJ16" s="343"/>
      <c r="KXK16" s="343"/>
      <c r="KXL16" s="344"/>
      <c r="KXM16" s="344"/>
      <c r="KXN16" s="344"/>
      <c r="KXO16" s="342"/>
      <c r="KXP16" s="342"/>
      <c r="KXQ16" s="342"/>
      <c r="KXR16" s="343"/>
      <c r="KXS16" s="343"/>
      <c r="KXT16" s="344"/>
      <c r="KXU16" s="344"/>
      <c r="KXV16" s="344"/>
      <c r="KXW16" s="342"/>
      <c r="KXX16" s="342"/>
      <c r="KXY16" s="342"/>
      <c r="KXZ16" s="343"/>
      <c r="KYA16" s="343"/>
      <c r="KYB16" s="344"/>
      <c r="KYC16" s="344"/>
      <c r="KYD16" s="344"/>
      <c r="KYE16" s="342"/>
      <c r="KYF16" s="342"/>
      <c r="KYG16" s="342"/>
      <c r="KYH16" s="343"/>
      <c r="KYI16" s="343"/>
      <c r="KYJ16" s="344"/>
      <c r="KYK16" s="344"/>
      <c r="KYL16" s="344"/>
      <c r="KYM16" s="342"/>
      <c r="KYN16" s="342"/>
      <c r="KYO16" s="342"/>
      <c r="KYP16" s="343"/>
      <c r="KYQ16" s="343"/>
      <c r="KYR16" s="344"/>
      <c r="KYS16" s="344"/>
      <c r="KYT16" s="344"/>
      <c r="KYU16" s="342"/>
      <c r="KYV16" s="342"/>
      <c r="KYW16" s="342"/>
      <c r="KYX16" s="343"/>
      <c r="KYY16" s="343"/>
      <c r="KYZ16" s="344"/>
      <c r="KZA16" s="344"/>
      <c r="KZB16" s="344"/>
      <c r="KZC16" s="342"/>
      <c r="KZD16" s="342"/>
      <c r="KZE16" s="342"/>
      <c r="KZF16" s="343"/>
      <c r="KZG16" s="343"/>
      <c r="KZH16" s="344"/>
      <c r="KZI16" s="344"/>
      <c r="KZJ16" s="344"/>
      <c r="KZK16" s="342"/>
      <c r="KZL16" s="342"/>
      <c r="KZM16" s="342"/>
      <c r="KZN16" s="343"/>
      <c r="KZO16" s="343"/>
      <c r="KZP16" s="344"/>
      <c r="KZQ16" s="344"/>
      <c r="KZR16" s="344"/>
      <c r="KZS16" s="342"/>
      <c r="KZT16" s="342"/>
      <c r="KZU16" s="342"/>
      <c r="KZV16" s="343"/>
      <c r="KZW16" s="343"/>
      <c r="KZX16" s="344"/>
      <c r="KZY16" s="344"/>
      <c r="KZZ16" s="344"/>
      <c r="LAA16" s="342"/>
      <c r="LAB16" s="342"/>
      <c r="LAC16" s="342"/>
      <c r="LAD16" s="343"/>
      <c r="LAE16" s="343"/>
      <c r="LAF16" s="344"/>
      <c r="LAG16" s="344"/>
      <c r="LAH16" s="344"/>
      <c r="LAI16" s="342"/>
      <c r="LAJ16" s="342"/>
      <c r="LAK16" s="342"/>
      <c r="LAL16" s="343"/>
      <c r="LAM16" s="343"/>
      <c r="LAN16" s="344"/>
      <c r="LAO16" s="344"/>
      <c r="LAP16" s="344"/>
      <c r="LAQ16" s="342"/>
      <c r="LAR16" s="342"/>
      <c r="LAS16" s="342"/>
      <c r="LAT16" s="343"/>
      <c r="LAU16" s="343"/>
      <c r="LAV16" s="344"/>
      <c r="LAW16" s="344"/>
      <c r="LAX16" s="344"/>
      <c r="LAY16" s="342"/>
      <c r="LAZ16" s="342"/>
      <c r="LBA16" s="342"/>
      <c r="LBB16" s="343"/>
      <c r="LBC16" s="343"/>
      <c r="LBD16" s="344"/>
      <c r="LBE16" s="344"/>
      <c r="LBF16" s="344"/>
      <c r="LBG16" s="342"/>
      <c r="LBH16" s="342"/>
      <c r="LBI16" s="342"/>
      <c r="LBJ16" s="343"/>
      <c r="LBK16" s="343"/>
      <c r="LBL16" s="344"/>
      <c r="LBM16" s="344"/>
      <c r="LBN16" s="344"/>
      <c r="LBO16" s="342"/>
      <c r="LBP16" s="342"/>
      <c r="LBQ16" s="342"/>
      <c r="LBR16" s="343"/>
      <c r="LBS16" s="343"/>
      <c r="LBT16" s="344"/>
      <c r="LBU16" s="344"/>
      <c r="LBV16" s="344"/>
      <c r="LBW16" s="342"/>
      <c r="LBX16" s="342"/>
      <c r="LBY16" s="342"/>
      <c r="LBZ16" s="343"/>
      <c r="LCA16" s="343"/>
      <c r="LCB16" s="344"/>
      <c r="LCC16" s="344"/>
      <c r="LCD16" s="344"/>
      <c r="LCE16" s="342"/>
      <c r="LCF16" s="342"/>
      <c r="LCG16" s="342"/>
      <c r="LCH16" s="343"/>
      <c r="LCI16" s="343"/>
      <c r="LCJ16" s="344"/>
      <c r="LCK16" s="344"/>
      <c r="LCL16" s="344"/>
      <c r="LCM16" s="342"/>
      <c r="LCN16" s="342"/>
      <c r="LCO16" s="342"/>
      <c r="LCP16" s="343"/>
      <c r="LCQ16" s="343"/>
      <c r="LCR16" s="344"/>
      <c r="LCS16" s="344"/>
      <c r="LCT16" s="344"/>
      <c r="LCU16" s="342"/>
      <c r="LCV16" s="342"/>
      <c r="LCW16" s="342"/>
      <c r="LCX16" s="343"/>
      <c r="LCY16" s="343"/>
      <c r="LCZ16" s="344"/>
      <c r="LDA16" s="344"/>
      <c r="LDB16" s="344"/>
      <c r="LDC16" s="342"/>
      <c r="LDD16" s="342"/>
      <c r="LDE16" s="342"/>
      <c r="LDF16" s="343"/>
      <c r="LDG16" s="343"/>
      <c r="LDH16" s="344"/>
      <c r="LDI16" s="344"/>
      <c r="LDJ16" s="344"/>
      <c r="LDK16" s="342"/>
      <c r="LDL16" s="342"/>
      <c r="LDM16" s="342"/>
      <c r="LDN16" s="343"/>
      <c r="LDO16" s="343"/>
      <c r="LDP16" s="344"/>
      <c r="LDQ16" s="344"/>
      <c r="LDR16" s="344"/>
      <c r="LDS16" s="342"/>
      <c r="LDT16" s="342"/>
      <c r="LDU16" s="342"/>
      <c r="LDV16" s="343"/>
      <c r="LDW16" s="343"/>
      <c r="LDX16" s="344"/>
      <c r="LDY16" s="344"/>
      <c r="LDZ16" s="344"/>
      <c r="LEA16" s="342"/>
      <c r="LEB16" s="342"/>
      <c r="LEC16" s="342"/>
      <c r="LED16" s="343"/>
      <c r="LEE16" s="343"/>
      <c r="LEF16" s="344"/>
      <c r="LEG16" s="344"/>
      <c r="LEH16" s="344"/>
      <c r="LEI16" s="342"/>
      <c r="LEJ16" s="342"/>
      <c r="LEK16" s="342"/>
      <c r="LEL16" s="343"/>
      <c r="LEM16" s="343"/>
      <c r="LEN16" s="344"/>
      <c r="LEO16" s="344"/>
      <c r="LEP16" s="344"/>
      <c r="LEQ16" s="342"/>
      <c r="LER16" s="342"/>
      <c r="LES16" s="342"/>
      <c r="LET16" s="343"/>
      <c r="LEU16" s="343"/>
      <c r="LEV16" s="344"/>
      <c r="LEW16" s="344"/>
      <c r="LEX16" s="344"/>
      <c r="LEY16" s="342"/>
      <c r="LEZ16" s="342"/>
      <c r="LFA16" s="342"/>
      <c r="LFB16" s="343"/>
      <c r="LFC16" s="343"/>
      <c r="LFD16" s="344"/>
      <c r="LFE16" s="344"/>
      <c r="LFF16" s="344"/>
      <c r="LFG16" s="342"/>
      <c r="LFH16" s="342"/>
      <c r="LFI16" s="342"/>
      <c r="LFJ16" s="343"/>
      <c r="LFK16" s="343"/>
      <c r="LFL16" s="344"/>
      <c r="LFM16" s="344"/>
      <c r="LFN16" s="344"/>
      <c r="LFO16" s="342"/>
      <c r="LFP16" s="342"/>
      <c r="LFQ16" s="342"/>
      <c r="LFR16" s="343"/>
      <c r="LFS16" s="343"/>
      <c r="LFT16" s="344"/>
      <c r="LFU16" s="344"/>
      <c r="LFV16" s="344"/>
      <c r="LFW16" s="342"/>
      <c r="LFX16" s="342"/>
      <c r="LFY16" s="342"/>
      <c r="LFZ16" s="343"/>
      <c r="LGA16" s="343"/>
      <c r="LGB16" s="344"/>
      <c r="LGC16" s="344"/>
      <c r="LGD16" s="344"/>
      <c r="LGE16" s="342"/>
      <c r="LGF16" s="342"/>
      <c r="LGG16" s="342"/>
      <c r="LGH16" s="343"/>
      <c r="LGI16" s="343"/>
      <c r="LGJ16" s="344"/>
      <c r="LGK16" s="344"/>
      <c r="LGL16" s="344"/>
      <c r="LGM16" s="342"/>
      <c r="LGN16" s="342"/>
      <c r="LGO16" s="342"/>
      <c r="LGP16" s="343"/>
      <c r="LGQ16" s="343"/>
      <c r="LGR16" s="344"/>
      <c r="LGS16" s="344"/>
      <c r="LGT16" s="344"/>
      <c r="LGU16" s="342"/>
      <c r="LGV16" s="342"/>
      <c r="LGW16" s="342"/>
      <c r="LGX16" s="343"/>
      <c r="LGY16" s="343"/>
      <c r="LGZ16" s="344"/>
      <c r="LHA16" s="344"/>
      <c r="LHB16" s="344"/>
      <c r="LHC16" s="342"/>
      <c r="LHD16" s="342"/>
      <c r="LHE16" s="342"/>
      <c r="LHF16" s="343"/>
      <c r="LHG16" s="343"/>
      <c r="LHH16" s="344"/>
      <c r="LHI16" s="344"/>
      <c r="LHJ16" s="344"/>
      <c r="LHK16" s="342"/>
      <c r="LHL16" s="342"/>
      <c r="LHM16" s="342"/>
      <c r="LHN16" s="343"/>
      <c r="LHO16" s="343"/>
      <c r="LHP16" s="344"/>
      <c r="LHQ16" s="344"/>
      <c r="LHR16" s="344"/>
      <c r="LHS16" s="342"/>
      <c r="LHT16" s="342"/>
      <c r="LHU16" s="342"/>
      <c r="LHV16" s="343"/>
      <c r="LHW16" s="343"/>
      <c r="LHX16" s="344"/>
      <c r="LHY16" s="344"/>
      <c r="LHZ16" s="344"/>
      <c r="LIA16" s="342"/>
      <c r="LIB16" s="342"/>
      <c r="LIC16" s="342"/>
      <c r="LID16" s="343"/>
      <c r="LIE16" s="343"/>
      <c r="LIF16" s="344"/>
      <c r="LIG16" s="344"/>
      <c r="LIH16" s="344"/>
      <c r="LII16" s="342"/>
      <c r="LIJ16" s="342"/>
      <c r="LIK16" s="342"/>
      <c r="LIL16" s="343"/>
      <c r="LIM16" s="343"/>
      <c r="LIN16" s="344"/>
      <c r="LIO16" s="344"/>
      <c r="LIP16" s="344"/>
      <c r="LIQ16" s="342"/>
      <c r="LIR16" s="342"/>
      <c r="LIS16" s="342"/>
      <c r="LIT16" s="343"/>
      <c r="LIU16" s="343"/>
      <c r="LIV16" s="344"/>
      <c r="LIW16" s="344"/>
      <c r="LIX16" s="344"/>
      <c r="LIY16" s="342"/>
      <c r="LIZ16" s="342"/>
      <c r="LJA16" s="342"/>
      <c r="LJB16" s="343"/>
      <c r="LJC16" s="343"/>
      <c r="LJD16" s="344"/>
      <c r="LJE16" s="344"/>
      <c r="LJF16" s="344"/>
      <c r="LJG16" s="342"/>
      <c r="LJH16" s="342"/>
      <c r="LJI16" s="342"/>
      <c r="LJJ16" s="343"/>
      <c r="LJK16" s="343"/>
      <c r="LJL16" s="344"/>
      <c r="LJM16" s="344"/>
      <c r="LJN16" s="344"/>
      <c r="LJO16" s="342"/>
      <c r="LJP16" s="342"/>
      <c r="LJQ16" s="342"/>
      <c r="LJR16" s="343"/>
      <c r="LJS16" s="343"/>
      <c r="LJT16" s="344"/>
      <c r="LJU16" s="344"/>
      <c r="LJV16" s="344"/>
      <c r="LJW16" s="342"/>
      <c r="LJX16" s="342"/>
      <c r="LJY16" s="342"/>
      <c r="LJZ16" s="343"/>
      <c r="LKA16" s="343"/>
      <c r="LKB16" s="344"/>
      <c r="LKC16" s="344"/>
      <c r="LKD16" s="344"/>
      <c r="LKE16" s="342"/>
      <c r="LKF16" s="342"/>
      <c r="LKG16" s="342"/>
      <c r="LKH16" s="343"/>
      <c r="LKI16" s="343"/>
      <c r="LKJ16" s="344"/>
      <c r="LKK16" s="344"/>
      <c r="LKL16" s="344"/>
      <c r="LKM16" s="342"/>
      <c r="LKN16" s="342"/>
      <c r="LKO16" s="342"/>
      <c r="LKP16" s="343"/>
      <c r="LKQ16" s="343"/>
      <c r="LKR16" s="344"/>
      <c r="LKS16" s="344"/>
      <c r="LKT16" s="344"/>
      <c r="LKU16" s="342"/>
      <c r="LKV16" s="342"/>
      <c r="LKW16" s="342"/>
      <c r="LKX16" s="343"/>
      <c r="LKY16" s="343"/>
      <c r="LKZ16" s="344"/>
      <c r="LLA16" s="344"/>
      <c r="LLB16" s="344"/>
      <c r="LLC16" s="342"/>
      <c r="LLD16" s="342"/>
      <c r="LLE16" s="342"/>
      <c r="LLF16" s="343"/>
      <c r="LLG16" s="343"/>
      <c r="LLH16" s="344"/>
      <c r="LLI16" s="344"/>
      <c r="LLJ16" s="344"/>
      <c r="LLK16" s="342"/>
      <c r="LLL16" s="342"/>
      <c r="LLM16" s="342"/>
      <c r="LLN16" s="343"/>
      <c r="LLO16" s="343"/>
      <c r="LLP16" s="344"/>
      <c r="LLQ16" s="344"/>
      <c r="LLR16" s="344"/>
      <c r="LLS16" s="342"/>
      <c r="LLT16" s="342"/>
      <c r="LLU16" s="342"/>
      <c r="LLV16" s="343"/>
      <c r="LLW16" s="343"/>
      <c r="LLX16" s="344"/>
      <c r="LLY16" s="344"/>
      <c r="LLZ16" s="344"/>
      <c r="LMA16" s="342"/>
      <c r="LMB16" s="342"/>
      <c r="LMC16" s="342"/>
      <c r="LMD16" s="343"/>
      <c r="LME16" s="343"/>
      <c r="LMF16" s="344"/>
      <c r="LMG16" s="344"/>
      <c r="LMH16" s="344"/>
      <c r="LMI16" s="342"/>
      <c r="LMJ16" s="342"/>
      <c r="LMK16" s="342"/>
      <c r="LML16" s="343"/>
      <c r="LMM16" s="343"/>
      <c r="LMN16" s="344"/>
      <c r="LMO16" s="344"/>
      <c r="LMP16" s="344"/>
      <c r="LMQ16" s="342"/>
      <c r="LMR16" s="342"/>
      <c r="LMS16" s="342"/>
      <c r="LMT16" s="343"/>
      <c r="LMU16" s="343"/>
      <c r="LMV16" s="344"/>
      <c r="LMW16" s="344"/>
      <c r="LMX16" s="344"/>
      <c r="LMY16" s="342"/>
      <c r="LMZ16" s="342"/>
      <c r="LNA16" s="342"/>
      <c r="LNB16" s="343"/>
      <c r="LNC16" s="343"/>
      <c r="LND16" s="344"/>
      <c r="LNE16" s="344"/>
      <c r="LNF16" s="344"/>
      <c r="LNG16" s="342"/>
      <c r="LNH16" s="342"/>
      <c r="LNI16" s="342"/>
      <c r="LNJ16" s="343"/>
      <c r="LNK16" s="343"/>
      <c r="LNL16" s="344"/>
      <c r="LNM16" s="344"/>
      <c r="LNN16" s="344"/>
      <c r="LNO16" s="342"/>
      <c r="LNP16" s="342"/>
      <c r="LNQ16" s="342"/>
      <c r="LNR16" s="343"/>
      <c r="LNS16" s="343"/>
      <c r="LNT16" s="344"/>
      <c r="LNU16" s="344"/>
      <c r="LNV16" s="344"/>
      <c r="LNW16" s="342"/>
      <c r="LNX16" s="342"/>
      <c r="LNY16" s="342"/>
      <c r="LNZ16" s="343"/>
      <c r="LOA16" s="343"/>
      <c r="LOB16" s="344"/>
      <c r="LOC16" s="344"/>
      <c r="LOD16" s="344"/>
      <c r="LOE16" s="342"/>
      <c r="LOF16" s="342"/>
      <c r="LOG16" s="342"/>
      <c r="LOH16" s="343"/>
      <c r="LOI16" s="343"/>
      <c r="LOJ16" s="344"/>
      <c r="LOK16" s="344"/>
      <c r="LOL16" s="344"/>
      <c r="LOM16" s="342"/>
      <c r="LON16" s="342"/>
      <c r="LOO16" s="342"/>
      <c r="LOP16" s="343"/>
      <c r="LOQ16" s="343"/>
      <c r="LOR16" s="344"/>
      <c r="LOS16" s="344"/>
      <c r="LOT16" s="344"/>
      <c r="LOU16" s="342"/>
      <c r="LOV16" s="342"/>
      <c r="LOW16" s="342"/>
      <c r="LOX16" s="343"/>
      <c r="LOY16" s="343"/>
      <c r="LOZ16" s="344"/>
      <c r="LPA16" s="344"/>
      <c r="LPB16" s="344"/>
      <c r="LPC16" s="342"/>
      <c r="LPD16" s="342"/>
      <c r="LPE16" s="342"/>
      <c r="LPF16" s="343"/>
      <c r="LPG16" s="343"/>
      <c r="LPH16" s="344"/>
      <c r="LPI16" s="344"/>
      <c r="LPJ16" s="344"/>
      <c r="LPK16" s="342"/>
      <c r="LPL16" s="342"/>
      <c r="LPM16" s="342"/>
      <c r="LPN16" s="343"/>
      <c r="LPO16" s="343"/>
      <c r="LPP16" s="344"/>
      <c r="LPQ16" s="344"/>
      <c r="LPR16" s="344"/>
      <c r="LPS16" s="342"/>
      <c r="LPT16" s="342"/>
      <c r="LPU16" s="342"/>
      <c r="LPV16" s="343"/>
      <c r="LPW16" s="343"/>
      <c r="LPX16" s="344"/>
      <c r="LPY16" s="344"/>
      <c r="LPZ16" s="344"/>
      <c r="LQA16" s="342"/>
      <c r="LQB16" s="342"/>
      <c r="LQC16" s="342"/>
      <c r="LQD16" s="343"/>
      <c r="LQE16" s="343"/>
      <c r="LQF16" s="344"/>
      <c r="LQG16" s="344"/>
      <c r="LQH16" s="344"/>
      <c r="LQI16" s="342"/>
      <c r="LQJ16" s="342"/>
      <c r="LQK16" s="342"/>
      <c r="LQL16" s="343"/>
      <c r="LQM16" s="343"/>
      <c r="LQN16" s="344"/>
      <c r="LQO16" s="344"/>
      <c r="LQP16" s="344"/>
      <c r="LQQ16" s="342"/>
      <c r="LQR16" s="342"/>
      <c r="LQS16" s="342"/>
      <c r="LQT16" s="343"/>
      <c r="LQU16" s="343"/>
      <c r="LQV16" s="344"/>
      <c r="LQW16" s="344"/>
      <c r="LQX16" s="344"/>
      <c r="LQY16" s="342"/>
      <c r="LQZ16" s="342"/>
      <c r="LRA16" s="342"/>
      <c r="LRB16" s="343"/>
      <c r="LRC16" s="343"/>
      <c r="LRD16" s="344"/>
      <c r="LRE16" s="344"/>
      <c r="LRF16" s="344"/>
      <c r="LRG16" s="342"/>
      <c r="LRH16" s="342"/>
      <c r="LRI16" s="342"/>
      <c r="LRJ16" s="343"/>
      <c r="LRK16" s="343"/>
      <c r="LRL16" s="344"/>
      <c r="LRM16" s="344"/>
      <c r="LRN16" s="344"/>
      <c r="LRO16" s="342"/>
      <c r="LRP16" s="342"/>
      <c r="LRQ16" s="342"/>
      <c r="LRR16" s="343"/>
      <c r="LRS16" s="343"/>
      <c r="LRT16" s="344"/>
      <c r="LRU16" s="344"/>
      <c r="LRV16" s="344"/>
      <c r="LRW16" s="342"/>
      <c r="LRX16" s="342"/>
      <c r="LRY16" s="342"/>
      <c r="LRZ16" s="343"/>
      <c r="LSA16" s="343"/>
      <c r="LSB16" s="344"/>
      <c r="LSC16" s="344"/>
      <c r="LSD16" s="344"/>
      <c r="LSE16" s="342"/>
      <c r="LSF16" s="342"/>
      <c r="LSG16" s="342"/>
      <c r="LSH16" s="343"/>
      <c r="LSI16" s="343"/>
      <c r="LSJ16" s="344"/>
      <c r="LSK16" s="344"/>
      <c r="LSL16" s="344"/>
      <c r="LSM16" s="342"/>
      <c r="LSN16" s="342"/>
      <c r="LSO16" s="342"/>
      <c r="LSP16" s="343"/>
      <c r="LSQ16" s="343"/>
      <c r="LSR16" s="344"/>
      <c r="LSS16" s="344"/>
      <c r="LST16" s="344"/>
      <c r="LSU16" s="342"/>
      <c r="LSV16" s="342"/>
      <c r="LSW16" s="342"/>
      <c r="LSX16" s="343"/>
      <c r="LSY16" s="343"/>
      <c r="LSZ16" s="344"/>
      <c r="LTA16" s="344"/>
      <c r="LTB16" s="344"/>
      <c r="LTC16" s="342"/>
      <c r="LTD16" s="342"/>
      <c r="LTE16" s="342"/>
      <c r="LTF16" s="343"/>
      <c r="LTG16" s="343"/>
      <c r="LTH16" s="344"/>
      <c r="LTI16" s="344"/>
      <c r="LTJ16" s="344"/>
      <c r="LTK16" s="342"/>
      <c r="LTL16" s="342"/>
      <c r="LTM16" s="342"/>
      <c r="LTN16" s="343"/>
      <c r="LTO16" s="343"/>
      <c r="LTP16" s="344"/>
      <c r="LTQ16" s="344"/>
      <c r="LTR16" s="344"/>
      <c r="LTS16" s="342"/>
      <c r="LTT16" s="342"/>
      <c r="LTU16" s="342"/>
      <c r="LTV16" s="343"/>
      <c r="LTW16" s="343"/>
      <c r="LTX16" s="344"/>
      <c r="LTY16" s="344"/>
      <c r="LTZ16" s="344"/>
      <c r="LUA16" s="342"/>
      <c r="LUB16" s="342"/>
      <c r="LUC16" s="342"/>
      <c r="LUD16" s="343"/>
      <c r="LUE16" s="343"/>
      <c r="LUF16" s="344"/>
      <c r="LUG16" s="344"/>
      <c r="LUH16" s="344"/>
      <c r="LUI16" s="342"/>
      <c r="LUJ16" s="342"/>
      <c r="LUK16" s="342"/>
      <c r="LUL16" s="343"/>
      <c r="LUM16" s="343"/>
      <c r="LUN16" s="344"/>
      <c r="LUO16" s="344"/>
      <c r="LUP16" s="344"/>
      <c r="LUQ16" s="342"/>
      <c r="LUR16" s="342"/>
      <c r="LUS16" s="342"/>
      <c r="LUT16" s="343"/>
      <c r="LUU16" s="343"/>
      <c r="LUV16" s="344"/>
      <c r="LUW16" s="344"/>
      <c r="LUX16" s="344"/>
      <c r="LUY16" s="342"/>
      <c r="LUZ16" s="342"/>
      <c r="LVA16" s="342"/>
      <c r="LVB16" s="343"/>
      <c r="LVC16" s="343"/>
      <c r="LVD16" s="344"/>
      <c r="LVE16" s="344"/>
      <c r="LVF16" s="344"/>
      <c r="LVG16" s="342"/>
      <c r="LVH16" s="342"/>
      <c r="LVI16" s="342"/>
      <c r="LVJ16" s="343"/>
      <c r="LVK16" s="343"/>
      <c r="LVL16" s="344"/>
      <c r="LVM16" s="344"/>
      <c r="LVN16" s="344"/>
      <c r="LVO16" s="342"/>
      <c r="LVP16" s="342"/>
      <c r="LVQ16" s="342"/>
      <c r="LVR16" s="343"/>
      <c r="LVS16" s="343"/>
      <c r="LVT16" s="344"/>
      <c r="LVU16" s="344"/>
      <c r="LVV16" s="344"/>
      <c r="LVW16" s="342"/>
      <c r="LVX16" s="342"/>
      <c r="LVY16" s="342"/>
      <c r="LVZ16" s="343"/>
      <c r="LWA16" s="343"/>
      <c r="LWB16" s="344"/>
      <c r="LWC16" s="344"/>
      <c r="LWD16" s="344"/>
      <c r="LWE16" s="342"/>
      <c r="LWF16" s="342"/>
      <c r="LWG16" s="342"/>
      <c r="LWH16" s="343"/>
      <c r="LWI16" s="343"/>
      <c r="LWJ16" s="344"/>
      <c r="LWK16" s="344"/>
      <c r="LWL16" s="344"/>
      <c r="LWM16" s="342"/>
      <c r="LWN16" s="342"/>
      <c r="LWO16" s="342"/>
      <c r="LWP16" s="343"/>
      <c r="LWQ16" s="343"/>
      <c r="LWR16" s="344"/>
      <c r="LWS16" s="344"/>
      <c r="LWT16" s="344"/>
      <c r="LWU16" s="342"/>
      <c r="LWV16" s="342"/>
      <c r="LWW16" s="342"/>
      <c r="LWX16" s="343"/>
      <c r="LWY16" s="343"/>
      <c r="LWZ16" s="344"/>
      <c r="LXA16" s="344"/>
      <c r="LXB16" s="344"/>
      <c r="LXC16" s="342"/>
      <c r="LXD16" s="342"/>
      <c r="LXE16" s="342"/>
      <c r="LXF16" s="343"/>
      <c r="LXG16" s="343"/>
      <c r="LXH16" s="344"/>
      <c r="LXI16" s="344"/>
      <c r="LXJ16" s="344"/>
      <c r="LXK16" s="342"/>
      <c r="LXL16" s="342"/>
      <c r="LXM16" s="342"/>
      <c r="LXN16" s="343"/>
      <c r="LXO16" s="343"/>
      <c r="LXP16" s="344"/>
      <c r="LXQ16" s="344"/>
      <c r="LXR16" s="344"/>
      <c r="LXS16" s="342"/>
      <c r="LXT16" s="342"/>
      <c r="LXU16" s="342"/>
      <c r="LXV16" s="343"/>
      <c r="LXW16" s="343"/>
      <c r="LXX16" s="344"/>
      <c r="LXY16" s="344"/>
      <c r="LXZ16" s="344"/>
      <c r="LYA16" s="342"/>
      <c r="LYB16" s="342"/>
      <c r="LYC16" s="342"/>
      <c r="LYD16" s="343"/>
      <c r="LYE16" s="343"/>
      <c r="LYF16" s="344"/>
      <c r="LYG16" s="344"/>
      <c r="LYH16" s="344"/>
      <c r="LYI16" s="342"/>
      <c r="LYJ16" s="342"/>
      <c r="LYK16" s="342"/>
      <c r="LYL16" s="343"/>
      <c r="LYM16" s="343"/>
      <c r="LYN16" s="344"/>
      <c r="LYO16" s="344"/>
      <c r="LYP16" s="344"/>
      <c r="LYQ16" s="342"/>
      <c r="LYR16" s="342"/>
      <c r="LYS16" s="342"/>
      <c r="LYT16" s="343"/>
      <c r="LYU16" s="343"/>
      <c r="LYV16" s="344"/>
      <c r="LYW16" s="344"/>
      <c r="LYX16" s="344"/>
      <c r="LYY16" s="342"/>
      <c r="LYZ16" s="342"/>
      <c r="LZA16" s="342"/>
      <c r="LZB16" s="343"/>
      <c r="LZC16" s="343"/>
      <c r="LZD16" s="344"/>
      <c r="LZE16" s="344"/>
      <c r="LZF16" s="344"/>
      <c r="LZG16" s="342"/>
      <c r="LZH16" s="342"/>
      <c r="LZI16" s="342"/>
      <c r="LZJ16" s="343"/>
      <c r="LZK16" s="343"/>
      <c r="LZL16" s="344"/>
      <c r="LZM16" s="344"/>
      <c r="LZN16" s="344"/>
      <c r="LZO16" s="342"/>
      <c r="LZP16" s="342"/>
      <c r="LZQ16" s="342"/>
      <c r="LZR16" s="343"/>
      <c r="LZS16" s="343"/>
      <c r="LZT16" s="344"/>
      <c r="LZU16" s="344"/>
      <c r="LZV16" s="344"/>
      <c r="LZW16" s="342"/>
      <c r="LZX16" s="342"/>
      <c r="LZY16" s="342"/>
      <c r="LZZ16" s="343"/>
      <c r="MAA16" s="343"/>
      <c r="MAB16" s="344"/>
      <c r="MAC16" s="344"/>
      <c r="MAD16" s="344"/>
      <c r="MAE16" s="342"/>
      <c r="MAF16" s="342"/>
      <c r="MAG16" s="342"/>
      <c r="MAH16" s="343"/>
      <c r="MAI16" s="343"/>
      <c r="MAJ16" s="344"/>
      <c r="MAK16" s="344"/>
      <c r="MAL16" s="344"/>
      <c r="MAM16" s="342"/>
      <c r="MAN16" s="342"/>
      <c r="MAO16" s="342"/>
      <c r="MAP16" s="343"/>
      <c r="MAQ16" s="343"/>
      <c r="MAR16" s="344"/>
      <c r="MAS16" s="344"/>
      <c r="MAT16" s="344"/>
      <c r="MAU16" s="342"/>
      <c r="MAV16" s="342"/>
      <c r="MAW16" s="342"/>
      <c r="MAX16" s="343"/>
      <c r="MAY16" s="343"/>
      <c r="MAZ16" s="344"/>
      <c r="MBA16" s="344"/>
      <c r="MBB16" s="344"/>
      <c r="MBC16" s="342"/>
      <c r="MBD16" s="342"/>
      <c r="MBE16" s="342"/>
      <c r="MBF16" s="343"/>
      <c r="MBG16" s="343"/>
      <c r="MBH16" s="344"/>
      <c r="MBI16" s="344"/>
      <c r="MBJ16" s="344"/>
      <c r="MBK16" s="342"/>
      <c r="MBL16" s="342"/>
      <c r="MBM16" s="342"/>
      <c r="MBN16" s="343"/>
      <c r="MBO16" s="343"/>
      <c r="MBP16" s="344"/>
      <c r="MBQ16" s="344"/>
      <c r="MBR16" s="344"/>
      <c r="MBS16" s="342"/>
      <c r="MBT16" s="342"/>
      <c r="MBU16" s="342"/>
      <c r="MBV16" s="343"/>
      <c r="MBW16" s="343"/>
      <c r="MBX16" s="344"/>
      <c r="MBY16" s="344"/>
      <c r="MBZ16" s="344"/>
      <c r="MCA16" s="342"/>
      <c r="MCB16" s="342"/>
      <c r="MCC16" s="342"/>
      <c r="MCD16" s="343"/>
      <c r="MCE16" s="343"/>
      <c r="MCF16" s="344"/>
      <c r="MCG16" s="344"/>
      <c r="MCH16" s="344"/>
      <c r="MCI16" s="342"/>
      <c r="MCJ16" s="342"/>
      <c r="MCK16" s="342"/>
      <c r="MCL16" s="343"/>
      <c r="MCM16" s="343"/>
      <c r="MCN16" s="344"/>
      <c r="MCO16" s="344"/>
      <c r="MCP16" s="344"/>
      <c r="MCQ16" s="342"/>
      <c r="MCR16" s="342"/>
      <c r="MCS16" s="342"/>
      <c r="MCT16" s="343"/>
      <c r="MCU16" s="343"/>
      <c r="MCV16" s="344"/>
      <c r="MCW16" s="344"/>
      <c r="MCX16" s="344"/>
      <c r="MCY16" s="342"/>
      <c r="MCZ16" s="342"/>
      <c r="MDA16" s="342"/>
      <c r="MDB16" s="343"/>
      <c r="MDC16" s="343"/>
      <c r="MDD16" s="344"/>
      <c r="MDE16" s="344"/>
      <c r="MDF16" s="344"/>
      <c r="MDG16" s="342"/>
      <c r="MDH16" s="342"/>
      <c r="MDI16" s="342"/>
      <c r="MDJ16" s="343"/>
      <c r="MDK16" s="343"/>
      <c r="MDL16" s="344"/>
      <c r="MDM16" s="344"/>
      <c r="MDN16" s="344"/>
      <c r="MDO16" s="342"/>
      <c r="MDP16" s="342"/>
      <c r="MDQ16" s="342"/>
      <c r="MDR16" s="343"/>
      <c r="MDS16" s="343"/>
      <c r="MDT16" s="344"/>
      <c r="MDU16" s="344"/>
      <c r="MDV16" s="344"/>
      <c r="MDW16" s="342"/>
      <c r="MDX16" s="342"/>
      <c r="MDY16" s="342"/>
      <c r="MDZ16" s="343"/>
      <c r="MEA16" s="343"/>
      <c r="MEB16" s="344"/>
      <c r="MEC16" s="344"/>
      <c r="MED16" s="344"/>
      <c r="MEE16" s="342"/>
      <c r="MEF16" s="342"/>
      <c r="MEG16" s="342"/>
      <c r="MEH16" s="343"/>
      <c r="MEI16" s="343"/>
      <c r="MEJ16" s="344"/>
      <c r="MEK16" s="344"/>
      <c r="MEL16" s="344"/>
      <c r="MEM16" s="342"/>
      <c r="MEN16" s="342"/>
      <c r="MEO16" s="342"/>
      <c r="MEP16" s="343"/>
      <c r="MEQ16" s="343"/>
      <c r="MER16" s="344"/>
      <c r="MES16" s="344"/>
      <c r="MET16" s="344"/>
      <c r="MEU16" s="342"/>
      <c r="MEV16" s="342"/>
      <c r="MEW16" s="342"/>
      <c r="MEX16" s="343"/>
      <c r="MEY16" s="343"/>
      <c r="MEZ16" s="344"/>
      <c r="MFA16" s="344"/>
      <c r="MFB16" s="344"/>
      <c r="MFC16" s="342"/>
      <c r="MFD16" s="342"/>
      <c r="MFE16" s="342"/>
      <c r="MFF16" s="343"/>
      <c r="MFG16" s="343"/>
      <c r="MFH16" s="344"/>
      <c r="MFI16" s="344"/>
      <c r="MFJ16" s="344"/>
      <c r="MFK16" s="342"/>
      <c r="MFL16" s="342"/>
      <c r="MFM16" s="342"/>
      <c r="MFN16" s="343"/>
      <c r="MFO16" s="343"/>
      <c r="MFP16" s="344"/>
      <c r="MFQ16" s="344"/>
      <c r="MFR16" s="344"/>
      <c r="MFS16" s="342"/>
      <c r="MFT16" s="342"/>
      <c r="MFU16" s="342"/>
      <c r="MFV16" s="343"/>
      <c r="MFW16" s="343"/>
      <c r="MFX16" s="344"/>
      <c r="MFY16" s="344"/>
      <c r="MFZ16" s="344"/>
      <c r="MGA16" s="342"/>
      <c r="MGB16" s="342"/>
      <c r="MGC16" s="342"/>
      <c r="MGD16" s="343"/>
      <c r="MGE16" s="343"/>
      <c r="MGF16" s="344"/>
      <c r="MGG16" s="344"/>
      <c r="MGH16" s="344"/>
      <c r="MGI16" s="342"/>
      <c r="MGJ16" s="342"/>
      <c r="MGK16" s="342"/>
      <c r="MGL16" s="343"/>
      <c r="MGM16" s="343"/>
      <c r="MGN16" s="344"/>
      <c r="MGO16" s="344"/>
      <c r="MGP16" s="344"/>
      <c r="MGQ16" s="342"/>
      <c r="MGR16" s="342"/>
      <c r="MGS16" s="342"/>
      <c r="MGT16" s="343"/>
      <c r="MGU16" s="343"/>
      <c r="MGV16" s="344"/>
      <c r="MGW16" s="344"/>
      <c r="MGX16" s="344"/>
      <c r="MGY16" s="342"/>
      <c r="MGZ16" s="342"/>
      <c r="MHA16" s="342"/>
      <c r="MHB16" s="343"/>
      <c r="MHC16" s="343"/>
      <c r="MHD16" s="344"/>
      <c r="MHE16" s="344"/>
      <c r="MHF16" s="344"/>
      <c r="MHG16" s="342"/>
      <c r="MHH16" s="342"/>
      <c r="MHI16" s="342"/>
      <c r="MHJ16" s="343"/>
      <c r="MHK16" s="343"/>
      <c r="MHL16" s="344"/>
      <c r="MHM16" s="344"/>
      <c r="MHN16" s="344"/>
      <c r="MHO16" s="342"/>
      <c r="MHP16" s="342"/>
      <c r="MHQ16" s="342"/>
      <c r="MHR16" s="343"/>
      <c r="MHS16" s="343"/>
      <c r="MHT16" s="344"/>
      <c r="MHU16" s="344"/>
      <c r="MHV16" s="344"/>
      <c r="MHW16" s="342"/>
      <c r="MHX16" s="342"/>
      <c r="MHY16" s="342"/>
      <c r="MHZ16" s="343"/>
      <c r="MIA16" s="343"/>
      <c r="MIB16" s="344"/>
      <c r="MIC16" s="344"/>
      <c r="MID16" s="344"/>
      <c r="MIE16" s="342"/>
      <c r="MIF16" s="342"/>
      <c r="MIG16" s="342"/>
      <c r="MIH16" s="343"/>
      <c r="MII16" s="343"/>
      <c r="MIJ16" s="344"/>
      <c r="MIK16" s="344"/>
      <c r="MIL16" s="344"/>
      <c r="MIM16" s="342"/>
      <c r="MIN16" s="342"/>
      <c r="MIO16" s="342"/>
      <c r="MIP16" s="343"/>
      <c r="MIQ16" s="343"/>
      <c r="MIR16" s="344"/>
      <c r="MIS16" s="344"/>
      <c r="MIT16" s="344"/>
      <c r="MIU16" s="342"/>
      <c r="MIV16" s="342"/>
      <c r="MIW16" s="342"/>
      <c r="MIX16" s="343"/>
      <c r="MIY16" s="343"/>
      <c r="MIZ16" s="344"/>
      <c r="MJA16" s="344"/>
      <c r="MJB16" s="344"/>
      <c r="MJC16" s="342"/>
      <c r="MJD16" s="342"/>
      <c r="MJE16" s="342"/>
      <c r="MJF16" s="343"/>
      <c r="MJG16" s="343"/>
      <c r="MJH16" s="344"/>
      <c r="MJI16" s="344"/>
      <c r="MJJ16" s="344"/>
      <c r="MJK16" s="342"/>
      <c r="MJL16" s="342"/>
      <c r="MJM16" s="342"/>
      <c r="MJN16" s="343"/>
      <c r="MJO16" s="343"/>
      <c r="MJP16" s="344"/>
      <c r="MJQ16" s="344"/>
      <c r="MJR16" s="344"/>
      <c r="MJS16" s="342"/>
      <c r="MJT16" s="342"/>
      <c r="MJU16" s="342"/>
      <c r="MJV16" s="343"/>
      <c r="MJW16" s="343"/>
      <c r="MJX16" s="344"/>
      <c r="MJY16" s="344"/>
      <c r="MJZ16" s="344"/>
      <c r="MKA16" s="342"/>
      <c r="MKB16" s="342"/>
      <c r="MKC16" s="342"/>
      <c r="MKD16" s="343"/>
      <c r="MKE16" s="343"/>
      <c r="MKF16" s="344"/>
      <c r="MKG16" s="344"/>
      <c r="MKH16" s="344"/>
      <c r="MKI16" s="342"/>
      <c r="MKJ16" s="342"/>
      <c r="MKK16" s="342"/>
      <c r="MKL16" s="343"/>
      <c r="MKM16" s="343"/>
      <c r="MKN16" s="344"/>
      <c r="MKO16" s="344"/>
      <c r="MKP16" s="344"/>
      <c r="MKQ16" s="342"/>
      <c r="MKR16" s="342"/>
      <c r="MKS16" s="342"/>
      <c r="MKT16" s="343"/>
      <c r="MKU16" s="343"/>
      <c r="MKV16" s="344"/>
      <c r="MKW16" s="344"/>
      <c r="MKX16" s="344"/>
      <c r="MKY16" s="342"/>
      <c r="MKZ16" s="342"/>
      <c r="MLA16" s="342"/>
      <c r="MLB16" s="343"/>
      <c r="MLC16" s="343"/>
      <c r="MLD16" s="344"/>
      <c r="MLE16" s="344"/>
      <c r="MLF16" s="344"/>
      <c r="MLG16" s="342"/>
      <c r="MLH16" s="342"/>
      <c r="MLI16" s="342"/>
      <c r="MLJ16" s="343"/>
      <c r="MLK16" s="343"/>
      <c r="MLL16" s="344"/>
      <c r="MLM16" s="344"/>
      <c r="MLN16" s="344"/>
      <c r="MLO16" s="342"/>
      <c r="MLP16" s="342"/>
      <c r="MLQ16" s="342"/>
      <c r="MLR16" s="343"/>
      <c r="MLS16" s="343"/>
      <c r="MLT16" s="344"/>
      <c r="MLU16" s="344"/>
      <c r="MLV16" s="344"/>
      <c r="MLW16" s="342"/>
      <c r="MLX16" s="342"/>
      <c r="MLY16" s="342"/>
      <c r="MLZ16" s="343"/>
      <c r="MMA16" s="343"/>
      <c r="MMB16" s="344"/>
      <c r="MMC16" s="344"/>
      <c r="MMD16" s="344"/>
      <c r="MME16" s="342"/>
      <c r="MMF16" s="342"/>
      <c r="MMG16" s="342"/>
      <c r="MMH16" s="343"/>
      <c r="MMI16" s="343"/>
      <c r="MMJ16" s="344"/>
      <c r="MMK16" s="344"/>
      <c r="MML16" s="344"/>
      <c r="MMM16" s="342"/>
      <c r="MMN16" s="342"/>
      <c r="MMO16" s="342"/>
      <c r="MMP16" s="343"/>
      <c r="MMQ16" s="343"/>
      <c r="MMR16" s="344"/>
      <c r="MMS16" s="344"/>
      <c r="MMT16" s="344"/>
      <c r="MMU16" s="342"/>
      <c r="MMV16" s="342"/>
      <c r="MMW16" s="342"/>
      <c r="MMX16" s="343"/>
      <c r="MMY16" s="343"/>
      <c r="MMZ16" s="344"/>
      <c r="MNA16" s="344"/>
      <c r="MNB16" s="344"/>
      <c r="MNC16" s="342"/>
      <c r="MND16" s="342"/>
      <c r="MNE16" s="342"/>
      <c r="MNF16" s="343"/>
      <c r="MNG16" s="343"/>
      <c r="MNH16" s="344"/>
      <c r="MNI16" s="344"/>
      <c r="MNJ16" s="344"/>
      <c r="MNK16" s="342"/>
      <c r="MNL16" s="342"/>
      <c r="MNM16" s="342"/>
      <c r="MNN16" s="343"/>
      <c r="MNO16" s="343"/>
      <c r="MNP16" s="344"/>
      <c r="MNQ16" s="344"/>
      <c r="MNR16" s="344"/>
      <c r="MNS16" s="342"/>
      <c r="MNT16" s="342"/>
      <c r="MNU16" s="342"/>
      <c r="MNV16" s="343"/>
      <c r="MNW16" s="343"/>
      <c r="MNX16" s="344"/>
      <c r="MNY16" s="344"/>
      <c r="MNZ16" s="344"/>
      <c r="MOA16" s="342"/>
      <c r="MOB16" s="342"/>
      <c r="MOC16" s="342"/>
      <c r="MOD16" s="343"/>
      <c r="MOE16" s="343"/>
      <c r="MOF16" s="344"/>
      <c r="MOG16" s="344"/>
      <c r="MOH16" s="344"/>
      <c r="MOI16" s="342"/>
      <c r="MOJ16" s="342"/>
      <c r="MOK16" s="342"/>
      <c r="MOL16" s="343"/>
      <c r="MOM16" s="343"/>
      <c r="MON16" s="344"/>
      <c r="MOO16" s="344"/>
      <c r="MOP16" s="344"/>
      <c r="MOQ16" s="342"/>
      <c r="MOR16" s="342"/>
      <c r="MOS16" s="342"/>
      <c r="MOT16" s="343"/>
      <c r="MOU16" s="343"/>
      <c r="MOV16" s="344"/>
      <c r="MOW16" s="344"/>
      <c r="MOX16" s="344"/>
      <c r="MOY16" s="342"/>
      <c r="MOZ16" s="342"/>
      <c r="MPA16" s="342"/>
      <c r="MPB16" s="343"/>
      <c r="MPC16" s="343"/>
      <c r="MPD16" s="344"/>
      <c r="MPE16" s="344"/>
      <c r="MPF16" s="344"/>
      <c r="MPG16" s="342"/>
      <c r="MPH16" s="342"/>
      <c r="MPI16" s="342"/>
      <c r="MPJ16" s="343"/>
      <c r="MPK16" s="343"/>
      <c r="MPL16" s="344"/>
      <c r="MPM16" s="344"/>
      <c r="MPN16" s="344"/>
      <c r="MPO16" s="342"/>
      <c r="MPP16" s="342"/>
      <c r="MPQ16" s="342"/>
      <c r="MPR16" s="343"/>
      <c r="MPS16" s="343"/>
      <c r="MPT16" s="344"/>
      <c r="MPU16" s="344"/>
      <c r="MPV16" s="344"/>
      <c r="MPW16" s="342"/>
      <c r="MPX16" s="342"/>
      <c r="MPY16" s="342"/>
      <c r="MPZ16" s="343"/>
      <c r="MQA16" s="343"/>
      <c r="MQB16" s="344"/>
      <c r="MQC16" s="344"/>
      <c r="MQD16" s="344"/>
      <c r="MQE16" s="342"/>
      <c r="MQF16" s="342"/>
      <c r="MQG16" s="342"/>
      <c r="MQH16" s="343"/>
      <c r="MQI16" s="343"/>
      <c r="MQJ16" s="344"/>
      <c r="MQK16" s="344"/>
      <c r="MQL16" s="344"/>
      <c r="MQM16" s="342"/>
      <c r="MQN16" s="342"/>
      <c r="MQO16" s="342"/>
      <c r="MQP16" s="343"/>
      <c r="MQQ16" s="343"/>
      <c r="MQR16" s="344"/>
      <c r="MQS16" s="344"/>
      <c r="MQT16" s="344"/>
      <c r="MQU16" s="342"/>
      <c r="MQV16" s="342"/>
      <c r="MQW16" s="342"/>
      <c r="MQX16" s="343"/>
      <c r="MQY16" s="343"/>
      <c r="MQZ16" s="344"/>
      <c r="MRA16" s="344"/>
      <c r="MRB16" s="344"/>
      <c r="MRC16" s="342"/>
      <c r="MRD16" s="342"/>
      <c r="MRE16" s="342"/>
      <c r="MRF16" s="343"/>
      <c r="MRG16" s="343"/>
      <c r="MRH16" s="344"/>
      <c r="MRI16" s="344"/>
      <c r="MRJ16" s="344"/>
      <c r="MRK16" s="342"/>
      <c r="MRL16" s="342"/>
      <c r="MRM16" s="342"/>
      <c r="MRN16" s="343"/>
      <c r="MRO16" s="343"/>
      <c r="MRP16" s="344"/>
      <c r="MRQ16" s="344"/>
      <c r="MRR16" s="344"/>
      <c r="MRS16" s="342"/>
      <c r="MRT16" s="342"/>
      <c r="MRU16" s="342"/>
      <c r="MRV16" s="343"/>
      <c r="MRW16" s="343"/>
      <c r="MRX16" s="344"/>
      <c r="MRY16" s="344"/>
      <c r="MRZ16" s="344"/>
      <c r="MSA16" s="342"/>
      <c r="MSB16" s="342"/>
      <c r="MSC16" s="342"/>
      <c r="MSD16" s="343"/>
      <c r="MSE16" s="343"/>
      <c r="MSF16" s="344"/>
      <c r="MSG16" s="344"/>
      <c r="MSH16" s="344"/>
      <c r="MSI16" s="342"/>
      <c r="MSJ16" s="342"/>
      <c r="MSK16" s="342"/>
      <c r="MSL16" s="343"/>
      <c r="MSM16" s="343"/>
      <c r="MSN16" s="344"/>
      <c r="MSO16" s="344"/>
      <c r="MSP16" s="344"/>
      <c r="MSQ16" s="342"/>
      <c r="MSR16" s="342"/>
      <c r="MSS16" s="342"/>
      <c r="MST16" s="343"/>
      <c r="MSU16" s="343"/>
      <c r="MSV16" s="344"/>
      <c r="MSW16" s="344"/>
      <c r="MSX16" s="344"/>
      <c r="MSY16" s="342"/>
      <c r="MSZ16" s="342"/>
      <c r="MTA16" s="342"/>
      <c r="MTB16" s="343"/>
      <c r="MTC16" s="343"/>
      <c r="MTD16" s="344"/>
      <c r="MTE16" s="344"/>
      <c r="MTF16" s="344"/>
      <c r="MTG16" s="342"/>
      <c r="MTH16" s="342"/>
      <c r="MTI16" s="342"/>
      <c r="MTJ16" s="343"/>
      <c r="MTK16" s="343"/>
      <c r="MTL16" s="344"/>
      <c r="MTM16" s="344"/>
      <c r="MTN16" s="344"/>
      <c r="MTO16" s="342"/>
      <c r="MTP16" s="342"/>
      <c r="MTQ16" s="342"/>
      <c r="MTR16" s="343"/>
      <c r="MTS16" s="343"/>
      <c r="MTT16" s="344"/>
      <c r="MTU16" s="344"/>
      <c r="MTV16" s="344"/>
      <c r="MTW16" s="342"/>
      <c r="MTX16" s="342"/>
      <c r="MTY16" s="342"/>
      <c r="MTZ16" s="343"/>
      <c r="MUA16" s="343"/>
      <c r="MUB16" s="344"/>
      <c r="MUC16" s="344"/>
      <c r="MUD16" s="344"/>
      <c r="MUE16" s="342"/>
      <c r="MUF16" s="342"/>
      <c r="MUG16" s="342"/>
      <c r="MUH16" s="343"/>
      <c r="MUI16" s="343"/>
      <c r="MUJ16" s="344"/>
      <c r="MUK16" s="344"/>
      <c r="MUL16" s="344"/>
      <c r="MUM16" s="342"/>
      <c r="MUN16" s="342"/>
      <c r="MUO16" s="342"/>
      <c r="MUP16" s="343"/>
      <c r="MUQ16" s="343"/>
      <c r="MUR16" s="344"/>
      <c r="MUS16" s="344"/>
      <c r="MUT16" s="344"/>
      <c r="MUU16" s="342"/>
      <c r="MUV16" s="342"/>
      <c r="MUW16" s="342"/>
      <c r="MUX16" s="343"/>
      <c r="MUY16" s="343"/>
      <c r="MUZ16" s="344"/>
      <c r="MVA16" s="344"/>
      <c r="MVB16" s="344"/>
      <c r="MVC16" s="342"/>
      <c r="MVD16" s="342"/>
      <c r="MVE16" s="342"/>
      <c r="MVF16" s="343"/>
      <c r="MVG16" s="343"/>
      <c r="MVH16" s="344"/>
      <c r="MVI16" s="344"/>
      <c r="MVJ16" s="344"/>
      <c r="MVK16" s="342"/>
      <c r="MVL16" s="342"/>
      <c r="MVM16" s="342"/>
      <c r="MVN16" s="343"/>
      <c r="MVO16" s="343"/>
      <c r="MVP16" s="344"/>
      <c r="MVQ16" s="344"/>
      <c r="MVR16" s="344"/>
      <c r="MVS16" s="342"/>
      <c r="MVT16" s="342"/>
      <c r="MVU16" s="342"/>
      <c r="MVV16" s="343"/>
      <c r="MVW16" s="343"/>
      <c r="MVX16" s="344"/>
      <c r="MVY16" s="344"/>
      <c r="MVZ16" s="344"/>
      <c r="MWA16" s="342"/>
      <c r="MWB16" s="342"/>
      <c r="MWC16" s="342"/>
      <c r="MWD16" s="343"/>
      <c r="MWE16" s="343"/>
      <c r="MWF16" s="344"/>
      <c r="MWG16" s="344"/>
      <c r="MWH16" s="344"/>
      <c r="MWI16" s="342"/>
      <c r="MWJ16" s="342"/>
      <c r="MWK16" s="342"/>
      <c r="MWL16" s="343"/>
      <c r="MWM16" s="343"/>
      <c r="MWN16" s="344"/>
      <c r="MWO16" s="344"/>
      <c r="MWP16" s="344"/>
      <c r="MWQ16" s="342"/>
      <c r="MWR16" s="342"/>
      <c r="MWS16" s="342"/>
      <c r="MWT16" s="343"/>
      <c r="MWU16" s="343"/>
      <c r="MWV16" s="344"/>
      <c r="MWW16" s="344"/>
      <c r="MWX16" s="344"/>
      <c r="MWY16" s="342"/>
      <c r="MWZ16" s="342"/>
      <c r="MXA16" s="342"/>
      <c r="MXB16" s="343"/>
      <c r="MXC16" s="343"/>
      <c r="MXD16" s="344"/>
      <c r="MXE16" s="344"/>
      <c r="MXF16" s="344"/>
      <c r="MXG16" s="342"/>
      <c r="MXH16" s="342"/>
      <c r="MXI16" s="342"/>
      <c r="MXJ16" s="343"/>
      <c r="MXK16" s="343"/>
      <c r="MXL16" s="344"/>
      <c r="MXM16" s="344"/>
      <c r="MXN16" s="344"/>
      <c r="MXO16" s="342"/>
      <c r="MXP16" s="342"/>
      <c r="MXQ16" s="342"/>
      <c r="MXR16" s="343"/>
      <c r="MXS16" s="343"/>
      <c r="MXT16" s="344"/>
      <c r="MXU16" s="344"/>
      <c r="MXV16" s="344"/>
      <c r="MXW16" s="342"/>
      <c r="MXX16" s="342"/>
      <c r="MXY16" s="342"/>
      <c r="MXZ16" s="343"/>
      <c r="MYA16" s="343"/>
      <c r="MYB16" s="344"/>
      <c r="MYC16" s="344"/>
      <c r="MYD16" s="344"/>
      <c r="MYE16" s="342"/>
      <c r="MYF16" s="342"/>
      <c r="MYG16" s="342"/>
      <c r="MYH16" s="343"/>
      <c r="MYI16" s="343"/>
      <c r="MYJ16" s="344"/>
      <c r="MYK16" s="344"/>
      <c r="MYL16" s="344"/>
      <c r="MYM16" s="342"/>
      <c r="MYN16" s="342"/>
      <c r="MYO16" s="342"/>
      <c r="MYP16" s="343"/>
      <c r="MYQ16" s="343"/>
      <c r="MYR16" s="344"/>
      <c r="MYS16" s="344"/>
      <c r="MYT16" s="344"/>
      <c r="MYU16" s="342"/>
      <c r="MYV16" s="342"/>
      <c r="MYW16" s="342"/>
      <c r="MYX16" s="343"/>
      <c r="MYY16" s="343"/>
      <c r="MYZ16" s="344"/>
      <c r="MZA16" s="344"/>
      <c r="MZB16" s="344"/>
      <c r="MZC16" s="342"/>
      <c r="MZD16" s="342"/>
      <c r="MZE16" s="342"/>
      <c r="MZF16" s="343"/>
      <c r="MZG16" s="343"/>
      <c r="MZH16" s="344"/>
      <c r="MZI16" s="344"/>
      <c r="MZJ16" s="344"/>
      <c r="MZK16" s="342"/>
      <c r="MZL16" s="342"/>
      <c r="MZM16" s="342"/>
      <c r="MZN16" s="343"/>
      <c r="MZO16" s="343"/>
      <c r="MZP16" s="344"/>
      <c r="MZQ16" s="344"/>
      <c r="MZR16" s="344"/>
      <c r="MZS16" s="342"/>
      <c r="MZT16" s="342"/>
      <c r="MZU16" s="342"/>
      <c r="MZV16" s="343"/>
      <c r="MZW16" s="343"/>
      <c r="MZX16" s="344"/>
      <c r="MZY16" s="344"/>
      <c r="MZZ16" s="344"/>
      <c r="NAA16" s="342"/>
      <c r="NAB16" s="342"/>
      <c r="NAC16" s="342"/>
      <c r="NAD16" s="343"/>
      <c r="NAE16" s="343"/>
      <c r="NAF16" s="344"/>
      <c r="NAG16" s="344"/>
      <c r="NAH16" s="344"/>
      <c r="NAI16" s="342"/>
      <c r="NAJ16" s="342"/>
      <c r="NAK16" s="342"/>
      <c r="NAL16" s="343"/>
      <c r="NAM16" s="343"/>
      <c r="NAN16" s="344"/>
      <c r="NAO16" s="344"/>
      <c r="NAP16" s="344"/>
      <c r="NAQ16" s="342"/>
      <c r="NAR16" s="342"/>
      <c r="NAS16" s="342"/>
      <c r="NAT16" s="343"/>
      <c r="NAU16" s="343"/>
      <c r="NAV16" s="344"/>
      <c r="NAW16" s="344"/>
      <c r="NAX16" s="344"/>
      <c r="NAY16" s="342"/>
      <c r="NAZ16" s="342"/>
      <c r="NBA16" s="342"/>
      <c r="NBB16" s="343"/>
      <c r="NBC16" s="343"/>
      <c r="NBD16" s="344"/>
      <c r="NBE16" s="344"/>
      <c r="NBF16" s="344"/>
      <c r="NBG16" s="342"/>
      <c r="NBH16" s="342"/>
      <c r="NBI16" s="342"/>
      <c r="NBJ16" s="343"/>
      <c r="NBK16" s="343"/>
      <c r="NBL16" s="344"/>
      <c r="NBM16" s="344"/>
      <c r="NBN16" s="344"/>
      <c r="NBO16" s="342"/>
      <c r="NBP16" s="342"/>
      <c r="NBQ16" s="342"/>
      <c r="NBR16" s="343"/>
      <c r="NBS16" s="343"/>
      <c r="NBT16" s="344"/>
      <c r="NBU16" s="344"/>
      <c r="NBV16" s="344"/>
      <c r="NBW16" s="342"/>
      <c r="NBX16" s="342"/>
      <c r="NBY16" s="342"/>
      <c r="NBZ16" s="343"/>
      <c r="NCA16" s="343"/>
      <c r="NCB16" s="344"/>
      <c r="NCC16" s="344"/>
      <c r="NCD16" s="344"/>
      <c r="NCE16" s="342"/>
      <c r="NCF16" s="342"/>
      <c r="NCG16" s="342"/>
      <c r="NCH16" s="343"/>
      <c r="NCI16" s="343"/>
      <c r="NCJ16" s="344"/>
      <c r="NCK16" s="344"/>
      <c r="NCL16" s="344"/>
      <c r="NCM16" s="342"/>
      <c r="NCN16" s="342"/>
      <c r="NCO16" s="342"/>
      <c r="NCP16" s="343"/>
      <c r="NCQ16" s="343"/>
      <c r="NCR16" s="344"/>
      <c r="NCS16" s="344"/>
      <c r="NCT16" s="344"/>
      <c r="NCU16" s="342"/>
      <c r="NCV16" s="342"/>
      <c r="NCW16" s="342"/>
      <c r="NCX16" s="343"/>
      <c r="NCY16" s="343"/>
      <c r="NCZ16" s="344"/>
      <c r="NDA16" s="344"/>
      <c r="NDB16" s="344"/>
      <c r="NDC16" s="342"/>
      <c r="NDD16" s="342"/>
      <c r="NDE16" s="342"/>
      <c r="NDF16" s="343"/>
      <c r="NDG16" s="343"/>
      <c r="NDH16" s="344"/>
      <c r="NDI16" s="344"/>
      <c r="NDJ16" s="344"/>
      <c r="NDK16" s="342"/>
      <c r="NDL16" s="342"/>
      <c r="NDM16" s="342"/>
      <c r="NDN16" s="343"/>
      <c r="NDO16" s="343"/>
      <c r="NDP16" s="344"/>
      <c r="NDQ16" s="344"/>
      <c r="NDR16" s="344"/>
      <c r="NDS16" s="342"/>
      <c r="NDT16" s="342"/>
      <c r="NDU16" s="342"/>
      <c r="NDV16" s="343"/>
      <c r="NDW16" s="343"/>
      <c r="NDX16" s="344"/>
      <c r="NDY16" s="344"/>
      <c r="NDZ16" s="344"/>
      <c r="NEA16" s="342"/>
      <c r="NEB16" s="342"/>
      <c r="NEC16" s="342"/>
      <c r="NED16" s="343"/>
      <c r="NEE16" s="343"/>
      <c r="NEF16" s="344"/>
      <c r="NEG16" s="344"/>
      <c r="NEH16" s="344"/>
      <c r="NEI16" s="342"/>
      <c r="NEJ16" s="342"/>
      <c r="NEK16" s="342"/>
      <c r="NEL16" s="343"/>
      <c r="NEM16" s="343"/>
      <c r="NEN16" s="344"/>
      <c r="NEO16" s="344"/>
      <c r="NEP16" s="344"/>
      <c r="NEQ16" s="342"/>
      <c r="NER16" s="342"/>
      <c r="NES16" s="342"/>
      <c r="NET16" s="343"/>
      <c r="NEU16" s="343"/>
      <c r="NEV16" s="344"/>
      <c r="NEW16" s="344"/>
      <c r="NEX16" s="344"/>
      <c r="NEY16" s="342"/>
      <c r="NEZ16" s="342"/>
      <c r="NFA16" s="342"/>
      <c r="NFB16" s="343"/>
      <c r="NFC16" s="343"/>
      <c r="NFD16" s="344"/>
      <c r="NFE16" s="344"/>
      <c r="NFF16" s="344"/>
      <c r="NFG16" s="342"/>
      <c r="NFH16" s="342"/>
      <c r="NFI16" s="342"/>
      <c r="NFJ16" s="343"/>
      <c r="NFK16" s="343"/>
      <c r="NFL16" s="344"/>
      <c r="NFM16" s="344"/>
      <c r="NFN16" s="344"/>
      <c r="NFO16" s="342"/>
      <c r="NFP16" s="342"/>
      <c r="NFQ16" s="342"/>
      <c r="NFR16" s="343"/>
      <c r="NFS16" s="343"/>
      <c r="NFT16" s="344"/>
      <c r="NFU16" s="344"/>
      <c r="NFV16" s="344"/>
      <c r="NFW16" s="342"/>
      <c r="NFX16" s="342"/>
      <c r="NFY16" s="342"/>
      <c r="NFZ16" s="343"/>
      <c r="NGA16" s="343"/>
      <c r="NGB16" s="344"/>
      <c r="NGC16" s="344"/>
      <c r="NGD16" s="344"/>
      <c r="NGE16" s="342"/>
      <c r="NGF16" s="342"/>
      <c r="NGG16" s="342"/>
      <c r="NGH16" s="343"/>
      <c r="NGI16" s="343"/>
      <c r="NGJ16" s="344"/>
      <c r="NGK16" s="344"/>
      <c r="NGL16" s="344"/>
      <c r="NGM16" s="342"/>
      <c r="NGN16" s="342"/>
      <c r="NGO16" s="342"/>
      <c r="NGP16" s="343"/>
      <c r="NGQ16" s="343"/>
      <c r="NGR16" s="344"/>
      <c r="NGS16" s="344"/>
      <c r="NGT16" s="344"/>
      <c r="NGU16" s="342"/>
      <c r="NGV16" s="342"/>
      <c r="NGW16" s="342"/>
      <c r="NGX16" s="343"/>
      <c r="NGY16" s="343"/>
      <c r="NGZ16" s="344"/>
      <c r="NHA16" s="344"/>
      <c r="NHB16" s="344"/>
      <c r="NHC16" s="342"/>
      <c r="NHD16" s="342"/>
      <c r="NHE16" s="342"/>
      <c r="NHF16" s="343"/>
      <c r="NHG16" s="343"/>
      <c r="NHH16" s="344"/>
      <c r="NHI16" s="344"/>
      <c r="NHJ16" s="344"/>
      <c r="NHK16" s="342"/>
      <c r="NHL16" s="342"/>
      <c r="NHM16" s="342"/>
      <c r="NHN16" s="343"/>
      <c r="NHO16" s="343"/>
      <c r="NHP16" s="344"/>
      <c r="NHQ16" s="344"/>
      <c r="NHR16" s="344"/>
      <c r="NHS16" s="342"/>
      <c r="NHT16" s="342"/>
      <c r="NHU16" s="342"/>
      <c r="NHV16" s="343"/>
      <c r="NHW16" s="343"/>
      <c r="NHX16" s="344"/>
      <c r="NHY16" s="344"/>
      <c r="NHZ16" s="344"/>
      <c r="NIA16" s="342"/>
      <c r="NIB16" s="342"/>
      <c r="NIC16" s="342"/>
      <c r="NID16" s="343"/>
      <c r="NIE16" s="343"/>
      <c r="NIF16" s="344"/>
      <c r="NIG16" s="344"/>
      <c r="NIH16" s="344"/>
      <c r="NII16" s="342"/>
      <c r="NIJ16" s="342"/>
      <c r="NIK16" s="342"/>
      <c r="NIL16" s="343"/>
      <c r="NIM16" s="343"/>
      <c r="NIN16" s="344"/>
      <c r="NIO16" s="344"/>
      <c r="NIP16" s="344"/>
      <c r="NIQ16" s="342"/>
      <c r="NIR16" s="342"/>
      <c r="NIS16" s="342"/>
      <c r="NIT16" s="343"/>
      <c r="NIU16" s="343"/>
      <c r="NIV16" s="344"/>
      <c r="NIW16" s="344"/>
      <c r="NIX16" s="344"/>
      <c r="NIY16" s="342"/>
      <c r="NIZ16" s="342"/>
      <c r="NJA16" s="342"/>
      <c r="NJB16" s="343"/>
      <c r="NJC16" s="343"/>
      <c r="NJD16" s="344"/>
      <c r="NJE16" s="344"/>
      <c r="NJF16" s="344"/>
      <c r="NJG16" s="342"/>
      <c r="NJH16" s="342"/>
      <c r="NJI16" s="342"/>
      <c r="NJJ16" s="343"/>
      <c r="NJK16" s="343"/>
      <c r="NJL16" s="344"/>
      <c r="NJM16" s="344"/>
      <c r="NJN16" s="344"/>
      <c r="NJO16" s="342"/>
      <c r="NJP16" s="342"/>
      <c r="NJQ16" s="342"/>
      <c r="NJR16" s="343"/>
      <c r="NJS16" s="343"/>
      <c r="NJT16" s="344"/>
      <c r="NJU16" s="344"/>
      <c r="NJV16" s="344"/>
      <c r="NJW16" s="342"/>
      <c r="NJX16" s="342"/>
      <c r="NJY16" s="342"/>
      <c r="NJZ16" s="343"/>
      <c r="NKA16" s="343"/>
      <c r="NKB16" s="344"/>
      <c r="NKC16" s="344"/>
      <c r="NKD16" s="344"/>
      <c r="NKE16" s="342"/>
      <c r="NKF16" s="342"/>
      <c r="NKG16" s="342"/>
      <c r="NKH16" s="343"/>
      <c r="NKI16" s="343"/>
      <c r="NKJ16" s="344"/>
      <c r="NKK16" s="344"/>
      <c r="NKL16" s="344"/>
      <c r="NKM16" s="342"/>
      <c r="NKN16" s="342"/>
      <c r="NKO16" s="342"/>
      <c r="NKP16" s="343"/>
      <c r="NKQ16" s="343"/>
      <c r="NKR16" s="344"/>
      <c r="NKS16" s="344"/>
      <c r="NKT16" s="344"/>
      <c r="NKU16" s="342"/>
      <c r="NKV16" s="342"/>
      <c r="NKW16" s="342"/>
      <c r="NKX16" s="343"/>
      <c r="NKY16" s="343"/>
      <c r="NKZ16" s="344"/>
      <c r="NLA16" s="344"/>
      <c r="NLB16" s="344"/>
      <c r="NLC16" s="342"/>
      <c r="NLD16" s="342"/>
      <c r="NLE16" s="342"/>
      <c r="NLF16" s="343"/>
      <c r="NLG16" s="343"/>
      <c r="NLH16" s="344"/>
      <c r="NLI16" s="344"/>
      <c r="NLJ16" s="344"/>
      <c r="NLK16" s="342"/>
      <c r="NLL16" s="342"/>
      <c r="NLM16" s="342"/>
      <c r="NLN16" s="343"/>
      <c r="NLO16" s="343"/>
      <c r="NLP16" s="344"/>
      <c r="NLQ16" s="344"/>
      <c r="NLR16" s="344"/>
      <c r="NLS16" s="342"/>
      <c r="NLT16" s="342"/>
      <c r="NLU16" s="342"/>
      <c r="NLV16" s="343"/>
      <c r="NLW16" s="343"/>
      <c r="NLX16" s="344"/>
      <c r="NLY16" s="344"/>
      <c r="NLZ16" s="344"/>
      <c r="NMA16" s="342"/>
      <c r="NMB16" s="342"/>
      <c r="NMC16" s="342"/>
      <c r="NMD16" s="343"/>
      <c r="NME16" s="343"/>
      <c r="NMF16" s="344"/>
      <c r="NMG16" s="344"/>
      <c r="NMH16" s="344"/>
      <c r="NMI16" s="342"/>
      <c r="NMJ16" s="342"/>
      <c r="NMK16" s="342"/>
      <c r="NML16" s="343"/>
      <c r="NMM16" s="343"/>
      <c r="NMN16" s="344"/>
      <c r="NMO16" s="344"/>
      <c r="NMP16" s="344"/>
      <c r="NMQ16" s="342"/>
      <c r="NMR16" s="342"/>
      <c r="NMS16" s="342"/>
      <c r="NMT16" s="343"/>
      <c r="NMU16" s="343"/>
      <c r="NMV16" s="344"/>
      <c r="NMW16" s="344"/>
      <c r="NMX16" s="344"/>
      <c r="NMY16" s="342"/>
      <c r="NMZ16" s="342"/>
      <c r="NNA16" s="342"/>
      <c r="NNB16" s="343"/>
      <c r="NNC16" s="343"/>
      <c r="NND16" s="344"/>
      <c r="NNE16" s="344"/>
      <c r="NNF16" s="344"/>
      <c r="NNG16" s="342"/>
      <c r="NNH16" s="342"/>
      <c r="NNI16" s="342"/>
      <c r="NNJ16" s="343"/>
      <c r="NNK16" s="343"/>
      <c r="NNL16" s="344"/>
      <c r="NNM16" s="344"/>
      <c r="NNN16" s="344"/>
      <c r="NNO16" s="342"/>
      <c r="NNP16" s="342"/>
      <c r="NNQ16" s="342"/>
      <c r="NNR16" s="343"/>
      <c r="NNS16" s="343"/>
      <c r="NNT16" s="344"/>
      <c r="NNU16" s="344"/>
      <c r="NNV16" s="344"/>
      <c r="NNW16" s="342"/>
      <c r="NNX16" s="342"/>
      <c r="NNY16" s="342"/>
      <c r="NNZ16" s="343"/>
      <c r="NOA16" s="343"/>
      <c r="NOB16" s="344"/>
      <c r="NOC16" s="344"/>
      <c r="NOD16" s="344"/>
      <c r="NOE16" s="342"/>
      <c r="NOF16" s="342"/>
      <c r="NOG16" s="342"/>
      <c r="NOH16" s="343"/>
      <c r="NOI16" s="343"/>
      <c r="NOJ16" s="344"/>
      <c r="NOK16" s="344"/>
      <c r="NOL16" s="344"/>
      <c r="NOM16" s="342"/>
      <c r="NON16" s="342"/>
      <c r="NOO16" s="342"/>
      <c r="NOP16" s="343"/>
      <c r="NOQ16" s="343"/>
      <c r="NOR16" s="344"/>
      <c r="NOS16" s="344"/>
      <c r="NOT16" s="344"/>
      <c r="NOU16" s="342"/>
      <c r="NOV16" s="342"/>
      <c r="NOW16" s="342"/>
      <c r="NOX16" s="343"/>
      <c r="NOY16" s="343"/>
      <c r="NOZ16" s="344"/>
      <c r="NPA16" s="344"/>
      <c r="NPB16" s="344"/>
      <c r="NPC16" s="342"/>
      <c r="NPD16" s="342"/>
      <c r="NPE16" s="342"/>
      <c r="NPF16" s="343"/>
      <c r="NPG16" s="343"/>
      <c r="NPH16" s="344"/>
      <c r="NPI16" s="344"/>
      <c r="NPJ16" s="344"/>
      <c r="NPK16" s="342"/>
      <c r="NPL16" s="342"/>
      <c r="NPM16" s="342"/>
      <c r="NPN16" s="343"/>
      <c r="NPO16" s="343"/>
      <c r="NPP16" s="344"/>
      <c r="NPQ16" s="344"/>
      <c r="NPR16" s="344"/>
      <c r="NPS16" s="342"/>
      <c r="NPT16" s="342"/>
      <c r="NPU16" s="342"/>
      <c r="NPV16" s="343"/>
      <c r="NPW16" s="343"/>
      <c r="NPX16" s="344"/>
      <c r="NPY16" s="344"/>
      <c r="NPZ16" s="344"/>
      <c r="NQA16" s="342"/>
      <c r="NQB16" s="342"/>
      <c r="NQC16" s="342"/>
      <c r="NQD16" s="343"/>
      <c r="NQE16" s="343"/>
      <c r="NQF16" s="344"/>
      <c r="NQG16" s="344"/>
      <c r="NQH16" s="344"/>
      <c r="NQI16" s="342"/>
      <c r="NQJ16" s="342"/>
      <c r="NQK16" s="342"/>
      <c r="NQL16" s="343"/>
      <c r="NQM16" s="343"/>
      <c r="NQN16" s="344"/>
      <c r="NQO16" s="344"/>
      <c r="NQP16" s="344"/>
      <c r="NQQ16" s="342"/>
      <c r="NQR16" s="342"/>
      <c r="NQS16" s="342"/>
      <c r="NQT16" s="343"/>
      <c r="NQU16" s="343"/>
      <c r="NQV16" s="344"/>
      <c r="NQW16" s="344"/>
      <c r="NQX16" s="344"/>
      <c r="NQY16" s="342"/>
      <c r="NQZ16" s="342"/>
      <c r="NRA16" s="342"/>
      <c r="NRB16" s="343"/>
      <c r="NRC16" s="343"/>
      <c r="NRD16" s="344"/>
      <c r="NRE16" s="344"/>
      <c r="NRF16" s="344"/>
      <c r="NRG16" s="342"/>
      <c r="NRH16" s="342"/>
      <c r="NRI16" s="342"/>
      <c r="NRJ16" s="343"/>
      <c r="NRK16" s="343"/>
      <c r="NRL16" s="344"/>
      <c r="NRM16" s="344"/>
      <c r="NRN16" s="344"/>
      <c r="NRO16" s="342"/>
      <c r="NRP16" s="342"/>
      <c r="NRQ16" s="342"/>
      <c r="NRR16" s="343"/>
      <c r="NRS16" s="343"/>
      <c r="NRT16" s="344"/>
      <c r="NRU16" s="344"/>
      <c r="NRV16" s="344"/>
      <c r="NRW16" s="342"/>
      <c r="NRX16" s="342"/>
      <c r="NRY16" s="342"/>
      <c r="NRZ16" s="343"/>
      <c r="NSA16" s="343"/>
      <c r="NSB16" s="344"/>
      <c r="NSC16" s="344"/>
      <c r="NSD16" s="344"/>
      <c r="NSE16" s="342"/>
      <c r="NSF16" s="342"/>
      <c r="NSG16" s="342"/>
      <c r="NSH16" s="343"/>
      <c r="NSI16" s="343"/>
      <c r="NSJ16" s="344"/>
      <c r="NSK16" s="344"/>
      <c r="NSL16" s="344"/>
      <c r="NSM16" s="342"/>
      <c r="NSN16" s="342"/>
      <c r="NSO16" s="342"/>
      <c r="NSP16" s="343"/>
      <c r="NSQ16" s="343"/>
      <c r="NSR16" s="344"/>
      <c r="NSS16" s="344"/>
      <c r="NST16" s="344"/>
      <c r="NSU16" s="342"/>
      <c r="NSV16" s="342"/>
      <c r="NSW16" s="342"/>
      <c r="NSX16" s="343"/>
      <c r="NSY16" s="343"/>
      <c r="NSZ16" s="344"/>
      <c r="NTA16" s="344"/>
      <c r="NTB16" s="344"/>
      <c r="NTC16" s="342"/>
      <c r="NTD16" s="342"/>
      <c r="NTE16" s="342"/>
      <c r="NTF16" s="343"/>
      <c r="NTG16" s="343"/>
      <c r="NTH16" s="344"/>
      <c r="NTI16" s="344"/>
      <c r="NTJ16" s="344"/>
      <c r="NTK16" s="342"/>
      <c r="NTL16" s="342"/>
      <c r="NTM16" s="342"/>
      <c r="NTN16" s="343"/>
      <c r="NTO16" s="343"/>
      <c r="NTP16" s="344"/>
      <c r="NTQ16" s="344"/>
      <c r="NTR16" s="344"/>
      <c r="NTS16" s="342"/>
      <c r="NTT16" s="342"/>
      <c r="NTU16" s="342"/>
      <c r="NTV16" s="343"/>
      <c r="NTW16" s="343"/>
      <c r="NTX16" s="344"/>
      <c r="NTY16" s="344"/>
      <c r="NTZ16" s="344"/>
      <c r="NUA16" s="342"/>
      <c r="NUB16" s="342"/>
      <c r="NUC16" s="342"/>
      <c r="NUD16" s="343"/>
      <c r="NUE16" s="343"/>
      <c r="NUF16" s="344"/>
      <c r="NUG16" s="344"/>
      <c r="NUH16" s="344"/>
      <c r="NUI16" s="342"/>
      <c r="NUJ16" s="342"/>
      <c r="NUK16" s="342"/>
      <c r="NUL16" s="343"/>
      <c r="NUM16" s="343"/>
      <c r="NUN16" s="344"/>
      <c r="NUO16" s="344"/>
      <c r="NUP16" s="344"/>
      <c r="NUQ16" s="342"/>
      <c r="NUR16" s="342"/>
      <c r="NUS16" s="342"/>
      <c r="NUT16" s="343"/>
      <c r="NUU16" s="343"/>
      <c r="NUV16" s="344"/>
      <c r="NUW16" s="344"/>
      <c r="NUX16" s="344"/>
      <c r="NUY16" s="342"/>
      <c r="NUZ16" s="342"/>
      <c r="NVA16" s="342"/>
      <c r="NVB16" s="343"/>
      <c r="NVC16" s="343"/>
      <c r="NVD16" s="344"/>
      <c r="NVE16" s="344"/>
      <c r="NVF16" s="344"/>
      <c r="NVG16" s="342"/>
      <c r="NVH16" s="342"/>
      <c r="NVI16" s="342"/>
      <c r="NVJ16" s="343"/>
      <c r="NVK16" s="343"/>
      <c r="NVL16" s="344"/>
      <c r="NVM16" s="344"/>
      <c r="NVN16" s="344"/>
      <c r="NVO16" s="342"/>
      <c r="NVP16" s="342"/>
      <c r="NVQ16" s="342"/>
      <c r="NVR16" s="343"/>
      <c r="NVS16" s="343"/>
      <c r="NVT16" s="344"/>
      <c r="NVU16" s="344"/>
      <c r="NVV16" s="344"/>
      <c r="NVW16" s="342"/>
      <c r="NVX16" s="342"/>
      <c r="NVY16" s="342"/>
      <c r="NVZ16" s="343"/>
      <c r="NWA16" s="343"/>
      <c r="NWB16" s="344"/>
      <c r="NWC16" s="344"/>
      <c r="NWD16" s="344"/>
      <c r="NWE16" s="342"/>
      <c r="NWF16" s="342"/>
      <c r="NWG16" s="342"/>
      <c r="NWH16" s="343"/>
      <c r="NWI16" s="343"/>
      <c r="NWJ16" s="344"/>
      <c r="NWK16" s="344"/>
      <c r="NWL16" s="344"/>
      <c r="NWM16" s="342"/>
      <c r="NWN16" s="342"/>
      <c r="NWO16" s="342"/>
      <c r="NWP16" s="343"/>
      <c r="NWQ16" s="343"/>
      <c r="NWR16" s="344"/>
      <c r="NWS16" s="344"/>
      <c r="NWT16" s="344"/>
      <c r="NWU16" s="342"/>
      <c r="NWV16" s="342"/>
      <c r="NWW16" s="342"/>
      <c r="NWX16" s="343"/>
      <c r="NWY16" s="343"/>
      <c r="NWZ16" s="344"/>
      <c r="NXA16" s="344"/>
      <c r="NXB16" s="344"/>
      <c r="NXC16" s="342"/>
      <c r="NXD16" s="342"/>
      <c r="NXE16" s="342"/>
      <c r="NXF16" s="343"/>
      <c r="NXG16" s="343"/>
      <c r="NXH16" s="344"/>
      <c r="NXI16" s="344"/>
      <c r="NXJ16" s="344"/>
      <c r="NXK16" s="342"/>
      <c r="NXL16" s="342"/>
      <c r="NXM16" s="342"/>
      <c r="NXN16" s="343"/>
      <c r="NXO16" s="343"/>
      <c r="NXP16" s="344"/>
      <c r="NXQ16" s="344"/>
      <c r="NXR16" s="344"/>
      <c r="NXS16" s="342"/>
      <c r="NXT16" s="342"/>
      <c r="NXU16" s="342"/>
      <c r="NXV16" s="343"/>
      <c r="NXW16" s="343"/>
      <c r="NXX16" s="344"/>
      <c r="NXY16" s="344"/>
      <c r="NXZ16" s="344"/>
      <c r="NYA16" s="342"/>
      <c r="NYB16" s="342"/>
      <c r="NYC16" s="342"/>
      <c r="NYD16" s="343"/>
      <c r="NYE16" s="343"/>
      <c r="NYF16" s="344"/>
      <c r="NYG16" s="344"/>
      <c r="NYH16" s="344"/>
      <c r="NYI16" s="342"/>
      <c r="NYJ16" s="342"/>
      <c r="NYK16" s="342"/>
      <c r="NYL16" s="343"/>
      <c r="NYM16" s="343"/>
      <c r="NYN16" s="344"/>
      <c r="NYO16" s="344"/>
      <c r="NYP16" s="344"/>
      <c r="NYQ16" s="342"/>
      <c r="NYR16" s="342"/>
      <c r="NYS16" s="342"/>
      <c r="NYT16" s="343"/>
      <c r="NYU16" s="343"/>
      <c r="NYV16" s="344"/>
      <c r="NYW16" s="344"/>
      <c r="NYX16" s="344"/>
      <c r="NYY16" s="342"/>
      <c r="NYZ16" s="342"/>
      <c r="NZA16" s="342"/>
      <c r="NZB16" s="343"/>
      <c r="NZC16" s="343"/>
      <c r="NZD16" s="344"/>
      <c r="NZE16" s="344"/>
      <c r="NZF16" s="344"/>
      <c r="NZG16" s="342"/>
      <c r="NZH16" s="342"/>
      <c r="NZI16" s="342"/>
      <c r="NZJ16" s="343"/>
      <c r="NZK16" s="343"/>
      <c r="NZL16" s="344"/>
      <c r="NZM16" s="344"/>
      <c r="NZN16" s="344"/>
      <c r="NZO16" s="342"/>
      <c r="NZP16" s="342"/>
      <c r="NZQ16" s="342"/>
      <c r="NZR16" s="343"/>
      <c r="NZS16" s="343"/>
      <c r="NZT16" s="344"/>
      <c r="NZU16" s="344"/>
      <c r="NZV16" s="344"/>
      <c r="NZW16" s="342"/>
      <c r="NZX16" s="342"/>
      <c r="NZY16" s="342"/>
      <c r="NZZ16" s="343"/>
      <c r="OAA16" s="343"/>
      <c r="OAB16" s="344"/>
      <c r="OAC16" s="344"/>
      <c r="OAD16" s="344"/>
      <c r="OAE16" s="342"/>
      <c r="OAF16" s="342"/>
      <c r="OAG16" s="342"/>
      <c r="OAH16" s="343"/>
      <c r="OAI16" s="343"/>
      <c r="OAJ16" s="344"/>
      <c r="OAK16" s="344"/>
      <c r="OAL16" s="344"/>
      <c r="OAM16" s="342"/>
      <c r="OAN16" s="342"/>
      <c r="OAO16" s="342"/>
      <c r="OAP16" s="343"/>
      <c r="OAQ16" s="343"/>
      <c r="OAR16" s="344"/>
      <c r="OAS16" s="344"/>
      <c r="OAT16" s="344"/>
      <c r="OAU16" s="342"/>
      <c r="OAV16" s="342"/>
      <c r="OAW16" s="342"/>
      <c r="OAX16" s="343"/>
      <c r="OAY16" s="343"/>
      <c r="OAZ16" s="344"/>
      <c r="OBA16" s="344"/>
      <c r="OBB16" s="344"/>
      <c r="OBC16" s="342"/>
      <c r="OBD16" s="342"/>
      <c r="OBE16" s="342"/>
      <c r="OBF16" s="343"/>
      <c r="OBG16" s="343"/>
      <c r="OBH16" s="344"/>
      <c r="OBI16" s="344"/>
      <c r="OBJ16" s="344"/>
      <c r="OBK16" s="342"/>
      <c r="OBL16" s="342"/>
      <c r="OBM16" s="342"/>
      <c r="OBN16" s="343"/>
      <c r="OBO16" s="343"/>
      <c r="OBP16" s="344"/>
      <c r="OBQ16" s="344"/>
      <c r="OBR16" s="344"/>
      <c r="OBS16" s="342"/>
      <c r="OBT16" s="342"/>
      <c r="OBU16" s="342"/>
      <c r="OBV16" s="343"/>
      <c r="OBW16" s="343"/>
      <c r="OBX16" s="344"/>
      <c r="OBY16" s="344"/>
      <c r="OBZ16" s="344"/>
      <c r="OCA16" s="342"/>
      <c r="OCB16" s="342"/>
      <c r="OCC16" s="342"/>
      <c r="OCD16" s="343"/>
      <c r="OCE16" s="343"/>
      <c r="OCF16" s="344"/>
      <c r="OCG16" s="344"/>
      <c r="OCH16" s="344"/>
      <c r="OCI16" s="342"/>
      <c r="OCJ16" s="342"/>
      <c r="OCK16" s="342"/>
      <c r="OCL16" s="343"/>
      <c r="OCM16" s="343"/>
      <c r="OCN16" s="344"/>
      <c r="OCO16" s="344"/>
      <c r="OCP16" s="344"/>
      <c r="OCQ16" s="342"/>
      <c r="OCR16" s="342"/>
      <c r="OCS16" s="342"/>
      <c r="OCT16" s="343"/>
      <c r="OCU16" s="343"/>
      <c r="OCV16" s="344"/>
      <c r="OCW16" s="344"/>
      <c r="OCX16" s="344"/>
      <c r="OCY16" s="342"/>
      <c r="OCZ16" s="342"/>
      <c r="ODA16" s="342"/>
      <c r="ODB16" s="343"/>
      <c r="ODC16" s="343"/>
      <c r="ODD16" s="344"/>
      <c r="ODE16" s="344"/>
      <c r="ODF16" s="344"/>
      <c r="ODG16" s="342"/>
      <c r="ODH16" s="342"/>
      <c r="ODI16" s="342"/>
      <c r="ODJ16" s="343"/>
      <c r="ODK16" s="343"/>
      <c r="ODL16" s="344"/>
      <c r="ODM16" s="344"/>
      <c r="ODN16" s="344"/>
      <c r="ODO16" s="342"/>
      <c r="ODP16" s="342"/>
      <c r="ODQ16" s="342"/>
      <c r="ODR16" s="343"/>
      <c r="ODS16" s="343"/>
      <c r="ODT16" s="344"/>
      <c r="ODU16" s="344"/>
      <c r="ODV16" s="344"/>
      <c r="ODW16" s="342"/>
      <c r="ODX16" s="342"/>
      <c r="ODY16" s="342"/>
      <c r="ODZ16" s="343"/>
      <c r="OEA16" s="343"/>
      <c r="OEB16" s="344"/>
      <c r="OEC16" s="344"/>
      <c r="OED16" s="344"/>
      <c r="OEE16" s="342"/>
      <c r="OEF16" s="342"/>
      <c r="OEG16" s="342"/>
      <c r="OEH16" s="343"/>
      <c r="OEI16" s="343"/>
      <c r="OEJ16" s="344"/>
      <c r="OEK16" s="344"/>
      <c r="OEL16" s="344"/>
      <c r="OEM16" s="342"/>
      <c r="OEN16" s="342"/>
      <c r="OEO16" s="342"/>
      <c r="OEP16" s="343"/>
      <c r="OEQ16" s="343"/>
      <c r="OER16" s="344"/>
      <c r="OES16" s="344"/>
      <c r="OET16" s="344"/>
      <c r="OEU16" s="342"/>
      <c r="OEV16" s="342"/>
      <c r="OEW16" s="342"/>
      <c r="OEX16" s="343"/>
      <c r="OEY16" s="343"/>
      <c r="OEZ16" s="344"/>
      <c r="OFA16" s="344"/>
      <c r="OFB16" s="344"/>
      <c r="OFC16" s="342"/>
      <c r="OFD16" s="342"/>
      <c r="OFE16" s="342"/>
      <c r="OFF16" s="343"/>
      <c r="OFG16" s="343"/>
      <c r="OFH16" s="344"/>
      <c r="OFI16" s="344"/>
      <c r="OFJ16" s="344"/>
      <c r="OFK16" s="342"/>
      <c r="OFL16" s="342"/>
      <c r="OFM16" s="342"/>
      <c r="OFN16" s="343"/>
      <c r="OFO16" s="343"/>
      <c r="OFP16" s="344"/>
      <c r="OFQ16" s="344"/>
      <c r="OFR16" s="344"/>
      <c r="OFS16" s="342"/>
      <c r="OFT16" s="342"/>
      <c r="OFU16" s="342"/>
      <c r="OFV16" s="343"/>
      <c r="OFW16" s="343"/>
      <c r="OFX16" s="344"/>
      <c r="OFY16" s="344"/>
      <c r="OFZ16" s="344"/>
      <c r="OGA16" s="342"/>
      <c r="OGB16" s="342"/>
      <c r="OGC16" s="342"/>
      <c r="OGD16" s="343"/>
      <c r="OGE16" s="343"/>
      <c r="OGF16" s="344"/>
      <c r="OGG16" s="344"/>
      <c r="OGH16" s="344"/>
      <c r="OGI16" s="342"/>
      <c r="OGJ16" s="342"/>
      <c r="OGK16" s="342"/>
      <c r="OGL16" s="343"/>
      <c r="OGM16" s="343"/>
      <c r="OGN16" s="344"/>
      <c r="OGO16" s="344"/>
      <c r="OGP16" s="344"/>
      <c r="OGQ16" s="342"/>
      <c r="OGR16" s="342"/>
      <c r="OGS16" s="342"/>
      <c r="OGT16" s="343"/>
      <c r="OGU16" s="343"/>
      <c r="OGV16" s="344"/>
      <c r="OGW16" s="344"/>
      <c r="OGX16" s="344"/>
      <c r="OGY16" s="342"/>
      <c r="OGZ16" s="342"/>
      <c r="OHA16" s="342"/>
      <c r="OHB16" s="343"/>
      <c r="OHC16" s="343"/>
      <c r="OHD16" s="344"/>
      <c r="OHE16" s="344"/>
      <c r="OHF16" s="344"/>
      <c r="OHG16" s="342"/>
      <c r="OHH16" s="342"/>
      <c r="OHI16" s="342"/>
      <c r="OHJ16" s="343"/>
      <c r="OHK16" s="343"/>
      <c r="OHL16" s="344"/>
      <c r="OHM16" s="344"/>
      <c r="OHN16" s="344"/>
      <c r="OHO16" s="342"/>
      <c r="OHP16" s="342"/>
      <c r="OHQ16" s="342"/>
      <c r="OHR16" s="343"/>
      <c r="OHS16" s="343"/>
      <c r="OHT16" s="344"/>
      <c r="OHU16" s="344"/>
      <c r="OHV16" s="344"/>
      <c r="OHW16" s="342"/>
      <c r="OHX16" s="342"/>
      <c r="OHY16" s="342"/>
      <c r="OHZ16" s="343"/>
      <c r="OIA16" s="343"/>
      <c r="OIB16" s="344"/>
      <c r="OIC16" s="344"/>
      <c r="OID16" s="344"/>
      <c r="OIE16" s="342"/>
      <c r="OIF16" s="342"/>
      <c r="OIG16" s="342"/>
      <c r="OIH16" s="343"/>
      <c r="OII16" s="343"/>
      <c r="OIJ16" s="344"/>
      <c r="OIK16" s="344"/>
      <c r="OIL16" s="344"/>
      <c r="OIM16" s="342"/>
      <c r="OIN16" s="342"/>
      <c r="OIO16" s="342"/>
      <c r="OIP16" s="343"/>
      <c r="OIQ16" s="343"/>
      <c r="OIR16" s="344"/>
      <c r="OIS16" s="344"/>
      <c r="OIT16" s="344"/>
      <c r="OIU16" s="342"/>
      <c r="OIV16" s="342"/>
      <c r="OIW16" s="342"/>
      <c r="OIX16" s="343"/>
      <c r="OIY16" s="343"/>
      <c r="OIZ16" s="344"/>
      <c r="OJA16" s="344"/>
      <c r="OJB16" s="344"/>
      <c r="OJC16" s="342"/>
      <c r="OJD16" s="342"/>
      <c r="OJE16" s="342"/>
      <c r="OJF16" s="343"/>
      <c r="OJG16" s="343"/>
      <c r="OJH16" s="344"/>
      <c r="OJI16" s="344"/>
      <c r="OJJ16" s="344"/>
      <c r="OJK16" s="342"/>
      <c r="OJL16" s="342"/>
      <c r="OJM16" s="342"/>
      <c r="OJN16" s="343"/>
      <c r="OJO16" s="343"/>
      <c r="OJP16" s="344"/>
      <c r="OJQ16" s="344"/>
      <c r="OJR16" s="344"/>
      <c r="OJS16" s="342"/>
      <c r="OJT16" s="342"/>
      <c r="OJU16" s="342"/>
      <c r="OJV16" s="343"/>
      <c r="OJW16" s="343"/>
      <c r="OJX16" s="344"/>
      <c r="OJY16" s="344"/>
      <c r="OJZ16" s="344"/>
      <c r="OKA16" s="342"/>
      <c r="OKB16" s="342"/>
      <c r="OKC16" s="342"/>
      <c r="OKD16" s="343"/>
      <c r="OKE16" s="343"/>
      <c r="OKF16" s="344"/>
      <c r="OKG16" s="344"/>
      <c r="OKH16" s="344"/>
      <c r="OKI16" s="342"/>
      <c r="OKJ16" s="342"/>
      <c r="OKK16" s="342"/>
      <c r="OKL16" s="343"/>
      <c r="OKM16" s="343"/>
      <c r="OKN16" s="344"/>
      <c r="OKO16" s="344"/>
      <c r="OKP16" s="344"/>
      <c r="OKQ16" s="342"/>
      <c r="OKR16" s="342"/>
      <c r="OKS16" s="342"/>
      <c r="OKT16" s="343"/>
      <c r="OKU16" s="343"/>
      <c r="OKV16" s="344"/>
      <c r="OKW16" s="344"/>
      <c r="OKX16" s="344"/>
      <c r="OKY16" s="342"/>
      <c r="OKZ16" s="342"/>
      <c r="OLA16" s="342"/>
      <c r="OLB16" s="343"/>
      <c r="OLC16" s="343"/>
      <c r="OLD16" s="344"/>
      <c r="OLE16" s="344"/>
      <c r="OLF16" s="344"/>
      <c r="OLG16" s="342"/>
      <c r="OLH16" s="342"/>
      <c r="OLI16" s="342"/>
      <c r="OLJ16" s="343"/>
      <c r="OLK16" s="343"/>
      <c r="OLL16" s="344"/>
      <c r="OLM16" s="344"/>
      <c r="OLN16" s="344"/>
      <c r="OLO16" s="342"/>
      <c r="OLP16" s="342"/>
      <c r="OLQ16" s="342"/>
      <c r="OLR16" s="343"/>
      <c r="OLS16" s="343"/>
      <c r="OLT16" s="344"/>
      <c r="OLU16" s="344"/>
      <c r="OLV16" s="344"/>
      <c r="OLW16" s="342"/>
      <c r="OLX16" s="342"/>
      <c r="OLY16" s="342"/>
      <c r="OLZ16" s="343"/>
      <c r="OMA16" s="343"/>
      <c r="OMB16" s="344"/>
      <c r="OMC16" s="344"/>
      <c r="OMD16" s="344"/>
      <c r="OME16" s="342"/>
      <c r="OMF16" s="342"/>
      <c r="OMG16" s="342"/>
      <c r="OMH16" s="343"/>
      <c r="OMI16" s="343"/>
      <c r="OMJ16" s="344"/>
      <c r="OMK16" s="344"/>
      <c r="OML16" s="344"/>
      <c r="OMM16" s="342"/>
      <c r="OMN16" s="342"/>
      <c r="OMO16" s="342"/>
      <c r="OMP16" s="343"/>
      <c r="OMQ16" s="343"/>
      <c r="OMR16" s="344"/>
      <c r="OMS16" s="344"/>
      <c r="OMT16" s="344"/>
      <c r="OMU16" s="342"/>
      <c r="OMV16" s="342"/>
      <c r="OMW16" s="342"/>
      <c r="OMX16" s="343"/>
      <c r="OMY16" s="343"/>
      <c r="OMZ16" s="344"/>
      <c r="ONA16" s="344"/>
      <c r="ONB16" s="344"/>
      <c r="ONC16" s="342"/>
      <c r="OND16" s="342"/>
      <c r="ONE16" s="342"/>
      <c r="ONF16" s="343"/>
      <c r="ONG16" s="343"/>
      <c r="ONH16" s="344"/>
      <c r="ONI16" s="344"/>
      <c r="ONJ16" s="344"/>
      <c r="ONK16" s="342"/>
      <c r="ONL16" s="342"/>
      <c r="ONM16" s="342"/>
      <c r="ONN16" s="343"/>
      <c r="ONO16" s="343"/>
      <c r="ONP16" s="344"/>
      <c r="ONQ16" s="344"/>
      <c r="ONR16" s="344"/>
      <c r="ONS16" s="342"/>
      <c r="ONT16" s="342"/>
      <c r="ONU16" s="342"/>
      <c r="ONV16" s="343"/>
      <c r="ONW16" s="343"/>
      <c r="ONX16" s="344"/>
      <c r="ONY16" s="344"/>
      <c r="ONZ16" s="344"/>
      <c r="OOA16" s="342"/>
      <c r="OOB16" s="342"/>
      <c r="OOC16" s="342"/>
      <c r="OOD16" s="343"/>
      <c r="OOE16" s="343"/>
      <c r="OOF16" s="344"/>
      <c r="OOG16" s="344"/>
      <c r="OOH16" s="344"/>
      <c r="OOI16" s="342"/>
      <c r="OOJ16" s="342"/>
      <c r="OOK16" s="342"/>
      <c r="OOL16" s="343"/>
      <c r="OOM16" s="343"/>
      <c r="OON16" s="344"/>
      <c r="OOO16" s="344"/>
      <c r="OOP16" s="344"/>
      <c r="OOQ16" s="342"/>
      <c r="OOR16" s="342"/>
      <c r="OOS16" s="342"/>
      <c r="OOT16" s="343"/>
      <c r="OOU16" s="343"/>
      <c r="OOV16" s="344"/>
      <c r="OOW16" s="344"/>
      <c r="OOX16" s="344"/>
      <c r="OOY16" s="342"/>
      <c r="OOZ16" s="342"/>
      <c r="OPA16" s="342"/>
      <c r="OPB16" s="343"/>
      <c r="OPC16" s="343"/>
      <c r="OPD16" s="344"/>
      <c r="OPE16" s="344"/>
      <c r="OPF16" s="344"/>
      <c r="OPG16" s="342"/>
      <c r="OPH16" s="342"/>
      <c r="OPI16" s="342"/>
      <c r="OPJ16" s="343"/>
      <c r="OPK16" s="343"/>
      <c r="OPL16" s="344"/>
      <c r="OPM16" s="344"/>
      <c r="OPN16" s="344"/>
      <c r="OPO16" s="342"/>
      <c r="OPP16" s="342"/>
      <c r="OPQ16" s="342"/>
      <c r="OPR16" s="343"/>
      <c r="OPS16" s="343"/>
      <c r="OPT16" s="344"/>
      <c r="OPU16" s="344"/>
      <c r="OPV16" s="344"/>
      <c r="OPW16" s="342"/>
      <c r="OPX16" s="342"/>
      <c r="OPY16" s="342"/>
      <c r="OPZ16" s="343"/>
      <c r="OQA16" s="343"/>
      <c r="OQB16" s="344"/>
      <c r="OQC16" s="344"/>
      <c r="OQD16" s="344"/>
      <c r="OQE16" s="342"/>
      <c r="OQF16" s="342"/>
      <c r="OQG16" s="342"/>
      <c r="OQH16" s="343"/>
      <c r="OQI16" s="343"/>
      <c r="OQJ16" s="344"/>
      <c r="OQK16" s="344"/>
      <c r="OQL16" s="344"/>
      <c r="OQM16" s="342"/>
      <c r="OQN16" s="342"/>
      <c r="OQO16" s="342"/>
      <c r="OQP16" s="343"/>
      <c r="OQQ16" s="343"/>
      <c r="OQR16" s="344"/>
      <c r="OQS16" s="344"/>
      <c r="OQT16" s="344"/>
      <c r="OQU16" s="342"/>
      <c r="OQV16" s="342"/>
      <c r="OQW16" s="342"/>
      <c r="OQX16" s="343"/>
      <c r="OQY16" s="343"/>
      <c r="OQZ16" s="344"/>
      <c r="ORA16" s="344"/>
      <c r="ORB16" s="344"/>
      <c r="ORC16" s="342"/>
      <c r="ORD16" s="342"/>
      <c r="ORE16" s="342"/>
      <c r="ORF16" s="343"/>
      <c r="ORG16" s="343"/>
      <c r="ORH16" s="344"/>
      <c r="ORI16" s="344"/>
      <c r="ORJ16" s="344"/>
      <c r="ORK16" s="342"/>
      <c r="ORL16" s="342"/>
      <c r="ORM16" s="342"/>
      <c r="ORN16" s="343"/>
      <c r="ORO16" s="343"/>
      <c r="ORP16" s="344"/>
      <c r="ORQ16" s="344"/>
      <c r="ORR16" s="344"/>
      <c r="ORS16" s="342"/>
      <c r="ORT16" s="342"/>
      <c r="ORU16" s="342"/>
      <c r="ORV16" s="343"/>
      <c r="ORW16" s="343"/>
      <c r="ORX16" s="344"/>
      <c r="ORY16" s="344"/>
      <c r="ORZ16" s="344"/>
      <c r="OSA16" s="342"/>
      <c r="OSB16" s="342"/>
      <c r="OSC16" s="342"/>
      <c r="OSD16" s="343"/>
      <c r="OSE16" s="343"/>
      <c r="OSF16" s="344"/>
      <c r="OSG16" s="344"/>
      <c r="OSH16" s="344"/>
      <c r="OSI16" s="342"/>
      <c r="OSJ16" s="342"/>
      <c r="OSK16" s="342"/>
      <c r="OSL16" s="343"/>
      <c r="OSM16" s="343"/>
      <c r="OSN16" s="344"/>
      <c r="OSO16" s="344"/>
      <c r="OSP16" s="344"/>
      <c r="OSQ16" s="342"/>
      <c r="OSR16" s="342"/>
      <c r="OSS16" s="342"/>
      <c r="OST16" s="343"/>
      <c r="OSU16" s="343"/>
      <c r="OSV16" s="344"/>
      <c r="OSW16" s="344"/>
      <c r="OSX16" s="344"/>
      <c r="OSY16" s="342"/>
      <c r="OSZ16" s="342"/>
      <c r="OTA16" s="342"/>
      <c r="OTB16" s="343"/>
      <c r="OTC16" s="343"/>
      <c r="OTD16" s="344"/>
      <c r="OTE16" s="344"/>
      <c r="OTF16" s="344"/>
      <c r="OTG16" s="342"/>
      <c r="OTH16" s="342"/>
      <c r="OTI16" s="342"/>
      <c r="OTJ16" s="343"/>
      <c r="OTK16" s="343"/>
      <c r="OTL16" s="344"/>
      <c r="OTM16" s="344"/>
      <c r="OTN16" s="344"/>
      <c r="OTO16" s="342"/>
      <c r="OTP16" s="342"/>
      <c r="OTQ16" s="342"/>
      <c r="OTR16" s="343"/>
      <c r="OTS16" s="343"/>
      <c r="OTT16" s="344"/>
      <c r="OTU16" s="344"/>
      <c r="OTV16" s="344"/>
      <c r="OTW16" s="342"/>
      <c r="OTX16" s="342"/>
      <c r="OTY16" s="342"/>
      <c r="OTZ16" s="343"/>
      <c r="OUA16" s="343"/>
      <c r="OUB16" s="344"/>
      <c r="OUC16" s="344"/>
      <c r="OUD16" s="344"/>
      <c r="OUE16" s="342"/>
      <c r="OUF16" s="342"/>
      <c r="OUG16" s="342"/>
      <c r="OUH16" s="343"/>
      <c r="OUI16" s="343"/>
      <c r="OUJ16" s="344"/>
      <c r="OUK16" s="344"/>
      <c r="OUL16" s="344"/>
      <c r="OUM16" s="342"/>
      <c r="OUN16" s="342"/>
      <c r="OUO16" s="342"/>
      <c r="OUP16" s="343"/>
      <c r="OUQ16" s="343"/>
      <c r="OUR16" s="344"/>
      <c r="OUS16" s="344"/>
      <c r="OUT16" s="344"/>
      <c r="OUU16" s="342"/>
      <c r="OUV16" s="342"/>
      <c r="OUW16" s="342"/>
      <c r="OUX16" s="343"/>
      <c r="OUY16" s="343"/>
      <c r="OUZ16" s="344"/>
      <c r="OVA16" s="344"/>
      <c r="OVB16" s="344"/>
      <c r="OVC16" s="342"/>
      <c r="OVD16" s="342"/>
      <c r="OVE16" s="342"/>
      <c r="OVF16" s="343"/>
      <c r="OVG16" s="343"/>
      <c r="OVH16" s="344"/>
      <c r="OVI16" s="344"/>
      <c r="OVJ16" s="344"/>
      <c r="OVK16" s="342"/>
      <c r="OVL16" s="342"/>
      <c r="OVM16" s="342"/>
      <c r="OVN16" s="343"/>
      <c r="OVO16" s="343"/>
      <c r="OVP16" s="344"/>
      <c r="OVQ16" s="344"/>
      <c r="OVR16" s="344"/>
      <c r="OVS16" s="342"/>
      <c r="OVT16" s="342"/>
      <c r="OVU16" s="342"/>
      <c r="OVV16" s="343"/>
      <c r="OVW16" s="343"/>
      <c r="OVX16" s="344"/>
      <c r="OVY16" s="344"/>
      <c r="OVZ16" s="344"/>
      <c r="OWA16" s="342"/>
      <c r="OWB16" s="342"/>
      <c r="OWC16" s="342"/>
      <c r="OWD16" s="343"/>
      <c r="OWE16" s="343"/>
      <c r="OWF16" s="344"/>
      <c r="OWG16" s="344"/>
      <c r="OWH16" s="344"/>
      <c r="OWI16" s="342"/>
      <c r="OWJ16" s="342"/>
      <c r="OWK16" s="342"/>
      <c r="OWL16" s="343"/>
      <c r="OWM16" s="343"/>
      <c r="OWN16" s="344"/>
      <c r="OWO16" s="344"/>
      <c r="OWP16" s="344"/>
      <c r="OWQ16" s="342"/>
      <c r="OWR16" s="342"/>
      <c r="OWS16" s="342"/>
      <c r="OWT16" s="343"/>
      <c r="OWU16" s="343"/>
      <c r="OWV16" s="344"/>
      <c r="OWW16" s="344"/>
      <c r="OWX16" s="344"/>
      <c r="OWY16" s="342"/>
      <c r="OWZ16" s="342"/>
      <c r="OXA16" s="342"/>
      <c r="OXB16" s="343"/>
      <c r="OXC16" s="343"/>
      <c r="OXD16" s="344"/>
      <c r="OXE16" s="344"/>
      <c r="OXF16" s="344"/>
      <c r="OXG16" s="342"/>
      <c r="OXH16" s="342"/>
      <c r="OXI16" s="342"/>
      <c r="OXJ16" s="343"/>
      <c r="OXK16" s="343"/>
      <c r="OXL16" s="344"/>
      <c r="OXM16" s="344"/>
      <c r="OXN16" s="344"/>
      <c r="OXO16" s="342"/>
      <c r="OXP16" s="342"/>
      <c r="OXQ16" s="342"/>
      <c r="OXR16" s="343"/>
      <c r="OXS16" s="343"/>
      <c r="OXT16" s="344"/>
      <c r="OXU16" s="344"/>
      <c r="OXV16" s="344"/>
      <c r="OXW16" s="342"/>
      <c r="OXX16" s="342"/>
      <c r="OXY16" s="342"/>
      <c r="OXZ16" s="343"/>
      <c r="OYA16" s="343"/>
      <c r="OYB16" s="344"/>
      <c r="OYC16" s="344"/>
      <c r="OYD16" s="344"/>
      <c r="OYE16" s="342"/>
      <c r="OYF16" s="342"/>
      <c r="OYG16" s="342"/>
      <c r="OYH16" s="343"/>
      <c r="OYI16" s="343"/>
      <c r="OYJ16" s="344"/>
      <c r="OYK16" s="344"/>
      <c r="OYL16" s="344"/>
      <c r="OYM16" s="342"/>
      <c r="OYN16" s="342"/>
      <c r="OYO16" s="342"/>
      <c r="OYP16" s="343"/>
      <c r="OYQ16" s="343"/>
      <c r="OYR16" s="344"/>
      <c r="OYS16" s="344"/>
      <c r="OYT16" s="344"/>
      <c r="OYU16" s="342"/>
      <c r="OYV16" s="342"/>
      <c r="OYW16" s="342"/>
      <c r="OYX16" s="343"/>
      <c r="OYY16" s="343"/>
      <c r="OYZ16" s="344"/>
      <c r="OZA16" s="344"/>
      <c r="OZB16" s="344"/>
      <c r="OZC16" s="342"/>
      <c r="OZD16" s="342"/>
      <c r="OZE16" s="342"/>
      <c r="OZF16" s="343"/>
      <c r="OZG16" s="343"/>
      <c r="OZH16" s="344"/>
      <c r="OZI16" s="344"/>
      <c r="OZJ16" s="344"/>
      <c r="OZK16" s="342"/>
      <c r="OZL16" s="342"/>
      <c r="OZM16" s="342"/>
      <c r="OZN16" s="343"/>
      <c r="OZO16" s="343"/>
      <c r="OZP16" s="344"/>
      <c r="OZQ16" s="344"/>
      <c r="OZR16" s="344"/>
      <c r="OZS16" s="342"/>
      <c r="OZT16" s="342"/>
      <c r="OZU16" s="342"/>
      <c r="OZV16" s="343"/>
      <c r="OZW16" s="343"/>
      <c r="OZX16" s="344"/>
      <c r="OZY16" s="344"/>
      <c r="OZZ16" s="344"/>
      <c r="PAA16" s="342"/>
      <c r="PAB16" s="342"/>
      <c r="PAC16" s="342"/>
      <c r="PAD16" s="343"/>
      <c r="PAE16" s="343"/>
      <c r="PAF16" s="344"/>
      <c r="PAG16" s="344"/>
      <c r="PAH16" s="344"/>
      <c r="PAI16" s="342"/>
      <c r="PAJ16" s="342"/>
      <c r="PAK16" s="342"/>
      <c r="PAL16" s="343"/>
      <c r="PAM16" s="343"/>
      <c r="PAN16" s="344"/>
      <c r="PAO16" s="344"/>
      <c r="PAP16" s="344"/>
      <c r="PAQ16" s="342"/>
      <c r="PAR16" s="342"/>
      <c r="PAS16" s="342"/>
      <c r="PAT16" s="343"/>
      <c r="PAU16" s="343"/>
      <c r="PAV16" s="344"/>
      <c r="PAW16" s="344"/>
      <c r="PAX16" s="344"/>
      <c r="PAY16" s="342"/>
      <c r="PAZ16" s="342"/>
      <c r="PBA16" s="342"/>
      <c r="PBB16" s="343"/>
      <c r="PBC16" s="343"/>
      <c r="PBD16" s="344"/>
      <c r="PBE16" s="344"/>
      <c r="PBF16" s="344"/>
      <c r="PBG16" s="342"/>
      <c r="PBH16" s="342"/>
      <c r="PBI16" s="342"/>
      <c r="PBJ16" s="343"/>
      <c r="PBK16" s="343"/>
      <c r="PBL16" s="344"/>
      <c r="PBM16" s="344"/>
      <c r="PBN16" s="344"/>
      <c r="PBO16" s="342"/>
      <c r="PBP16" s="342"/>
      <c r="PBQ16" s="342"/>
      <c r="PBR16" s="343"/>
      <c r="PBS16" s="343"/>
      <c r="PBT16" s="344"/>
      <c r="PBU16" s="344"/>
      <c r="PBV16" s="344"/>
      <c r="PBW16" s="342"/>
      <c r="PBX16" s="342"/>
      <c r="PBY16" s="342"/>
      <c r="PBZ16" s="343"/>
      <c r="PCA16" s="343"/>
      <c r="PCB16" s="344"/>
      <c r="PCC16" s="344"/>
      <c r="PCD16" s="344"/>
      <c r="PCE16" s="342"/>
      <c r="PCF16" s="342"/>
      <c r="PCG16" s="342"/>
      <c r="PCH16" s="343"/>
      <c r="PCI16" s="343"/>
      <c r="PCJ16" s="344"/>
      <c r="PCK16" s="344"/>
      <c r="PCL16" s="344"/>
      <c r="PCM16" s="342"/>
      <c r="PCN16" s="342"/>
      <c r="PCO16" s="342"/>
      <c r="PCP16" s="343"/>
      <c r="PCQ16" s="343"/>
      <c r="PCR16" s="344"/>
      <c r="PCS16" s="344"/>
      <c r="PCT16" s="344"/>
      <c r="PCU16" s="342"/>
      <c r="PCV16" s="342"/>
      <c r="PCW16" s="342"/>
      <c r="PCX16" s="343"/>
      <c r="PCY16" s="343"/>
      <c r="PCZ16" s="344"/>
      <c r="PDA16" s="344"/>
      <c r="PDB16" s="344"/>
      <c r="PDC16" s="342"/>
      <c r="PDD16" s="342"/>
      <c r="PDE16" s="342"/>
      <c r="PDF16" s="343"/>
      <c r="PDG16" s="343"/>
      <c r="PDH16" s="344"/>
      <c r="PDI16" s="344"/>
      <c r="PDJ16" s="344"/>
      <c r="PDK16" s="342"/>
      <c r="PDL16" s="342"/>
      <c r="PDM16" s="342"/>
      <c r="PDN16" s="343"/>
      <c r="PDO16" s="343"/>
      <c r="PDP16" s="344"/>
      <c r="PDQ16" s="344"/>
      <c r="PDR16" s="344"/>
      <c r="PDS16" s="342"/>
      <c r="PDT16" s="342"/>
      <c r="PDU16" s="342"/>
      <c r="PDV16" s="343"/>
      <c r="PDW16" s="343"/>
      <c r="PDX16" s="344"/>
      <c r="PDY16" s="344"/>
      <c r="PDZ16" s="344"/>
      <c r="PEA16" s="342"/>
      <c r="PEB16" s="342"/>
      <c r="PEC16" s="342"/>
      <c r="PED16" s="343"/>
      <c r="PEE16" s="343"/>
      <c r="PEF16" s="344"/>
      <c r="PEG16" s="344"/>
      <c r="PEH16" s="344"/>
      <c r="PEI16" s="342"/>
      <c r="PEJ16" s="342"/>
      <c r="PEK16" s="342"/>
      <c r="PEL16" s="343"/>
      <c r="PEM16" s="343"/>
      <c r="PEN16" s="344"/>
      <c r="PEO16" s="344"/>
      <c r="PEP16" s="344"/>
      <c r="PEQ16" s="342"/>
      <c r="PER16" s="342"/>
      <c r="PES16" s="342"/>
      <c r="PET16" s="343"/>
      <c r="PEU16" s="343"/>
      <c r="PEV16" s="344"/>
      <c r="PEW16" s="344"/>
      <c r="PEX16" s="344"/>
      <c r="PEY16" s="342"/>
      <c r="PEZ16" s="342"/>
      <c r="PFA16" s="342"/>
      <c r="PFB16" s="343"/>
      <c r="PFC16" s="343"/>
      <c r="PFD16" s="344"/>
      <c r="PFE16" s="344"/>
      <c r="PFF16" s="344"/>
      <c r="PFG16" s="342"/>
      <c r="PFH16" s="342"/>
      <c r="PFI16" s="342"/>
      <c r="PFJ16" s="343"/>
      <c r="PFK16" s="343"/>
      <c r="PFL16" s="344"/>
      <c r="PFM16" s="344"/>
      <c r="PFN16" s="344"/>
      <c r="PFO16" s="342"/>
      <c r="PFP16" s="342"/>
      <c r="PFQ16" s="342"/>
      <c r="PFR16" s="343"/>
      <c r="PFS16" s="343"/>
      <c r="PFT16" s="344"/>
      <c r="PFU16" s="344"/>
      <c r="PFV16" s="344"/>
      <c r="PFW16" s="342"/>
      <c r="PFX16" s="342"/>
      <c r="PFY16" s="342"/>
      <c r="PFZ16" s="343"/>
      <c r="PGA16" s="343"/>
      <c r="PGB16" s="344"/>
      <c r="PGC16" s="344"/>
      <c r="PGD16" s="344"/>
      <c r="PGE16" s="342"/>
      <c r="PGF16" s="342"/>
      <c r="PGG16" s="342"/>
      <c r="PGH16" s="343"/>
      <c r="PGI16" s="343"/>
      <c r="PGJ16" s="344"/>
      <c r="PGK16" s="344"/>
      <c r="PGL16" s="344"/>
      <c r="PGM16" s="342"/>
      <c r="PGN16" s="342"/>
      <c r="PGO16" s="342"/>
      <c r="PGP16" s="343"/>
      <c r="PGQ16" s="343"/>
      <c r="PGR16" s="344"/>
      <c r="PGS16" s="344"/>
      <c r="PGT16" s="344"/>
      <c r="PGU16" s="342"/>
      <c r="PGV16" s="342"/>
      <c r="PGW16" s="342"/>
      <c r="PGX16" s="343"/>
      <c r="PGY16" s="343"/>
      <c r="PGZ16" s="344"/>
      <c r="PHA16" s="344"/>
      <c r="PHB16" s="344"/>
      <c r="PHC16" s="342"/>
      <c r="PHD16" s="342"/>
      <c r="PHE16" s="342"/>
      <c r="PHF16" s="343"/>
      <c r="PHG16" s="343"/>
      <c r="PHH16" s="344"/>
      <c r="PHI16" s="344"/>
      <c r="PHJ16" s="344"/>
      <c r="PHK16" s="342"/>
      <c r="PHL16" s="342"/>
      <c r="PHM16" s="342"/>
      <c r="PHN16" s="343"/>
      <c r="PHO16" s="343"/>
      <c r="PHP16" s="344"/>
      <c r="PHQ16" s="344"/>
      <c r="PHR16" s="344"/>
      <c r="PHS16" s="342"/>
      <c r="PHT16" s="342"/>
      <c r="PHU16" s="342"/>
      <c r="PHV16" s="343"/>
      <c r="PHW16" s="343"/>
      <c r="PHX16" s="344"/>
      <c r="PHY16" s="344"/>
      <c r="PHZ16" s="344"/>
      <c r="PIA16" s="342"/>
      <c r="PIB16" s="342"/>
      <c r="PIC16" s="342"/>
      <c r="PID16" s="343"/>
      <c r="PIE16" s="343"/>
      <c r="PIF16" s="344"/>
      <c r="PIG16" s="344"/>
      <c r="PIH16" s="344"/>
      <c r="PII16" s="342"/>
      <c r="PIJ16" s="342"/>
      <c r="PIK16" s="342"/>
      <c r="PIL16" s="343"/>
      <c r="PIM16" s="343"/>
      <c r="PIN16" s="344"/>
      <c r="PIO16" s="344"/>
      <c r="PIP16" s="344"/>
      <c r="PIQ16" s="342"/>
      <c r="PIR16" s="342"/>
      <c r="PIS16" s="342"/>
      <c r="PIT16" s="343"/>
      <c r="PIU16" s="343"/>
      <c r="PIV16" s="344"/>
      <c r="PIW16" s="344"/>
      <c r="PIX16" s="344"/>
      <c r="PIY16" s="342"/>
      <c r="PIZ16" s="342"/>
      <c r="PJA16" s="342"/>
      <c r="PJB16" s="343"/>
      <c r="PJC16" s="343"/>
      <c r="PJD16" s="344"/>
      <c r="PJE16" s="344"/>
      <c r="PJF16" s="344"/>
      <c r="PJG16" s="342"/>
      <c r="PJH16" s="342"/>
      <c r="PJI16" s="342"/>
      <c r="PJJ16" s="343"/>
      <c r="PJK16" s="343"/>
      <c r="PJL16" s="344"/>
      <c r="PJM16" s="344"/>
      <c r="PJN16" s="344"/>
      <c r="PJO16" s="342"/>
      <c r="PJP16" s="342"/>
      <c r="PJQ16" s="342"/>
      <c r="PJR16" s="343"/>
      <c r="PJS16" s="343"/>
      <c r="PJT16" s="344"/>
      <c r="PJU16" s="344"/>
      <c r="PJV16" s="344"/>
      <c r="PJW16" s="342"/>
      <c r="PJX16" s="342"/>
      <c r="PJY16" s="342"/>
      <c r="PJZ16" s="343"/>
      <c r="PKA16" s="343"/>
      <c r="PKB16" s="344"/>
      <c r="PKC16" s="344"/>
      <c r="PKD16" s="344"/>
      <c r="PKE16" s="342"/>
      <c r="PKF16" s="342"/>
      <c r="PKG16" s="342"/>
      <c r="PKH16" s="343"/>
      <c r="PKI16" s="343"/>
      <c r="PKJ16" s="344"/>
      <c r="PKK16" s="344"/>
      <c r="PKL16" s="344"/>
      <c r="PKM16" s="342"/>
      <c r="PKN16" s="342"/>
      <c r="PKO16" s="342"/>
      <c r="PKP16" s="343"/>
      <c r="PKQ16" s="343"/>
      <c r="PKR16" s="344"/>
      <c r="PKS16" s="344"/>
      <c r="PKT16" s="344"/>
      <c r="PKU16" s="342"/>
      <c r="PKV16" s="342"/>
      <c r="PKW16" s="342"/>
      <c r="PKX16" s="343"/>
      <c r="PKY16" s="343"/>
      <c r="PKZ16" s="344"/>
      <c r="PLA16" s="344"/>
      <c r="PLB16" s="344"/>
      <c r="PLC16" s="342"/>
      <c r="PLD16" s="342"/>
      <c r="PLE16" s="342"/>
      <c r="PLF16" s="343"/>
      <c r="PLG16" s="343"/>
      <c r="PLH16" s="344"/>
      <c r="PLI16" s="344"/>
      <c r="PLJ16" s="344"/>
      <c r="PLK16" s="342"/>
      <c r="PLL16" s="342"/>
      <c r="PLM16" s="342"/>
      <c r="PLN16" s="343"/>
      <c r="PLO16" s="343"/>
      <c r="PLP16" s="344"/>
      <c r="PLQ16" s="344"/>
      <c r="PLR16" s="344"/>
      <c r="PLS16" s="342"/>
      <c r="PLT16" s="342"/>
      <c r="PLU16" s="342"/>
      <c r="PLV16" s="343"/>
      <c r="PLW16" s="343"/>
      <c r="PLX16" s="344"/>
      <c r="PLY16" s="344"/>
      <c r="PLZ16" s="344"/>
      <c r="PMA16" s="342"/>
      <c r="PMB16" s="342"/>
      <c r="PMC16" s="342"/>
      <c r="PMD16" s="343"/>
      <c r="PME16" s="343"/>
      <c r="PMF16" s="344"/>
      <c r="PMG16" s="344"/>
      <c r="PMH16" s="344"/>
      <c r="PMI16" s="342"/>
      <c r="PMJ16" s="342"/>
      <c r="PMK16" s="342"/>
      <c r="PML16" s="343"/>
      <c r="PMM16" s="343"/>
      <c r="PMN16" s="344"/>
      <c r="PMO16" s="344"/>
      <c r="PMP16" s="344"/>
      <c r="PMQ16" s="342"/>
      <c r="PMR16" s="342"/>
      <c r="PMS16" s="342"/>
      <c r="PMT16" s="343"/>
      <c r="PMU16" s="343"/>
      <c r="PMV16" s="344"/>
      <c r="PMW16" s="344"/>
      <c r="PMX16" s="344"/>
      <c r="PMY16" s="342"/>
      <c r="PMZ16" s="342"/>
      <c r="PNA16" s="342"/>
      <c r="PNB16" s="343"/>
      <c r="PNC16" s="343"/>
      <c r="PND16" s="344"/>
      <c r="PNE16" s="344"/>
      <c r="PNF16" s="344"/>
      <c r="PNG16" s="342"/>
      <c r="PNH16" s="342"/>
      <c r="PNI16" s="342"/>
      <c r="PNJ16" s="343"/>
      <c r="PNK16" s="343"/>
      <c r="PNL16" s="344"/>
      <c r="PNM16" s="344"/>
      <c r="PNN16" s="344"/>
      <c r="PNO16" s="342"/>
      <c r="PNP16" s="342"/>
      <c r="PNQ16" s="342"/>
      <c r="PNR16" s="343"/>
      <c r="PNS16" s="343"/>
      <c r="PNT16" s="344"/>
      <c r="PNU16" s="344"/>
      <c r="PNV16" s="344"/>
      <c r="PNW16" s="342"/>
      <c r="PNX16" s="342"/>
      <c r="PNY16" s="342"/>
      <c r="PNZ16" s="343"/>
      <c r="POA16" s="343"/>
      <c r="POB16" s="344"/>
      <c r="POC16" s="344"/>
      <c r="POD16" s="344"/>
      <c r="POE16" s="342"/>
      <c r="POF16" s="342"/>
      <c r="POG16" s="342"/>
      <c r="POH16" s="343"/>
      <c r="POI16" s="343"/>
      <c r="POJ16" s="344"/>
      <c r="POK16" s="344"/>
      <c r="POL16" s="344"/>
      <c r="POM16" s="342"/>
      <c r="PON16" s="342"/>
      <c r="POO16" s="342"/>
      <c r="POP16" s="343"/>
      <c r="POQ16" s="343"/>
      <c r="POR16" s="344"/>
      <c r="POS16" s="344"/>
      <c r="POT16" s="344"/>
      <c r="POU16" s="342"/>
      <c r="POV16" s="342"/>
      <c r="POW16" s="342"/>
      <c r="POX16" s="343"/>
      <c r="POY16" s="343"/>
      <c r="POZ16" s="344"/>
      <c r="PPA16" s="344"/>
      <c r="PPB16" s="344"/>
      <c r="PPC16" s="342"/>
      <c r="PPD16" s="342"/>
      <c r="PPE16" s="342"/>
      <c r="PPF16" s="343"/>
      <c r="PPG16" s="343"/>
      <c r="PPH16" s="344"/>
      <c r="PPI16" s="344"/>
      <c r="PPJ16" s="344"/>
      <c r="PPK16" s="342"/>
      <c r="PPL16" s="342"/>
      <c r="PPM16" s="342"/>
      <c r="PPN16" s="343"/>
      <c r="PPO16" s="343"/>
      <c r="PPP16" s="344"/>
      <c r="PPQ16" s="344"/>
      <c r="PPR16" s="344"/>
      <c r="PPS16" s="342"/>
      <c r="PPT16" s="342"/>
      <c r="PPU16" s="342"/>
      <c r="PPV16" s="343"/>
      <c r="PPW16" s="343"/>
      <c r="PPX16" s="344"/>
      <c r="PPY16" s="344"/>
      <c r="PPZ16" s="344"/>
      <c r="PQA16" s="342"/>
      <c r="PQB16" s="342"/>
      <c r="PQC16" s="342"/>
      <c r="PQD16" s="343"/>
      <c r="PQE16" s="343"/>
      <c r="PQF16" s="344"/>
      <c r="PQG16" s="344"/>
      <c r="PQH16" s="344"/>
      <c r="PQI16" s="342"/>
      <c r="PQJ16" s="342"/>
      <c r="PQK16" s="342"/>
      <c r="PQL16" s="343"/>
      <c r="PQM16" s="343"/>
      <c r="PQN16" s="344"/>
      <c r="PQO16" s="344"/>
      <c r="PQP16" s="344"/>
      <c r="PQQ16" s="342"/>
      <c r="PQR16" s="342"/>
      <c r="PQS16" s="342"/>
      <c r="PQT16" s="343"/>
      <c r="PQU16" s="343"/>
      <c r="PQV16" s="344"/>
      <c r="PQW16" s="344"/>
      <c r="PQX16" s="344"/>
      <c r="PQY16" s="342"/>
      <c r="PQZ16" s="342"/>
      <c r="PRA16" s="342"/>
      <c r="PRB16" s="343"/>
      <c r="PRC16" s="343"/>
      <c r="PRD16" s="344"/>
      <c r="PRE16" s="344"/>
      <c r="PRF16" s="344"/>
      <c r="PRG16" s="342"/>
      <c r="PRH16" s="342"/>
      <c r="PRI16" s="342"/>
      <c r="PRJ16" s="343"/>
      <c r="PRK16" s="343"/>
      <c r="PRL16" s="344"/>
      <c r="PRM16" s="344"/>
      <c r="PRN16" s="344"/>
      <c r="PRO16" s="342"/>
      <c r="PRP16" s="342"/>
      <c r="PRQ16" s="342"/>
      <c r="PRR16" s="343"/>
      <c r="PRS16" s="343"/>
      <c r="PRT16" s="344"/>
      <c r="PRU16" s="344"/>
      <c r="PRV16" s="344"/>
      <c r="PRW16" s="342"/>
      <c r="PRX16" s="342"/>
      <c r="PRY16" s="342"/>
      <c r="PRZ16" s="343"/>
      <c r="PSA16" s="343"/>
      <c r="PSB16" s="344"/>
      <c r="PSC16" s="344"/>
      <c r="PSD16" s="344"/>
      <c r="PSE16" s="342"/>
      <c r="PSF16" s="342"/>
      <c r="PSG16" s="342"/>
      <c r="PSH16" s="343"/>
      <c r="PSI16" s="343"/>
      <c r="PSJ16" s="344"/>
      <c r="PSK16" s="344"/>
      <c r="PSL16" s="344"/>
      <c r="PSM16" s="342"/>
      <c r="PSN16" s="342"/>
      <c r="PSO16" s="342"/>
      <c r="PSP16" s="343"/>
      <c r="PSQ16" s="343"/>
      <c r="PSR16" s="344"/>
      <c r="PSS16" s="344"/>
      <c r="PST16" s="344"/>
      <c r="PSU16" s="342"/>
      <c r="PSV16" s="342"/>
      <c r="PSW16" s="342"/>
      <c r="PSX16" s="343"/>
      <c r="PSY16" s="343"/>
      <c r="PSZ16" s="344"/>
      <c r="PTA16" s="344"/>
      <c r="PTB16" s="344"/>
      <c r="PTC16" s="342"/>
      <c r="PTD16" s="342"/>
      <c r="PTE16" s="342"/>
      <c r="PTF16" s="343"/>
      <c r="PTG16" s="343"/>
      <c r="PTH16" s="344"/>
      <c r="PTI16" s="344"/>
      <c r="PTJ16" s="344"/>
      <c r="PTK16" s="342"/>
      <c r="PTL16" s="342"/>
      <c r="PTM16" s="342"/>
      <c r="PTN16" s="343"/>
      <c r="PTO16" s="343"/>
      <c r="PTP16" s="344"/>
      <c r="PTQ16" s="344"/>
      <c r="PTR16" s="344"/>
      <c r="PTS16" s="342"/>
      <c r="PTT16" s="342"/>
      <c r="PTU16" s="342"/>
      <c r="PTV16" s="343"/>
      <c r="PTW16" s="343"/>
      <c r="PTX16" s="344"/>
      <c r="PTY16" s="344"/>
      <c r="PTZ16" s="344"/>
      <c r="PUA16" s="342"/>
      <c r="PUB16" s="342"/>
      <c r="PUC16" s="342"/>
      <c r="PUD16" s="343"/>
      <c r="PUE16" s="343"/>
      <c r="PUF16" s="344"/>
      <c r="PUG16" s="344"/>
      <c r="PUH16" s="344"/>
      <c r="PUI16" s="342"/>
      <c r="PUJ16" s="342"/>
      <c r="PUK16" s="342"/>
      <c r="PUL16" s="343"/>
      <c r="PUM16" s="343"/>
      <c r="PUN16" s="344"/>
      <c r="PUO16" s="344"/>
      <c r="PUP16" s="344"/>
      <c r="PUQ16" s="342"/>
      <c r="PUR16" s="342"/>
      <c r="PUS16" s="342"/>
      <c r="PUT16" s="343"/>
      <c r="PUU16" s="343"/>
      <c r="PUV16" s="344"/>
      <c r="PUW16" s="344"/>
      <c r="PUX16" s="344"/>
      <c r="PUY16" s="342"/>
      <c r="PUZ16" s="342"/>
      <c r="PVA16" s="342"/>
      <c r="PVB16" s="343"/>
      <c r="PVC16" s="343"/>
      <c r="PVD16" s="344"/>
      <c r="PVE16" s="344"/>
      <c r="PVF16" s="344"/>
      <c r="PVG16" s="342"/>
      <c r="PVH16" s="342"/>
      <c r="PVI16" s="342"/>
      <c r="PVJ16" s="343"/>
      <c r="PVK16" s="343"/>
      <c r="PVL16" s="344"/>
      <c r="PVM16" s="344"/>
      <c r="PVN16" s="344"/>
      <c r="PVO16" s="342"/>
      <c r="PVP16" s="342"/>
      <c r="PVQ16" s="342"/>
      <c r="PVR16" s="343"/>
      <c r="PVS16" s="343"/>
      <c r="PVT16" s="344"/>
      <c r="PVU16" s="344"/>
      <c r="PVV16" s="344"/>
      <c r="PVW16" s="342"/>
      <c r="PVX16" s="342"/>
      <c r="PVY16" s="342"/>
      <c r="PVZ16" s="343"/>
      <c r="PWA16" s="343"/>
      <c r="PWB16" s="344"/>
      <c r="PWC16" s="344"/>
      <c r="PWD16" s="344"/>
      <c r="PWE16" s="342"/>
      <c r="PWF16" s="342"/>
      <c r="PWG16" s="342"/>
      <c r="PWH16" s="343"/>
      <c r="PWI16" s="343"/>
      <c r="PWJ16" s="344"/>
      <c r="PWK16" s="344"/>
      <c r="PWL16" s="344"/>
      <c r="PWM16" s="342"/>
      <c r="PWN16" s="342"/>
      <c r="PWO16" s="342"/>
      <c r="PWP16" s="343"/>
      <c r="PWQ16" s="343"/>
      <c r="PWR16" s="344"/>
      <c r="PWS16" s="344"/>
      <c r="PWT16" s="344"/>
      <c r="PWU16" s="342"/>
      <c r="PWV16" s="342"/>
      <c r="PWW16" s="342"/>
      <c r="PWX16" s="343"/>
      <c r="PWY16" s="343"/>
      <c r="PWZ16" s="344"/>
      <c r="PXA16" s="344"/>
      <c r="PXB16" s="344"/>
      <c r="PXC16" s="342"/>
      <c r="PXD16" s="342"/>
      <c r="PXE16" s="342"/>
      <c r="PXF16" s="343"/>
      <c r="PXG16" s="343"/>
      <c r="PXH16" s="344"/>
      <c r="PXI16" s="344"/>
      <c r="PXJ16" s="344"/>
      <c r="PXK16" s="342"/>
      <c r="PXL16" s="342"/>
      <c r="PXM16" s="342"/>
      <c r="PXN16" s="343"/>
      <c r="PXO16" s="343"/>
      <c r="PXP16" s="344"/>
      <c r="PXQ16" s="344"/>
      <c r="PXR16" s="344"/>
      <c r="PXS16" s="342"/>
      <c r="PXT16" s="342"/>
      <c r="PXU16" s="342"/>
      <c r="PXV16" s="343"/>
      <c r="PXW16" s="343"/>
      <c r="PXX16" s="344"/>
      <c r="PXY16" s="344"/>
      <c r="PXZ16" s="344"/>
      <c r="PYA16" s="342"/>
      <c r="PYB16" s="342"/>
      <c r="PYC16" s="342"/>
      <c r="PYD16" s="343"/>
      <c r="PYE16" s="343"/>
      <c r="PYF16" s="344"/>
      <c r="PYG16" s="344"/>
      <c r="PYH16" s="344"/>
      <c r="PYI16" s="342"/>
      <c r="PYJ16" s="342"/>
      <c r="PYK16" s="342"/>
      <c r="PYL16" s="343"/>
      <c r="PYM16" s="343"/>
      <c r="PYN16" s="344"/>
      <c r="PYO16" s="344"/>
      <c r="PYP16" s="344"/>
      <c r="PYQ16" s="342"/>
      <c r="PYR16" s="342"/>
      <c r="PYS16" s="342"/>
      <c r="PYT16" s="343"/>
      <c r="PYU16" s="343"/>
      <c r="PYV16" s="344"/>
      <c r="PYW16" s="344"/>
      <c r="PYX16" s="344"/>
      <c r="PYY16" s="342"/>
      <c r="PYZ16" s="342"/>
      <c r="PZA16" s="342"/>
      <c r="PZB16" s="343"/>
      <c r="PZC16" s="343"/>
      <c r="PZD16" s="344"/>
      <c r="PZE16" s="344"/>
      <c r="PZF16" s="344"/>
      <c r="PZG16" s="342"/>
      <c r="PZH16" s="342"/>
      <c r="PZI16" s="342"/>
      <c r="PZJ16" s="343"/>
      <c r="PZK16" s="343"/>
      <c r="PZL16" s="344"/>
      <c r="PZM16" s="344"/>
      <c r="PZN16" s="344"/>
      <c r="PZO16" s="342"/>
      <c r="PZP16" s="342"/>
      <c r="PZQ16" s="342"/>
      <c r="PZR16" s="343"/>
      <c r="PZS16" s="343"/>
      <c r="PZT16" s="344"/>
      <c r="PZU16" s="344"/>
      <c r="PZV16" s="344"/>
      <c r="PZW16" s="342"/>
      <c r="PZX16" s="342"/>
      <c r="PZY16" s="342"/>
      <c r="PZZ16" s="343"/>
      <c r="QAA16" s="343"/>
      <c r="QAB16" s="344"/>
      <c r="QAC16" s="344"/>
      <c r="QAD16" s="344"/>
      <c r="QAE16" s="342"/>
      <c r="QAF16" s="342"/>
      <c r="QAG16" s="342"/>
      <c r="QAH16" s="343"/>
      <c r="QAI16" s="343"/>
      <c r="QAJ16" s="344"/>
      <c r="QAK16" s="344"/>
      <c r="QAL16" s="344"/>
      <c r="QAM16" s="342"/>
      <c r="QAN16" s="342"/>
      <c r="QAO16" s="342"/>
      <c r="QAP16" s="343"/>
      <c r="QAQ16" s="343"/>
      <c r="QAR16" s="344"/>
      <c r="QAS16" s="344"/>
      <c r="QAT16" s="344"/>
      <c r="QAU16" s="342"/>
      <c r="QAV16" s="342"/>
      <c r="QAW16" s="342"/>
      <c r="QAX16" s="343"/>
      <c r="QAY16" s="343"/>
      <c r="QAZ16" s="344"/>
      <c r="QBA16" s="344"/>
      <c r="QBB16" s="344"/>
      <c r="QBC16" s="342"/>
      <c r="QBD16" s="342"/>
      <c r="QBE16" s="342"/>
      <c r="QBF16" s="343"/>
      <c r="QBG16" s="343"/>
      <c r="QBH16" s="344"/>
      <c r="QBI16" s="344"/>
      <c r="QBJ16" s="344"/>
      <c r="QBK16" s="342"/>
      <c r="QBL16" s="342"/>
      <c r="QBM16" s="342"/>
      <c r="QBN16" s="343"/>
      <c r="QBO16" s="343"/>
      <c r="QBP16" s="344"/>
      <c r="QBQ16" s="344"/>
      <c r="QBR16" s="344"/>
      <c r="QBS16" s="342"/>
      <c r="QBT16" s="342"/>
      <c r="QBU16" s="342"/>
      <c r="QBV16" s="343"/>
      <c r="QBW16" s="343"/>
      <c r="QBX16" s="344"/>
      <c r="QBY16" s="344"/>
      <c r="QBZ16" s="344"/>
      <c r="QCA16" s="342"/>
      <c r="QCB16" s="342"/>
      <c r="QCC16" s="342"/>
      <c r="QCD16" s="343"/>
      <c r="QCE16" s="343"/>
      <c r="QCF16" s="344"/>
      <c r="QCG16" s="344"/>
      <c r="QCH16" s="344"/>
      <c r="QCI16" s="342"/>
      <c r="QCJ16" s="342"/>
      <c r="QCK16" s="342"/>
      <c r="QCL16" s="343"/>
      <c r="QCM16" s="343"/>
      <c r="QCN16" s="344"/>
      <c r="QCO16" s="344"/>
      <c r="QCP16" s="344"/>
      <c r="QCQ16" s="342"/>
      <c r="QCR16" s="342"/>
      <c r="QCS16" s="342"/>
      <c r="QCT16" s="343"/>
      <c r="QCU16" s="343"/>
      <c r="QCV16" s="344"/>
      <c r="QCW16" s="344"/>
      <c r="QCX16" s="344"/>
      <c r="QCY16" s="342"/>
      <c r="QCZ16" s="342"/>
      <c r="QDA16" s="342"/>
      <c r="QDB16" s="343"/>
      <c r="QDC16" s="343"/>
      <c r="QDD16" s="344"/>
      <c r="QDE16" s="344"/>
      <c r="QDF16" s="344"/>
      <c r="QDG16" s="342"/>
      <c r="QDH16" s="342"/>
      <c r="QDI16" s="342"/>
      <c r="QDJ16" s="343"/>
      <c r="QDK16" s="343"/>
      <c r="QDL16" s="344"/>
      <c r="QDM16" s="344"/>
      <c r="QDN16" s="344"/>
      <c r="QDO16" s="342"/>
      <c r="QDP16" s="342"/>
      <c r="QDQ16" s="342"/>
      <c r="QDR16" s="343"/>
      <c r="QDS16" s="343"/>
      <c r="QDT16" s="344"/>
      <c r="QDU16" s="344"/>
      <c r="QDV16" s="344"/>
      <c r="QDW16" s="342"/>
      <c r="QDX16" s="342"/>
      <c r="QDY16" s="342"/>
      <c r="QDZ16" s="343"/>
      <c r="QEA16" s="343"/>
      <c r="QEB16" s="344"/>
      <c r="QEC16" s="344"/>
      <c r="QED16" s="344"/>
      <c r="QEE16" s="342"/>
      <c r="QEF16" s="342"/>
      <c r="QEG16" s="342"/>
      <c r="QEH16" s="343"/>
      <c r="QEI16" s="343"/>
      <c r="QEJ16" s="344"/>
      <c r="QEK16" s="344"/>
      <c r="QEL16" s="344"/>
      <c r="QEM16" s="342"/>
      <c r="QEN16" s="342"/>
      <c r="QEO16" s="342"/>
      <c r="QEP16" s="343"/>
      <c r="QEQ16" s="343"/>
      <c r="QER16" s="344"/>
      <c r="QES16" s="344"/>
      <c r="QET16" s="344"/>
      <c r="QEU16" s="342"/>
      <c r="QEV16" s="342"/>
      <c r="QEW16" s="342"/>
      <c r="QEX16" s="343"/>
      <c r="QEY16" s="343"/>
      <c r="QEZ16" s="344"/>
      <c r="QFA16" s="344"/>
      <c r="QFB16" s="344"/>
      <c r="QFC16" s="342"/>
      <c r="QFD16" s="342"/>
      <c r="QFE16" s="342"/>
      <c r="QFF16" s="343"/>
      <c r="QFG16" s="343"/>
      <c r="QFH16" s="344"/>
      <c r="QFI16" s="344"/>
      <c r="QFJ16" s="344"/>
      <c r="QFK16" s="342"/>
      <c r="QFL16" s="342"/>
      <c r="QFM16" s="342"/>
      <c r="QFN16" s="343"/>
      <c r="QFO16" s="343"/>
      <c r="QFP16" s="344"/>
      <c r="QFQ16" s="344"/>
      <c r="QFR16" s="344"/>
      <c r="QFS16" s="342"/>
      <c r="QFT16" s="342"/>
      <c r="QFU16" s="342"/>
      <c r="QFV16" s="343"/>
      <c r="QFW16" s="343"/>
      <c r="QFX16" s="344"/>
      <c r="QFY16" s="344"/>
      <c r="QFZ16" s="344"/>
      <c r="QGA16" s="342"/>
      <c r="QGB16" s="342"/>
      <c r="QGC16" s="342"/>
      <c r="QGD16" s="343"/>
      <c r="QGE16" s="343"/>
      <c r="QGF16" s="344"/>
      <c r="QGG16" s="344"/>
      <c r="QGH16" s="344"/>
      <c r="QGI16" s="342"/>
      <c r="QGJ16" s="342"/>
      <c r="QGK16" s="342"/>
      <c r="QGL16" s="343"/>
      <c r="QGM16" s="343"/>
      <c r="QGN16" s="344"/>
      <c r="QGO16" s="344"/>
      <c r="QGP16" s="344"/>
      <c r="QGQ16" s="342"/>
      <c r="QGR16" s="342"/>
      <c r="QGS16" s="342"/>
      <c r="QGT16" s="343"/>
      <c r="QGU16" s="343"/>
      <c r="QGV16" s="344"/>
      <c r="QGW16" s="344"/>
      <c r="QGX16" s="344"/>
      <c r="QGY16" s="342"/>
      <c r="QGZ16" s="342"/>
      <c r="QHA16" s="342"/>
      <c r="QHB16" s="343"/>
      <c r="QHC16" s="343"/>
      <c r="QHD16" s="344"/>
      <c r="QHE16" s="344"/>
      <c r="QHF16" s="344"/>
      <c r="QHG16" s="342"/>
      <c r="QHH16" s="342"/>
      <c r="QHI16" s="342"/>
      <c r="QHJ16" s="343"/>
      <c r="QHK16" s="343"/>
      <c r="QHL16" s="344"/>
      <c r="QHM16" s="344"/>
      <c r="QHN16" s="344"/>
      <c r="QHO16" s="342"/>
      <c r="QHP16" s="342"/>
      <c r="QHQ16" s="342"/>
      <c r="QHR16" s="343"/>
      <c r="QHS16" s="343"/>
      <c r="QHT16" s="344"/>
      <c r="QHU16" s="344"/>
      <c r="QHV16" s="344"/>
      <c r="QHW16" s="342"/>
      <c r="QHX16" s="342"/>
      <c r="QHY16" s="342"/>
      <c r="QHZ16" s="343"/>
      <c r="QIA16" s="343"/>
      <c r="QIB16" s="344"/>
      <c r="QIC16" s="344"/>
      <c r="QID16" s="344"/>
      <c r="QIE16" s="342"/>
      <c r="QIF16" s="342"/>
      <c r="QIG16" s="342"/>
      <c r="QIH16" s="343"/>
      <c r="QII16" s="343"/>
      <c r="QIJ16" s="344"/>
      <c r="QIK16" s="344"/>
      <c r="QIL16" s="344"/>
      <c r="QIM16" s="342"/>
      <c r="QIN16" s="342"/>
      <c r="QIO16" s="342"/>
      <c r="QIP16" s="343"/>
      <c r="QIQ16" s="343"/>
      <c r="QIR16" s="344"/>
      <c r="QIS16" s="344"/>
      <c r="QIT16" s="344"/>
      <c r="QIU16" s="342"/>
      <c r="QIV16" s="342"/>
      <c r="QIW16" s="342"/>
      <c r="QIX16" s="343"/>
      <c r="QIY16" s="343"/>
      <c r="QIZ16" s="344"/>
      <c r="QJA16" s="344"/>
      <c r="QJB16" s="344"/>
      <c r="QJC16" s="342"/>
      <c r="QJD16" s="342"/>
      <c r="QJE16" s="342"/>
      <c r="QJF16" s="343"/>
      <c r="QJG16" s="343"/>
      <c r="QJH16" s="344"/>
      <c r="QJI16" s="344"/>
      <c r="QJJ16" s="344"/>
      <c r="QJK16" s="342"/>
      <c r="QJL16" s="342"/>
      <c r="QJM16" s="342"/>
      <c r="QJN16" s="343"/>
      <c r="QJO16" s="343"/>
      <c r="QJP16" s="344"/>
      <c r="QJQ16" s="344"/>
      <c r="QJR16" s="344"/>
      <c r="QJS16" s="342"/>
      <c r="QJT16" s="342"/>
      <c r="QJU16" s="342"/>
      <c r="QJV16" s="343"/>
      <c r="QJW16" s="343"/>
      <c r="QJX16" s="344"/>
      <c r="QJY16" s="344"/>
      <c r="QJZ16" s="344"/>
      <c r="QKA16" s="342"/>
      <c r="QKB16" s="342"/>
      <c r="QKC16" s="342"/>
      <c r="QKD16" s="343"/>
      <c r="QKE16" s="343"/>
      <c r="QKF16" s="344"/>
      <c r="QKG16" s="344"/>
      <c r="QKH16" s="344"/>
      <c r="QKI16" s="342"/>
      <c r="QKJ16" s="342"/>
      <c r="QKK16" s="342"/>
      <c r="QKL16" s="343"/>
      <c r="QKM16" s="343"/>
      <c r="QKN16" s="344"/>
      <c r="QKO16" s="344"/>
      <c r="QKP16" s="344"/>
      <c r="QKQ16" s="342"/>
      <c r="QKR16" s="342"/>
      <c r="QKS16" s="342"/>
      <c r="QKT16" s="343"/>
      <c r="QKU16" s="343"/>
      <c r="QKV16" s="344"/>
      <c r="QKW16" s="344"/>
      <c r="QKX16" s="344"/>
      <c r="QKY16" s="342"/>
      <c r="QKZ16" s="342"/>
      <c r="QLA16" s="342"/>
      <c r="QLB16" s="343"/>
      <c r="QLC16" s="343"/>
      <c r="QLD16" s="344"/>
      <c r="QLE16" s="344"/>
      <c r="QLF16" s="344"/>
      <c r="QLG16" s="342"/>
      <c r="QLH16" s="342"/>
      <c r="QLI16" s="342"/>
      <c r="QLJ16" s="343"/>
      <c r="QLK16" s="343"/>
      <c r="QLL16" s="344"/>
      <c r="QLM16" s="344"/>
      <c r="QLN16" s="344"/>
      <c r="QLO16" s="342"/>
      <c r="QLP16" s="342"/>
      <c r="QLQ16" s="342"/>
      <c r="QLR16" s="343"/>
      <c r="QLS16" s="343"/>
      <c r="QLT16" s="344"/>
      <c r="QLU16" s="344"/>
      <c r="QLV16" s="344"/>
      <c r="QLW16" s="342"/>
      <c r="QLX16" s="342"/>
      <c r="QLY16" s="342"/>
      <c r="QLZ16" s="343"/>
      <c r="QMA16" s="343"/>
      <c r="QMB16" s="344"/>
      <c r="QMC16" s="344"/>
      <c r="QMD16" s="344"/>
      <c r="QME16" s="342"/>
      <c r="QMF16" s="342"/>
      <c r="QMG16" s="342"/>
      <c r="QMH16" s="343"/>
      <c r="QMI16" s="343"/>
      <c r="QMJ16" s="344"/>
      <c r="QMK16" s="344"/>
      <c r="QML16" s="344"/>
      <c r="QMM16" s="342"/>
      <c r="QMN16" s="342"/>
      <c r="QMO16" s="342"/>
      <c r="QMP16" s="343"/>
      <c r="QMQ16" s="343"/>
      <c r="QMR16" s="344"/>
      <c r="QMS16" s="344"/>
      <c r="QMT16" s="344"/>
      <c r="QMU16" s="342"/>
      <c r="QMV16" s="342"/>
      <c r="QMW16" s="342"/>
      <c r="QMX16" s="343"/>
      <c r="QMY16" s="343"/>
      <c r="QMZ16" s="344"/>
      <c r="QNA16" s="344"/>
      <c r="QNB16" s="344"/>
      <c r="QNC16" s="342"/>
      <c r="QND16" s="342"/>
      <c r="QNE16" s="342"/>
      <c r="QNF16" s="343"/>
      <c r="QNG16" s="343"/>
      <c r="QNH16" s="344"/>
      <c r="QNI16" s="344"/>
      <c r="QNJ16" s="344"/>
      <c r="QNK16" s="342"/>
      <c r="QNL16" s="342"/>
      <c r="QNM16" s="342"/>
      <c r="QNN16" s="343"/>
      <c r="QNO16" s="343"/>
      <c r="QNP16" s="344"/>
      <c r="QNQ16" s="344"/>
      <c r="QNR16" s="344"/>
      <c r="QNS16" s="342"/>
      <c r="QNT16" s="342"/>
      <c r="QNU16" s="342"/>
      <c r="QNV16" s="343"/>
      <c r="QNW16" s="343"/>
      <c r="QNX16" s="344"/>
      <c r="QNY16" s="344"/>
      <c r="QNZ16" s="344"/>
      <c r="QOA16" s="342"/>
      <c r="QOB16" s="342"/>
      <c r="QOC16" s="342"/>
      <c r="QOD16" s="343"/>
      <c r="QOE16" s="343"/>
      <c r="QOF16" s="344"/>
      <c r="QOG16" s="344"/>
      <c r="QOH16" s="344"/>
      <c r="QOI16" s="342"/>
      <c r="QOJ16" s="342"/>
      <c r="QOK16" s="342"/>
      <c r="QOL16" s="343"/>
      <c r="QOM16" s="343"/>
      <c r="QON16" s="344"/>
      <c r="QOO16" s="344"/>
      <c r="QOP16" s="344"/>
      <c r="QOQ16" s="342"/>
      <c r="QOR16" s="342"/>
      <c r="QOS16" s="342"/>
      <c r="QOT16" s="343"/>
      <c r="QOU16" s="343"/>
      <c r="QOV16" s="344"/>
      <c r="QOW16" s="344"/>
      <c r="QOX16" s="344"/>
      <c r="QOY16" s="342"/>
      <c r="QOZ16" s="342"/>
      <c r="QPA16" s="342"/>
      <c r="QPB16" s="343"/>
      <c r="QPC16" s="343"/>
      <c r="QPD16" s="344"/>
      <c r="QPE16" s="344"/>
      <c r="QPF16" s="344"/>
      <c r="QPG16" s="342"/>
      <c r="QPH16" s="342"/>
      <c r="QPI16" s="342"/>
      <c r="QPJ16" s="343"/>
      <c r="QPK16" s="343"/>
      <c r="QPL16" s="344"/>
      <c r="QPM16" s="344"/>
      <c r="QPN16" s="344"/>
      <c r="QPO16" s="342"/>
      <c r="QPP16" s="342"/>
      <c r="QPQ16" s="342"/>
      <c r="QPR16" s="343"/>
      <c r="QPS16" s="343"/>
      <c r="QPT16" s="344"/>
      <c r="QPU16" s="344"/>
      <c r="QPV16" s="344"/>
      <c r="QPW16" s="342"/>
      <c r="QPX16" s="342"/>
      <c r="QPY16" s="342"/>
      <c r="QPZ16" s="343"/>
      <c r="QQA16" s="343"/>
      <c r="QQB16" s="344"/>
      <c r="QQC16" s="344"/>
      <c r="QQD16" s="344"/>
      <c r="QQE16" s="342"/>
      <c r="QQF16" s="342"/>
      <c r="QQG16" s="342"/>
      <c r="QQH16" s="343"/>
      <c r="QQI16" s="343"/>
      <c r="QQJ16" s="344"/>
      <c r="QQK16" s="344"/>
      <c r="QQL16" s="344"/>
      <c r="QQM16" s="342"/>
      <c r="QQN16" s="342"/>
      <c r="QQO16" s="342"/>
      <c r="QQP16" s="343"/>
      <c r="QQQ16" s="343"/>
      <c r="QQR16" s="344"/>
      <c r="QQS16" s="344"/>
      <c r="QQT16" s="344"/>
      <c r="QQU16" s="342"/>
      <c r="QQV16" s="342"/>
      <c r="QQW16" s="342"/>
      <c r="QQX16" s="343"/>
      <c r="QQY16" s="343"/>
      <c r="QQZ16" s="344"/>
      <c r="QRA16" s="344"/>
      <c r="QRB16" s="344"/>
      <c r="QRC16" s="342"/>
      <c r="QRD16" s="342"/>
      <c r="QRE16" s="342"/>
      <c r="QRF16" s="343"/>
      <c r="QRG16" s="343"/>
      <c r="QRH16" s="344"/>
      <c r="QRI16" s="344"/>
      <c r="QRJ16" s="344"/>
      <c r="QRK16" s="342"/>
      <c r="QRL16" s="342"/>
      <c r="QRM16" s="342"/>
      <c r="QRN16" s="343"/>
      <c r="QRO16" s="343"/>
      <c r="QRP16" s="344"/>
      <c r="QRQ16" s="344"/>
      <c r="QRR16" s="344"/>
      <c r="QRS16" s="342"/>
      <c r="QRT16" s="342"/>
      <c r="QRU16" s="342"/>
      <c r="QRV16" s="343"/>
      <c r="QRW16" s="343"/>
      <c r="QRX16" s="344"/>
      <c r="QRY16" s="344"/>
      <c r="QRZ16" s="344"/>
      <c r="QSA16" s="342"/>
      <c r="QSB16" s="342"/>
      <c r="QSC16" s="342"/>
      <c r="QSD16" s="343"/>
      <c r="QSE16" s="343"/>
      <c r="QSF16" s="344"/>
      <c r="QSG16" s="344"/>
      <c r="QSH16" s="344"/>
      <c r="QSI16" s="342"/>
      <c r="QSJ16" s="342"/>
      <c r="QSK16" s="342"/>
      <c r="QSL16" s="343"/>
      <c r="QSM16" s="343"/>
      <c r="QSN16" s="344"/>
      <c r="QSO16" s="344"/>
      <c r="QSP16" s="344"/>
      <c r="QSQ16" s="342"/>
      <c r="QSR16" s="342"/>
      <c r="QSS16" s="342"/>
      <c r="QST16" s="343"/>
      <c r="QSU16" s="343"/>
      <c r="QSV16" s="344"/>
      <c r="QSW16" s="344"/>
      <c r="QSX16" s="344"/>
      <c r="QSY16" s="342"/>
      <c r="QSZ16" s="342"/>
      <c r="QTA16" s="342"/>
      <c r="QTB16" s="343"/>
      <c r="QTC16" s="343"/>
      <c r="QTD16" s="344"/>
      <c r="QTE16" s="344"/>
      <c r="QTF16" s="344"/>
      <c r="QTG16" s="342"/>
      <c r="QTH16" s="342"/>
      <c r="QTI16" s="342"/>
      <c r="QTJ16" s="343"/>
      <c r="QTK16" s="343"/>
      <c r="QTL16" s="344"/>
      <c r="QTM16" s="344"/>
      <c r="QTN16" s="344"/>
      <c r="QTO16" s="342"/>
      <c r="QTP16" s="342"/>
      <c r="QTQ16" s="342"/>
      <c r="QTR16" s="343"/>
      <c r="QTS16" s="343"/>
      <c r="QTT16" s="344"/>
      <c r="QTU16" s="344"/>
      <c r="QTV16" s="344"/>
      <c r="QTW16" s="342"/>
      <c r="QTX16" s="342"/>
      <c r="QTY16" s="342"/>
      <c r="QTZ16" s="343"/>
      <c r="QUA16" s="343"/>
      <c r="QUB16" s="344"/>
      <c r="QUC16" s="344"/>
      <c r="QUD16" s="344"/>
      <c r="QUE16" s="342"/>
      <c r="QUF16" s="342"/>
      <c r="QUG16" s="342"/>
      <c r="QUH16" s="343"/>
      <c r="QUI16" s="343"/>
      <c r="QUJ16" s="344"/>
      <c r="QUK16" s="344"/>
      <c r="QUL16" s="344"/>
      <c r="QUM16" s="342"/>
      <c r="QUN16" s="342"/>
      <c r="QUO16" s="342"/>
      <c r="QUP16" s="343"/>
      <c r="QUQ16" s="343"/>
      <c r="QUR16" s="344"/>
      <c r="QUS16" s="344"/>
      <c r="QUT16" s="344"/>
      <c r="QUU16" s="342"/>
      <c r="QUV16" s="342"/>
      <c r="QUW16" s="342"/>
      <c r="QUX16" s="343"/>
      <c r="QUY16" s="343"/>
      <c r="QUZ16" s="344"/>
      <c r="QVA16" s="344"/>
      <c r="QVB16" s="344"/>
      <c r="QVC16" s="342"/>
      <c r="QVD16" s="342"/>
      <c r="QVE16" s="342"/>
      <c r="QVF16" s="343"/>
      <c r="QVG16" s="343"/>
      <c r="QVH16" s="344"/>
      <c r="QVI16" s="344"/>
      <c r="QVJ16" s="344"/>
      <c r="QVK16" s="342"/>
      <c r="QVL16" s="342"/>
      <c r="QVM16" s="342"/>
      <c r="QVN16" s="343"/>
      <c r="QVO16" s="343"/>
      <c r="QVP16" s="344"/>
      <c r="QVQ16" s="344"/>
      <c r="QVR16" s="344"/>
      <c r="QVS16" s="342"/>
      <c r="QVT16" s="342"/>
      <c r="QVU16" s="342"/>
      <c r="QVV16" s="343"/>
      <c r="QVW16" s="343"/>
      <c r="QVX16" s="344"/>
      <c r="QVY16" s="344"/>
      <c r="QVZ16" s="344"/>
      <c r="QWA16" s="342"/>
      <c r="QWB16" s="342"/>
      <c r="QWC16" s="342"/>
      <c r="QWD16" s="343"/>
      <c r="QWE16" s="343"/>
      <c r="QWF16" s="344"/>
      <c r="QWG16" s="344"/>
      <c r="QWH16" s="344"/>
      <c r="QWI16" s="342"/>
      <c r="QWJ16" s="342"/>
      <c r="QWK16" s="342"/>
      <c r="QWL16" s="343"/>
      <c r="QWM16" s="343"/>
      <c r="QWN16" s="344"/>
      <c r="QWO16" s="344"/>
      <c r="QWP16" s="344"/>
      <c r="QWQ16" s="342"/>
      <c r="QWR16" s="342"/>
      <c r="QWS16" s="342"/>
      <c r="QWT16" s="343"/>
      <c r="QWU16" s="343"/>
      <c r="QWV16" s="344"/>
      <c r="QWW16" s="344"/>
      <c r="QWX16" s="344"/>
      <c r="QWY16" s="342"/>
      <c r="QWZ16" s="342"/>
      <c r="QXA16" s="342"/>
      <c r="QXB16" s="343"/>
      <c r="QXC16" s="343"/>
      <c r="QXD16" s="344"/>
      <c r="QXE16" s="344"/>
      <c r="QXF16" s="344"/>
      <c r="QXG16" s="342"/>
      <c r="QXH16" s="342"/>
      <c r="QXI16" s="342"/>
      <c r="QXJ16" s="343"/>
      <c r="QXK16" s="343"/>
      <c r="QXL16" s="344"/>
      <c r="QXM16" s="344"/>
      <c r="QXN16" s="344"/>
      <c r="QXO16" s="342"/>
      <c r="QXP16" s="342"/>
      <c r="QXQ16" s="342"/>
      <c r="QXR16" s="343"/>
      <c r="QXS16" s="343"/>
      <c r="QXT16" s="344"/>
      <c r="QXU16" s="344"/>
      <c r="QXV16" s="344"/>
      <c r="QXW16" s="342"/>
      <c r="QXX16" s="342"/>
      <c r="QXY16" s="342"/>
      <c r="QXZ16" s="343"/>
      <c r="QYA16" s="343"/>
      <c r="QYB16" s="344"/>
      <c r="QYC16" s="344"/>
      <c r="QYD16" s="344"/>
      <c r="QYE16" s="342"/>
      <c r="QYF16" s="342"/>
      <c r="QYG16" s="342"/>
      <c r="QYH16" s="343"/>
      <c r="QYI16" s="343"/>
      <c r="QYJ16" s="344"/>
      <c r="QYK16" s="344"/>
      <c r="QYL16" s="344"/>
      <c r="QYM16" s="342"/>
      <c r="QYN16" s="342"/>
      <c r="QYO16" s="342"/>
      <c r="QYP16" s="343"/>
      <c r="QYQ16" s="343"/>
      <c r="QYR16" s="344"/>
      <c r="QYS16" s="344"/>
      <c r="QYT16" s="344"/>
      <c r="QYU16" s="342"/>
      <c r="QYV16" s="342"/>
      <c r="QYW16" s="342"/>
      <c r="QYX16" s="343"/>
      <c r="QYY16" s="343"/>
      <c r="QYZ16" s="344"/>
      <c r="QZA16" s="344"/>
      <c r="QZB16" s="344"/>
      <c r="QZC16" s="342"/>
      <c r="QZD16" s="342"/>
      <c r="QZE16" s="342"/>
      <c r="QZF16" s="343"/>
      <c r="QZG16" s="343"/>
      <c r="QZH16" s="344"/>
      <c r="QZI16" s="344"/>
      <c r="QZJ16" s="344"/>
      <c r="QZK16" s="342"/>
      <c r="QZL16" s="342"/>
      <c r="QZM16" s="342"/>
      <c r="QZN16" s="343"/>
      <c r="QZO16" s="343"/>
      <c r="QZP16" s="344"/>
      <c r="QZQ16" s="344"/>
      <c r="QZR16" s="344"/>
      <c r="QZS16" s="342"/>
      <c r="QZT16" s="342"/>
      <c r="QZU16" s="342"/>
      <c r="QZV16" s="343"/>
      <c r="QZW16" s="343"/>
      <c r="QZX16" s="344"/>
      <c r="QZY16" s="344"/>
      <c r="QZZ16" s="344"/>
      <c r="RAA16" s="342"/>
      <c r="RAB16" s="342"/>
      <c r="RAC16" s="342"/>
      <c r="RAD16" s="343"/>
      <c r="RAE16" s="343"/>
      <c r="RAF16" s="344"/>
      <c r="RAG16" s="344"/>
      <c r="RAH16" s="344"/>
      <c r="RAI16" s="342"/>
      <c r="RAJ16" s="342"/>
      <c r="RAK16" s="342"/>
      <c r="RAL16" s="343"/>
      <c r="RAM16" s="343"/>
      <c r="RAN16" s="344"/>
      <c r="RAO16" s="344"/>
      <c r="RAP16" s="344"/>
      <c r="RAQ16" s="342"/>
      <c r="RAR16" s="342"/>
      <c r="RAS16" s="342"/>
      <c r="RAT16" s="343"/>
      <c r="RAU16" s="343"/>
      <c r="RAV16" s="344"/>
      <c r="RAW16" s="344"/>
      <c r="RAX16" s="344"/>
      <c r="RAY16" s="342"/>
      <c r="RAZ16" s="342"/>
      <c r="RBA16" s="342"/>
      <c r="RBB16" s="343"/>
      <c r="RBC16" s="343"/>
      <c r="RBD16" s="344"/>
      <c r="RBE16" s="344"/>
      <c r="RBF16" s="344"/>
      <c r="RBG16" s="342"/>
      <c r="RBH16" s="342"/>
      <c r="RBI16" s="342"/>
      <c r="RBJ16" s="343"/>
      <c r="RBK16" s="343"/>
      <c r="RBL16" s="344"/>
      <c r="RBM16" s="344"/>
      <c r="RBN16" s="344"/>
      <c r="RBO16" s="342"/>
      <c r="RBP16" s="342"/>
      <c r="RBQ16" s="342"/>
      <c r="RBR16" s="343"/>
      <c r="RBS16" s="343"/>
      <c r="RBT16" s="344"/>
      <c r="RBU16" s="344"/>
      <c r="RBV16" s="344"/>
      <c r="RBW16" s="342"/>
      <c r="RBX16" s="342"/>
      <c r="RBY16" s="342"/>
      <c r="RBZ16" s="343"/>
      <c r="RCA16" s="343"/>
      <c r="RCB16" s="344"/>
      <c r="RCC16" s="344"/>
      <c r="RCD16" s="344"/>
      <c r="RCE16" s="342"/>
      <c r="RCF16" s="342"/>
      <c r="RCG16" s="342"/>
      <c r="RCH16" s="343"/>
      <c r="RCI16" s="343"/>
      <c r="RCJ16" s="344"/>
      <c r="RCK16" s="344"/>
      <c r="RCL16" s="344"/>
      <c r="RCM16" s="342"/>
      <c r="RCN16" s="342"/>
      <c r="RCO16" s="342"/>
      <c r="RCP16" s="343"/>
      <c r="RCQ16" s="343"/>
      <c r="RCR16" s="344"/>
      <c r="RCS16" s="344"/>
      <c r="RCT16" s="344"/>
      <c r="RCU16" s="342"/>
      <c r="RCV16" s="342"/>
      <c r="RCW16" s="342"/>
      <c r="RCX16" s="343"/>
      <c r="RCY16" s="343"/>
      <c r="RCZ16" s="344"/>
      <c r="RDA16" s="344"/>
      <c r="RDB16" s="344"/>
      <c r="RDC16" s="342"/>
      <c r="RDD16" s="342"/>
      <c r="RDE16" s="342"/>
      <c r="RDF16" s="343"/>
      <c r="RDG16" s="343"/>
      <c r="RDH16" s="344"/>
      <c r="RDI16" s="344"/>
      <c r="RDJ16" s="344"/>
      <c r="RDK16" s="342"/>
      <c r="RDL16" s="342"/>
      <c r="RDM16" s="342"/>
      <c r="RDN16" s="343"/>
      <c r="RDO16" s="343"/>
      <c r="RDP16" s="344"/>
      <c r="RDQ16" s="344"/>
      <c r="RDR16" s="344"/>
      <c r="RDS16" s="342"/>
      <c r="RDT16" s="342"/>
      <c r="RDU16" s="342"/>
      <c r="RDV16" s="343"/>
      <c r="RDW16" s="343"/>
      <c r="RDX16" s="344"/>
      <c r="RDY16" s="344"/>
      <c r="RDZ16" s="344"/>
      <c r="REA16" s="342"/>
      <c r="REB16" s="342"/>
      <c r="REC16" s="342"/>
      <c r="RED16" s="343"/>
      <c r="REE16" s="343"/>
      <c r="REF16" s="344"/>
      <c r="REG16" s="344"/>
      <c r="REH16" s="344"/>
      <c r="REI16" s="342"/>
      <c r="REJ16" s="342"/>
      <c r="REK16" s="342"/>
      <c r="REL16" s="343"/>
      <c r="REM16" s="343"/>
      <c r="REN16" s="344"/>
      <c r="REO16" s="344"/>
      <c r="REP16" s="344"/>
      <c r="REQ16" s="342"/>
      <c r="RER16" s="342"/>
      <c r="RES16" s="342"/>
      <c r="RET16" s="343"/>
      <c r="REU16" s="343"/>
      <c r="REV16" s="344"/>
      <c r="REW16" s="344"/>
      <c r="REX16" s="344"/>
      <c r="REY16" s="342"/>
      <c r="REZ16" s="342"/>
      <c r="RFA16" s="342"/>
      <c r="RFB16" s="343"/>
      <c r="RFC16" s="343"/>
      <c r="RFD16" s="344"/>
      <c r="RFE16" s="344"/>
      <c r="RFF16" s="344"/>
      <c r="RFG16" s="342"/>
      <c r="RFH16" s="342"/>
      <c r="RFI16" s="342"/>
      <c r="RFJ16" s="343"/>
      <c r="RFK16" s="343"/>
      <c r="RFL16" s="344"/>
      <c r="RFM16" s="344"/>
      <c r="RFN16" s="344"/>
      <c r="RFO16" s="342"/>
      <c r="RFP16" s="342"/>
      <c r="RFQ16" s="342"/>
      <c r="RFR16" s="343"/>
      <c r="RFS16" s="343"/>
      <c r="RFT16" s="344"/>
      <c r="RFU16" s="344"/>
      <c r="RFV16" s="344"/>
      <c r="RFW16" s="342"/>
      <c r="RFX16" s="342"/>
      <c r="RFY16" s="342"/>
      <c r="RFZ16" s="343"/>
      <c r="RGA16" s="343"/>
      <c r="RGB16" s="344"/>
      <c r="RGC16" s="344"/>
      <c r="RGD16" s="344"/>
      <c r="RGE16" s="342"/>
      <c r="RGF16" s="342"/>
      <c r="RGG16" s="342"/>
      <c r="RGH16" s="343"/>
      <c r="RGI16" s="343"/>
      <c r="RGJ16" s="344"/>
      <c r="RGK16" s="344"/>
      <c r="RGL16" s="344"/>
      <c r="RGM16" s="342"/>
      <c r="RGN16" s="342"/>
      <c r="RGO16" s="342"/>
      <c r="RGP16" s="343"/>
      <c r="RGQ16" s="343"/>
      <c r="RGR16" s="344"/>
      <c r="RGS16" s="344"/>
      <c r="RGT16" s="344"/>
      <c r="RGU16" s="342"/>
      <c r="RGV16" s="342"/>
      <c r="RGW16" s="342"/>
      <c r="RGX16" s="343"/>
      <c r="RGY16" s="343"/>
      <c r="RGZ16" s="344"/>
      <c r="RHA16" s="344"/>
      <c r="RHB16" s="344"/>
      <c r="RHC16" s="342"/>
      <c r="RHD16" s="342"/>
      <c r="RHE16" s="342"/>
      <c r="RHF16" s="343"/>
      <c r="RHG16" s="343"/>
      <c r="RHH16" s="344"/>
      <c r="RHI16" s="344"/>
      <c r="RHJ16" s="344"/>
      <c r="RHK16" s="342"/>
      <c r="RHL16" s="342"/>
      <c r="RHM16" s="342"/>
      <c r="RHN16" s="343"/>
      <c r="RHO16" s="343"/>
      <c r="RHP16" s="344"/>
      <c r="RHQ16" s="344"/>
      <c r="RHR16" s="344"/>
      <c r="RHS16" s="342"/>
      <c r="RHT16" s="342"/>
      <c r="RHU16" s="342"/>
      <c r="RHV16" s="343"/>
      <c r="RHW16" s="343"/>
      <c r="RHX16" s="344"/>
      <c r="RHY16" s="344"/>
      <c r="RHZ16" s="344"/>
      <c r="RIA16" s="342"/>
      <c r="RIB16" s="342"/>
      <c r="RIC16" s="342"/>
      <c r="RID16" s="343"/>
      <c r="RIE16" s="343"/>
      <c r="RIF16" s="344"/>
      <c r="RIG16" s="344"/>
      <c r="RIH16" s="344"/>
      <c r="RII16" s="342"/>
      <c r="RIJ16" s="342"/>
      <c r="RIK16" s="342"/>
      <c r="RIL16" s="343"/>
      <c r="RIM16" s="343"/>
      <c r="RIN16" s="344"/>
      <c r="RIO16" s="344"/>
      <c r="RIP16" s="344"/>
      <c r="RIQ16" s="342"/>
      <c r="RIR16" s="342"/>
      <c r="RIS16" s="342"/>
      <c r="RIT16" s="343"/>
      <c r="RIU16" s="343"/>
      <c r="RIV16" s="344"/>
      <c r="RIW16" s="344"/>
      <c r="RIX16" s="344"/>
      <c r="RIY16" s="342"/>
      <c r="RIZ16" s="342"/>
      <c r="RJA16" s="342"/>
      <c r="RJB16" s="343"/>
      <c r="RJC16" s="343"/>
      <c r="RJD16" s="344"/>
      <c r="RJE16" s="344"/>
      <c r="RJF16" s="344"/>
      <c r="RJG16" s="342"/>
      <c r="RJH16" s="342"/>
      <c r="RJI16" s="342"/>
      <c r="RJJ16" s="343"/>
      <c r="RJK16" s="343"/>
      <c r="RJL16" s="344"/>
      <c r="RJM16" s="344"/>
      <c r="RJN16" s="344"/>
      <c r="RJO16" s="342"/>
      <c r="RJP16" s="342"/>
      <c r="RJQ16" s="342"/>
      <c r="RJR16" s="343"/>
      <c r="RJS16" s="343"/>
      <c r="RJT16" s="344"/>
      <c r="RJU16" s="344"/>
      <c r="RJV16" s="344"/>
      <c r="RJW16" s="342"/>
      <c r="RJX16" s="342"/>
      <c r="RJY16" s="342"/>
      <c r="RJZ16" s="343"/>
      <c r="RKA16" s="343"/>
      <c r="RKB16" s="344"/>
      <c r="RKC16" s="344"/>
      <c r="RKD16" s="344"/>
      <c r="RKE16" s="342"/>
      <c r="RKF16" s="342"/>
      <c r="RKG16" s="342"/>
      <c r="RKH16" s="343"/>
      <c r="RKI16" s="343"/>
      <c r="RKJ16" s="344"/>
      <c r="RKK16" s="344"/>
      <c r="RKL16" s="344"/>
      <c r="RKM16" s="342"/>
      <c r="RKN16" s="342"/>
      <c r="RKO16" s="342"/>
      <c r="RKP16" s="343"/>
      <c r="RKQ16" s="343"/>
      <c r="RKR16" s="344"/>
      <c r="RKS16" s="344"/>
      <c r="RKT16" s="344"/>
      <c r="RKU16" s="342"/>
      <c r="RKV16" s="342"/>
      <c r="RKW16" s="342"/>
      <c r="RKX16" s="343"/>
      <c r="RKY16" s="343"/>
      <c r="RKZ16" s="344"/>
      <c r="RLA16" s="344"/>
      <c r="RLB16" s="344"/>
      <c r="RLC16" s="342"/>
      <c r="RLD16" s="342"/>
      <c r="RLE16" s="342"/>
      <c r="RLF16" s="343"/>
      <c r="RLG16" s="343"/>
      <c r="RLH16" s="344"/>
      <c r="RLI16" s="344"/>
      <c r="RLJ16" s="344"/>
      <c r="RLK16" s="342"/>
      <c r="RLL16" s="342"/>
      <c r="RLM16" s="342"/>
      <c r="RLN16" s="343"/>
      <c r="RLO16" s="343"/>
      <c r="RLP16" s="344"/>
      <c r="RLQ16" s="344"/>
      <c r="RLR16" s="344"/>
      <c r="RLS16" s="342"/>
      <c r="RLT16" s="342"/>
      <c r="RLU16" s="342"/>
      <c r="RLV16" s="343"/>
      <c r="RLW16" s="343"/>
      <c r="RLX16" s="344"/>
      <c r="RLY16" s="344"/>
      <c r="RLZ16" s="344"/>
      <c r="RMA16" s="342"/>
      <c r="RMB16" s="342"/>
      <c r="RMC16" s="342"/>
      <c r="RMD16" s="343"/>
      <c r="RME16" s="343"/>
      <c r="RMF16" s="344"/>
      <c r="RMG16" s="344"/>
      <c r="RMH16" s="344"/>
      <c r="RMI16" s="342"/>
      <c r="RMJ16" s="342"/>
      <c r="RMK16" s="342"/>
      <c r="RML16" s="343"/>
      <c r="RMM16" s="343"/>
      <c r="RMN16" s="344"/>
      <c r="RMO16" s="344"/>
      <c r="RMP16" s="344"/>
      <c r="RMQ16" s="342"/>
      <c r="RMR16" s="342"/>
      <c r="RMS16" s="342"/>
      <c r="RMT16" s="343"/>
      <c r="RMU16" s="343"/>
      <c r="RMV16" s="344"/>
      <c r="RMW16" s="344"/>
      <c r="RMX16" s="344"/>
      <c r="RMY16" s="342"/>
      <c r="RMZ16" s="342"/>
      <c r="RNA16" s="342"/>
      <c r="RNB16" s="343"/>
      <c r="RNC16" s="343"/>
      <c r="RND16" s="344"/>
      <c r="RNE16" s="344"/>
      <c r="RNF16" s="344"/>
      <c r="RNG16" s="342"/>
      <c r="RNH16" s="342"/>
      <c r="RNI16" s="342"/>
      <c r="RNJ16" s="343"/>
      <c r="RNK16" s="343"/>
      <c r="RNL16" s="344"/>
      <c r="RNM16" s="344"/>
      <c r="RNN16" s="344"/>
      <c r="RNO16" s="342"/>
      <c r="RNP16" s="342"/>
      <c r="RNQ16" s="342"/>
      <c r="RNR16" s="343"/>
      <c r="RNS16" s="343"/>
      <c r="RNT16" s="344"/>
      <c r="RNU16" s="344"/>
      <c r="RNV16" s="344"/>
      <c r="RNW16" s="342"/>
      <c r="RNX16" s="342"/>
      <c r="RNY16" s="342"/>
      <c r="RNZ16" s="343"/>
      <c r="ROA16" s="343"/>
      <c r="ROB16" s="344"/>
      <c r="ROC16" s="344"/>
      <c r="ROD16" s="344"/>
      <c r="ROE16" s="342"/>
      <c r="ROF16" s="342"/>
      <c r="ROG16" s="342"/>
      <c r="ROH16" s="343"/>
      <c r="ROI16" s="343"/>
      <c r="ROJ16" s="344"/>
      <c r="ROK16" s="344"/>
      <c r="ROL16" s="344"/>
      <c r="ROM16" s="342"/>
      <c r="RON16" s="342"/>
      <c r="ROO16" s="342"/>
      <c r="ROP16" s="343"/>
      <c r="ROQ16" s="343"/>
      <c r="ROR16" s="344"/>
      <c r="ROS16" s="344"/>
      <c r="ROT16" s="344"/>
      <c r="ROU16" s="342"/>
      <c r="ROV16" s="342"/>
      <c r="ROW16" s="342"/>
      <c r="ROX16" s="343"/>
      <c r="ROY16" s="343"/>
      <c r="ROZ16" s="344"/>
      <c r="RPA16" s="344"/>
      <c r="RPB16" s="344"/>
      <c r="RPC16" s="342"/>
      <c r="RPD16" s="342"/>
      <c r="RPE16" s="342"/>
      <c r="RPF16" s="343"/>
      <c r="RPG16" s="343"/>
      <c r="RPH16" s="344"/>
      <c r="RPI16" s="344"/>
      <c r="RPJ16" s="344"/>
      <c r="RPK16" s="342"/>
      <c r="RPL16" s="342"/>
      <c r="RPM16" s="342"/>
      <c r="RPN16" s="343"/>
      <c r="RPO16" s="343"/>
      <c r="RPP16" s="344"/>
      <c r="RPQ16" s="344"/>
      <c r="RPR16" s="344"/>
      <c r="RPS16" s="342"/>
      <c r="RPT16" s="342"/>
      <c r="RPU16" s="342"/>
      <c r="RPV16" s="343"/>
      <c r="RPW16" s="343"/>
      <c r="RPX16" s="344"/>
      <c r="RPY16" s="344"/>
      <c r="RPZ16" s="344"/>
      <c r="RQA16" s="342"/>
      <c r="RQB16" s="342"/>
      <c r="RQC16" s="342"/>
      <c r="RQD16" s="343"/>
      <c r="RQE16" s="343"/>
      <c r="RQF16" s="344"/>
      <c r="RQG16" s="344"/>
      <c r="RQH16" s="344"/>
      <c r="RQI16" s="342"/>
      <c r="RQJ16" s="342"/>
      <c r="RQK16" s="342"/>
      <c r="RQL16" s="343"/>
      <c r="RQM16" s="343"/>
      <c r="RQN16" s="344"/>
      <c r="RQO16" s="344"/>
      <c r="RQP16" s="344"/>
      <c r="RQQ16" s="342"/>
      <c r="RQR16" s="342"/>
      <c r="RQS16" s="342"/>
      <c r="RQT16" s="343"/>
      <c r="RQU16" s="343"/>
      <c r="RQV16" s="344"/>
      <c r="RQW16" s="344"/>
      <c r="RQX16" s="344"/>
      <c r="RQY16" s="342"/>
      <c r="RQZ16" s="342"/>
      <c r="RRA16" s="342"/>
      <c r="RRB16" s="343"/>
      <c r="RRC16" s="343"/>
      <c r="RRD16" s="344"/>
      <c r="RRE16" s="344"/>
      <c r="RRF16" s="344"/>
      <c r="RRG16" s="342"/>
      <c r="RRH16" s="342"/>
      <c r="RRI16" s="342"/>
      <c r="RRJ16" s="343"/>
      <c r="RRK16" s="343"/>
      <c r="RRL16" s="344"/>
      <c r="RRM16" s="344"/>
      <c r="RRN16" s="344"/>
      <c r="RRO16" s="342"/>
      <c r="RRP16" s="342"/>
      <c r="RRQ16" s="342"/>
      <c r="RRR16" s="343"/>
      <c r="RRS16" s="343"/>
      <c r="RRT16" s="344"/>
      <c r="RRU16" s="344"/>
      <c r="RRV16" s="344"/>
      <c r="RRW16" s="342"/>
      <c r="RRX16" s="342"/>
      <c r="RRY16" s="342"/>
      <c r="RRZ16" s="343"/>
      <c r="RSA16" s="343"/>
      <c r="RSB16" s="344"/>
      <c r="RSC16" s="344"/>
      <c r="RSD16" s="344"/>
      <c r="RSE16" s="342"/>
      <c r="RSF16" s="342"/>
      <c r="RSG16" s="342"/>
      <c r="RSH16" s="343"/>
      <c r="RSI16" s="343"/>
      <c r="RSJ16" s="344"/>
      <c r="RSK16" s="344"/>
      <c r="RSL16" s="344"/>
      <c r="RSM16" s="342"/>
      <c r="RSN16" s="342"/>
      <c r="RSO16" s="342"/>
      <c r="RSP16" s="343"/>
      <c r="RSQ16" s="343"/>
      <c r="RSR16" s="344"/>
      <c r="RSS16" s="344"/>
      <c r="RST16" s="344"/>
      <c r="RSU16" s="342"/>
      <c r="RSV16" s="342"/>
      <c r="RSW16" s="342"/>
      <c r="RSX16" s="343"/>
      <c r="RSY16" s="343"/>
      <c r="RSZ16" s="344"/>
      <c r="RTA16" s="344"/>
      <c r="RTB16" s="344"/>
      <c r="RTC16" s="342"/>
      <c r="RTD16" s="342"/>
      <c r="RTE16" s="342"/>
      <c r="RTF16" s="343"/>
      <c r="RTG16" s="343"/>
      <c r="RTH16" s="344"/>
      <c r="RTI16" s="344"/>
      <c r="RTJ16" s="344"/>
      <c r="RTK16" s="342"/>
      <c r="RTL16" s="342"/>
      <c r="RTM16" s="342"/>
      <c r="RTN16" s="343"/>
      <c r="RTO16" s="343"/>
      <c r="RTP16" s="344"/>
      <c r="RTQ16" s="344"/>
      <c r="RTR16" s="344"/>
      <c r="RTS16" s="342"/>
      <c r="RTT16" s="342"/>
      <c r="RTU16" s="342"/>
      <c r="RTV16" s="343"/>
      <c r="RTW16" s="343"/>
      <c r="RTX16" s="344"/>
      <c r="RTY16" s="344"/>
      <c r="RTZ16" s="344"/>
      <c r="RUA16" s="342"/>
      <c r="RUB16" s="342"/>
      <c r="RUC16" s="342"/>
      <c r="RUD16" s="343"/>
      <c r="RUE16" s="343"/>
      <c r="RUF16" s="344"/>
      <c r="RUG16" s="344"/>
      <c r="RUH16" s="344"/>
      <c r="RUI16" s="342"/>
      <c r="RUJ16" s="342"/>
      <c r="RUK16" s="342"/>
      <c r="RUL16" s="343"/>
      <c r="RUM16" s="343"/>
      <c r="RUN16" s="344"/>
      <c r="RUO16" s="344"/>
      <c r="RUP16" s="344"/>
      <c r="RUQ16" s="342"/>
      <c r="RUR16" s="342"/>
      <c r="RUS16" s="342"/>
      <c r="RUT16" s="343"/>
      <c r="RUU16" s="343"/>
      <c r="RUV16" s="344"/>
      <c r="RUW16" s="344"/>
      <c r="RUX16" s="344"/>
      <c r="RUY16" s="342"/>
      <c r="RUZ16" s="342"/>
      <c r="RVA16" s="342"/>
      <c r="RVB16" s="343"/>
      <c r="RVC16" s="343"/>
      <c r="RVD16" s="344"/>
      <c r="RVE16" s="344"/>
      <c r="RVF16" s="344"/>
      <c r="RVG16" s="342"/>
      <c r="RVH16" s="342"/>
      <c r="RVI16" s="342"/>
      <c r="RVJ16" s="343"/>
      <c r="RVK16" s="343"/>
      <c r="RVL16" s="344"/>
      <c r="RVM16" s="344"/>
      <c r="RVN16" s="344"/>
      <c r="RVO16" s="342"/>
      <c r="RVP16" s="342"/>
      <c r="RVQ16" s="342"/>
      <c r="RVR16" s="343"/>
      <c r="RVS16" s="343"/>
      <c r="RVT16" s="344"/>
      <c r="RVU16" s="344"/>
      <c r="RVV16" s="344"/>
      <c r="RVW16" s="342"/>
      <c r="RVX16" s="342"/>
      <c r="RVY16" s="342"/>
      <c r="RVZ16" s="343"/>
      <c r="RWA16" s="343"/>
      <c r="RWB16" s="344"/>
      <c r="RWC16" s="344"/>
      <c r="RWD16" s="344"/>
      <c r="RWE16" s="342"/>
      <c r="RWF16" s="342"/>
      <c r="RWG16" s="342"/>
      <c r="RWH16" s="343"/>
      <c r="RWI16" s="343"/>
      <c r="RWJ16" s="344"/>
      <c r="RWK16" s="344"/>
      <c r="RWL16" s="344"/>
      <c r="RWM16" s="342"/>
      <c r="RWN16" s="342"/>
      <c r="RWO16" s="342"/>
      <c r="RWP16" s="343"/>
      <c r="RWQ16" s="343"/>
      <c r="RWR16" s="344"/>
      <c r="RWS16" s="344"/>
      <c r="RWT16" s="344"/>
      <c r="RWU16" s="342"/>
      <c r="RWV16" s="342"/>
      <c r="RWW16" s="342"/>
      <c r="RWX16" s="343"/>
      <c r="RWY16" s="343"/>
      <c r="RWZ16" s="344"/>
      <c r="RXA16" s="344"/>
      <c r="RXB16" s="344"/>
      <c r="RXC16" s="342"/>
      <c r="RXD16" s="342"/>
      <c r="RXE16" s="342"/>
      <c r="RXF16" s="343"/>
      <c r="RXG16" s="343"/>
      <c r="RXH16" s="344"/>
      <c r="RXI16" s="344"/>
      <c r="RXJ16" s="344"/>
      <c r="RXK16" s="342"/>
      <c r="RXL16" s="342"/>
      <c r="RXM16" s="342"/>
      <c r="RXN16" s="343"/>
      <c r="RXO16" s="343"/>
      <c r="RXP16" s="344"/>
      <c r="RXQ16" s="344"/>
      <c r="RXR16" s="344"/>
      <c r="RXS16" s="342"/>
      <c r="RXT16" s="342"/>
      <c r="RXU16" s="342"/>
      <c r="RXV16" s="343"/>
      <c r="RXW16" s="343"/>
      <c r="RXX16" s="344"/>
      <c r="RXY16" s="344"/>
      <c r="RXZ16" s="344"/>
      <c r="RYA16" s="342"/>
      <c r="RYB16" s="342"/>
      <c r="RYC16" s="342"/>
      <c r="RYD16" s="343"/>
      <c r="RYE16" s="343"/>
      <c r="RYF16" s="344"/>
      <c r="RYG16" s="344"/>
      <c r="RYH16" s="344"/>
      <c r="RYI16" s="342"/>
      <c r="RYJ16" s="342"/>
      <c r="RYK16" s="342"/>
      <c r="RYL16" s="343"/>
      <c r="RYM16" s="343"/>
      <c r="RYN16" s="344"/>
      <c r="RYO16" s="344"/>
      <c r="RYP16" s="344"/>
      <c r="RYQ16" s="342"/>
      <c r="RYR16" s="342"/>
      <c r="RYS16" s="342"/>
      <c r="RYT16" s="343"/>
      <c r="RYU16" s="343"/>
      <c r="RYV16" s="344"/>
      <c r="RYW16" s="344"/>
      <c r="RYX16" s="344"/>
      <c r="RYY16" s="342"/>
      <c r="RYZ16" s="342"/>
      <c r="RZA16" s="342"/>
      <c r="RZB16" s="343"/>
      <c r="RZC16" s="343"/>
      <c r="RZD16" s="344"/>
      <c r="RZE16" s="344"/>
      <c r="RZF16" s="344"/>
      <c r="RZG16" s="342"/>
      <c r="RZH16" s="342"/>
      <c r="RZI16" s="342"/>
      <c r="RZJ16" s="343"/>
      <c r="RZK16" s="343"/>
      <c r="RZL16" s="344"/>
      <c r="RZM16" s="344"/>
      <c r="RZN16" s="344"/>
      <c r="RZO16" s="342"/>
      <c r="RZP16" s="342"/>
      <c r="RZQ16" s="342"/>
      <c r="RZR16" s="343"/>
      <c r="RZS16" s="343"/>
      <c r="RZT16" s="344"/>
      <c r="RZU16" s="344"/>
      <c r="RZV16" s="344"/>
      <c r="RZW16" s="342"/>
      <c r="RZX16" s="342"/>
      <c r="RZY16" s="342"/>
      <c r="RZZ16" s="343"/>
      <c r="SAA16" s="343"/>
      <c r="SAB16" s="344"/>
      <c r="SAC16" s="344"/>
      <c r="SAD16" s="344"/>
      <c r="SAE16" s="342"/>
      <c r="SAF16" s="342"/>
      <c r="SAG16" s="342"/>
      <c r="SAH16" s="343"/>
      <c r="SAI16" s="343"/>
      <c r="SAJ16" s="344"/>
      <c r="SAK16" s="344"/>
      <c r="SAL16" s="344"/>
      <c r="SAM16" s="342"/>
      <c r="SAN16" s="342"/>
      <c r="SAO16" s="342"/>
      <c r="SAP16" s="343"/>
      <c r="SAQ16" s="343"/>
      <c r="SAR16" s="344"/>
      <c r="SAS16" s="344"/>
      <c r="SAT16" s="344"/>
      <c r="SAU16" s="342"/>
      <c r="SAV16" s="342"/>
      <c r="SAW16" s="342"/>
      <c r="SAX16" s="343"/>
      <c r="SAY16" s="343"/>
      <c r="SAZ16" s="344"/>
      <c r="SBA16" s="344"/>
      <c r="SBB16" s="344"/>
      <c r="SBC16" s="342"/>
      <c r="SBD16" s="342"/>
      <c r="SBE16" s="342"/>
      <c r="SBF16" s="343"/>
      <c r="SBG16" s="343"/>
      <c r="SBH16" s="344"/>
      <c r="SBI16" s="344"/>
      <c r="SBJ16" s="344"/>
      <c r="SBK16" s="342"/>
      <c r="SBL16" s="342"/>
      <c r="SBM16" s="342"/>
      <c r="SBN16" s="343"/>
      <c r="SBO16" s="343"/>
      <c r="SBP16" s="344"/>
      <c r="SBQ16" s="344"/>
      <c r="SBR16" s="344"/>
      <c r="SBS16" s="342"/>
      <c r="SBT16" s="342"/>
      <c r="SBU16" s="342"/>
      <c r="SBV16" s="343"/>
      <c r="SBW16" s="343"/>
      <c r="SBX16" s="344"/>
      <c r="SBY16" s="344"/>
      <c r="SBZ16" s="344"/>
      <c r="SCA16" s="342"/>
      <c r="SCB16" s="342"/>
      <c r="SCC16" s="342"/>
      <c r="SCD16" s="343"/>
      <c r="SCE16" s="343"/>
      <c r="SCF16" s="344"/>
      <c r="SCG16" s="344"/>
      <c r="SCH16" s="344"/>
      <c r="SCI16" s="342"/>
      <c r="SCJ16" s="342"/>
      <c r="SCK16" s="342"/>
      <c r="SCL16" s="343"/>
      <c r="SCM16" s="343"/>
      <c r="SCN16" s="344"/>
      <c r="SCO16" s="344"/>
      <c r="SCP16" s="344"/>
      <c r="SCQ16" s="342"/>
      <c r="SCR16" s="342"/>
      <c r="SCS16" s="342"/>
      <c r="SCT16" s="343"/>
      <c r="SCU16" s="343"/>
      <c r="SCV16" s="344"/>
      <c r="SCW16" s="344"/>
      <c r="SCX16" s="344"/>
      <c r="SCY16" s="342"/>
      <c r="SCZ16" s="342"/>
      <c r="SDA16" s="342"/>
      <c r="SDB16" s="343"/>
      <c r="SDC16" s="343"/>
      <c r="SDD16" s="344"/>
      <c r="SDE16" s="344"/>
      <c r="SDF16" s="344"/>
      <c r="SDG16" s="342"/>
      <c r="SDH16" s="342"/>
      <c r="SDI16" s="342"/>
      <c r="SDJ16" s="343"/>
      <c r="SDK16" s="343"/>
      <c r="SDL16" s="344"/>
      <c r="SDM16" s="344"/>
      <c r="SDN16" s="344"/>
      <c r="SDO16" s="342"/>
      <c r="SDP16" s="342"/>
      <c r="SDQ16" s="342"/>
      <c r="SDR16" s="343"/>
      <c r="SDS16" s="343"/>
      <c r="SDT16" s="344"/>
      <c r="SDU16" s="344"/>
      <c r="SDV16" s="344"/>
      <c r="SDW16" s="342"/>
      <c r="SDX16" s="342"/>
      <c r="SDY16" s="342"/>
      <c r="SDZ16" s="343"/>
      <c r="SEA16" s="343"/>
      <c r="SEB16" s="344"/>
      <c r="SEC16" s="344"/>
      <c r="SED16" s="344"/>
      <c r="SEE16" s="342"/>
      <c r="SEF16" s="342"/>
      <c r="SEG16" s="342"/>
      <c r="SEH16" s="343"/>
      <c r="SEI16" s="343"/>
      <c r="SEJ16" s="344"/>
      <c r="SEK16" s="344"/>
      <c r="SEL16" s="344"/>
      <c r="SEM16" s="342"/>
      <c r="SEN16" s="342"/>
      <c r="SEO16" s="342"/>
      <c r="SEP16" s="343"/>
      <c r="SEQ16" s="343"/>
      <c r="SER16" s="344"/>
      <c r="SES16" s="344"/>
      <c r="SET16" s="344"/>
      <c r="SEU16" s="342"/>
      <c r="SEV16" s="342"/>
      <c r="SEW16" s="342"/>
      <c r="SEX16" s="343"/>
      <c r="SEY16" s="343"/>
      <c r="SEZ16" s="344"/>
      <c r="SFA16" s="344"/>
      <c r="SFB16" s="344"/>
      <c r="SFC16" s="342"/>
      <c r="SFD16" s="342"/>
      <c r="SFE16" s="342"/>
      <c r="SFF16" s="343"/>
      <c r="SFG16" s="343"/>
      <c r="SFH16" s="344"/>
      <c r="SFI16" s="344"/>
      <c r="SFJ16" s="344"/>
      <c r="SFK16" s="342"/>
      <c r="SFL16" s="342"/>
      <c r="SFM16" s="342"/>
      <c r="SFN16" s="343"/>
      <c r="SFO16" s="343"/>
      <c r="SFP16" s="344"/>
      <c r="SFQ16" s="344"/>
      <c r="SFR16" s="344"/>
      <c r="SFS16" s="342"/>
      <c r="SFT16" s="342"/>
      <c r="SFU16" s="342"/>
      <c r="SFV16" s="343"/>
      <c r="SFW16" s="343"/>
      <c r="SFX16" s="344"/>
      <c r="SFY16" s="344"/>
      <c r="SFZ16" s="344"/>
      <c r="SGA16" s="342"/>
      <c r="SGB16" s="342"/>
      <c r="SGC16" s="342"/>
      <c r="SGD16" s="343"/>
      <c r="SGE16" s="343"/>
      <c r="SGF16" s="344"/>
      <c r="SGG16" s="344"/>
      <c r="SGH16" s="344"/>
      <c r="SGI16" s="342"/>
      <c r="SGJ16" s="342"/>
      <c r="SGK16" s="342"/>
      <c r="SGL16" s="343"/>
      <c r="SGM16" s="343"/>
      <c r="SGN16" s="344"/>
      <c r="SGO16" s="344"/>
      <c r="SGP16" s="344"/>
      <c r="SGQ16" s="342"/>
      <c r="SGR16" s="342"/>
      <c r="SGS16" s="342"/>
      <c r="SGT16" s="343"/>
      <c r="SGU16" s="343"/>
      <c r="SGV16" s="344"/>
      <c r="SGW16" s="344"/>
      <c r="SGX16" s="344"/>
      <c r="SGY16" s="342"/>
      <c r="SGZ16" s="342"/>
      <c r="SHA16" s="342"/>
      <c r="SHB16" s="343"/>
      <c r="SHC16" s="343"/>
      <c r="SHD16" s="344"/>
      <c r="SHE16" s="344"/>
      <c r="SHF16" s="344"/>
      <c r="SHG16" s="342"/>
      <c r="SHH16" s="342"/>
      <c r="SHI16" s="342"/>
      <c r="SHJ16" s="343"/>
      <c r="SHK16" s="343"/>
      <c r="SHL16" s="344"/>
      <c r="SHM16" s="344"/>
      <c r="SHN16" s="344"/>
      <c r="SHO16" s="342"/>
      <c r="SHP16" s="342"/>
      <c r="SHQ16" s="342"/>
      <c r="SHR16" s="343"/>
      <c r="SHS16" s="343"/>
      <c r="SHT16" s="344"/>
      <c r="SHU16" s="344"/>
      <c r="SHV16" s="344"/>
      <c r="SHW16" s="342"/>
      <c r="SHX16" s="342"/>
      <c r="SHY16" s="342"/>
      <c r="SHZ16" s="343"/>
      <c r="SIA16" s="343"/>
      <c r="SIB16" s="344"/>
      <c r="SIC16" s="344"/>
      <c r="SID16" s="344"/>
      <c r="SIE16" s="342"/>
      <c r="SIF16" s="342"/>
      <c r="SIG16" s="342"/>
      <c r="SIH16" s="343"/>
      <c r="SII16" s="343"/>
      <c r="SIJ16" s="344"/>
      <c r="SIK16" s="344"/>
      <c r="SIL16" s="344"/>
      <c r="SIM16" s="342"/>
      <c r="SIN16" s="342"/>
      <c r="SIO16" s="342"/>
      <c r="SIP16" s="343"/>
      <c r="SIQ16" s="343"/>
      <c r="SIR16" s="344"/>
      <c r="SIS16" s="344"/>
      <c r="SIT16" s="344"/>
      <c r="SIU16" s="342"/>
      <c r="SIV16" s="342"/>
      <c r="SIW16" s="342"/>
      <c r="SIX16" s="343"/>
      <c r="SIY16" s="343"/>
      <c r="SIZ16" s="344"/>
      <c r="SJA16" s="344"/>
      <c r="SJB16" s="344"/>
      <c r="SJC16" s="342"/>
      <c r="SJD16" s="342"/>
      <c r="SJE16" s="342"/>
      <c r="SJF16" s="343"/>
      <c r="SJG16" s="343"/>
      <c r="SJH16" s="344"/>
      <c r="SJI16" s="344"/>
      <c r="SJJ16" s="344"/>
      <c r="SJK16" s="342"/>
      <c r="SJL16" s="342"/>
      <c r="SJM16" s="342"/>
      <c r="SJN16" s="343"/>
      <c r="SJO16" s="343"/>
      <c r="SJP16" s="344"/>
      <c r="SJQ16" s="344"/>
      <c r="SJR16" s="344"/>
      <c r="SJS16" s="342"/>
      <c r="SJT16" s="342"/>
      <c r="SJU16" s="342"/>
      <c r="SJV16" s="343"/>
      <c r="SJW16" s="343"/>
      <c r="SJX16" s="344"/>
      <c r="SJY16" s="344"/>
      <c r="SJZ16" s="344"/>
      <c r="SKA16" s="342"/>
      <c r="SKB16" s="342"/>
      <c r="SKC16" s="342"/>
      <c r="SKD16" s="343"/>
      <c r="SKE16" s="343"/>
      <c r="SKF16" s="344"/>
      <c r="SKG16" s="344"/>
      <c r="SKH16" s="344"/>
      <c r="SKI16" s="342"/>
      <c r="SKJ16" s="342"/>
      <c r="SKK16" s="342"/>
      <c r="SKL16" s="343"/>
      <c r="SKM16" s="343"/>
      <c r="SKN16" s="344"/>
      <c r="SKO16" s="344"/>
      <c r="SKP16" s="344"/>
      <c r="SKQ16" s="342"/>
      <c r="SKR16" s="342"/>
      <c r="SKS16" s="342"/>
      <c r="SKT16" s="343"/>
      <c r="SKU16" s="343"/>
      <c r="SKV16" s="344"/>
      <c r="SKW16" s="344"/>
      <c r="SKX16" s="344"/>
      <c r="SKY16" s="342"/>
      <c r="SKZ16" s="342"/>
      <c r="SLA16" s="342"/>
      <c r="SLB16" s="343"/>
      <c r="SLC16" s="343"/>
      <c r="SLD16" s="344"/>
      <c r="SLE16" s="344"/>
      <c r="SLF16" s="344"/>
      <c r="SLG16" s="342"/>
      <c r="SLH16" s="342"/>
      <c r="SLI16" s="342"/>
      <c r="SLJ16" s="343"/>
      <c r="SLK16" s="343"/>
      <c r="SLL16" s="344"/>
      <c r="SLM16" s="344"/>
      <c r="SLN16" s="344"/>
      <c r="SLO16" s="342"/>
      <c r="SLP16" s="342"/>
      <c r="SLQ16" s="342"/>
      <c r="SLR16" s="343"/>
      <c r="SLS16" s="343"/>
      <c r="SLT16" s="344"/>
      <c r="SLU16" s="344"/>
      <c r="SLV16" s="344"/>
      <c r="SLW16" s="342"/>
      <c r="SLX16" s="342"/>
      <c r="SLY16" s="342"/>
      <c r="SLZ16" s="343"/>
      <c r="SMA16" s="343"/>
      <c r="SMB16" s="344"/>
      <c r="SMC16" s="344"/>
      <c r="SMD16" s="344"/>
      <c r="SME16" s="342"/>
      <c r="SMF16" s="342"/>
      <c r="SMG16" s="342"/>
      <c r="SMH16" s="343"/>
      <c r="SMI16" s="343"/>
      <c r="SMJ16" s="344"/>
      <c r="SMK16" s="344"/>
      <c r="SML16" s="344"/>
      <c r="SMM16" s="342"/>
      <c r="SMN16" s="342"/>
      <c r="SMO16" s="342"/>
      <c r="SMP16" s="343"/>
      <c r="SMQ16" s="343"/>
      <c r="SMR16" s="344"/>
      <c r="SMS16" s="344"/>
      <c r="SMT16" s="344"/>
      <c r="SMU16" s="342"/>
      <c r="SMV16" s="342"/>
      <c r="SMW16" s="342"/>
      <c r="SMX16" s="343"/>
      <c r="SMY16" s="343"/>
      <c r="SMZ16" s="344"/>
      <c r="SNA16" s="344"/>
      <c r="SNB16" s="344"/>
      <c r="SNC16" s="342"/>
      <c r="SND16" s="342"/>
      <c r="SNE16" s="342"/>
      <c r="SNF16" s="343"/>
      <c r="SNG16" s="343"/>
      <c r="SNH16" s="344"/>
      <c r="SNI16" s="344"/>
      <c r="SNJ16" s="344"/>
      <c r="SNK16" s="342"/>
      <c r="SNL16" s="342"/>
      <c r="SNM16" s="342"/>
      <c r="SNN16" s="343"/>
      <c r="SNO16" s="343"/>
      <c r="SNP16" s="344"/>
      <c r="SNQ16" s="344"/>
      <c r="SNR16" s="344"/>
      <c r="SNS16" s="342"/>
      <c r="SNT16" s="342"/>
      <c r="SNU16" s="342"/>
      <c r="SNV16" s="343"/>
      <c r="SNW16" s="343"/>
      <c r="SNX16" s="344"/>
      <c r="SNY16" s="344"/>
      <c r="SNZ16" s="344"/>
      <c r="SOA16" s="342"/>
      <c r="SOB16" s="342"/>
      <c r="SOC16" s="342"/>
      <c r="SOD16" s="343"/>
      <c r="SOE16" s="343"/>
      <c r="SOF16" s="344"/>
      <c r="SOG16" s="344"/>
      <c r="SOH16" s="344"/>
      <c r="SOI16" s="342"/>
      <c r="SOJ16" s="342"/>
      <c r="SOK16" s="342"/>
      <c r="SOL16" s="343"/>
      <c r="SOM16" s="343"/>
      <c r="SON16" s="344"/>
      <c r="SOO16" s="344"/>
      <c r="SOP16" s="344"/>
      <c r="SOQ16" s="342"/>
      <c r="SOR16" s="342"/>
      <c r="SOS16" s="342"/>
      <c r="SOT16" s="343"/>
      <c r="SOU16" s="343"/>
      <c r="SOV16" s="344"/>
      <c r="SOW16" s="344"/>
      <c r="SOX16" s="344"/>
      <c r="SOY16" s="342"/>
      <c r="SOZ16" s="342"/>
      <c r="SPA16" s="342"/>
      <c r="SPB16" s="343"/>
      <c r="SPC16" s="343"/>
      <c r="SPD16" s="344"/>
      <c r="SPE16" s="344"/>
      <c r="SPF16" s="344"/>
      <c r="SPG16" s="342"/>
      <c r="SPH16" s="342"/>
      <c r="SPI16" s="342"/>
      <c r="SPJ16" s="343"/>
      <c r="SPK16" s="343"/>
      <c r="SPL16" s="344"/>
      <c r="SPM16" s="344"/>
      <c r="SPN16" s="344"/>
      <c r="SPO16" s="342"/>
      <c r="SPP16" s="342"/>
      <c r="SPQ16" s="342"/>
      <c r="SPR16" s="343"/>
      <c r="SPS16" s="343"/>
      <c r="SPT16" s="344"/>
      <c r="SPU16" s="344"/>
      <c r="SPV16" s="344"/>
      <c r="SPW16" s="342"/>
      <c r="SPX16" s="342"/>
      <c r="SPY16" s="342"/>
      <c r="SPZ16" s="343"/>
      <c r="SQA16" s="343"/>
      <c r="SQB16" s="344"/>
      <c r="SQC16" s="344"/>
      <c r="SQD16" s="344"/>
      <c r="SQE16" s="342"/>
      <c r="SQF16" s="342"/>
      <c r="SQG16" s="342"/>
      <c r="SQH16" s="343"/>
      <c r="SQI16" s="343"/>
      <c r="SQJ16" s="344"/>
      <c r="SQK16" s="344"/>
      <c r="SQL16" s="344"/>
      <c r="SQM16" s="342"/>
      <c r="SQN16" s="342"/>
      <c r="SQO16" s="342"/>
      <c r="SQP16" s="343"/>
      <c r="SQQ16" s="343"/>
      <c r="SQR16" s="344"/>
      <c r="SQS16" s="344"/>
      <c r="SQT16" s="344"/>
      <c r="SQU16" s="342"/>
      <c r="SQV16" s="342"/>
      <c r="SQW16" s="342"/>
      <c r="SQX16" s="343"/>
      <c r="SQY16" s="343"/>
      <c r="SQZ16" s="344"/>
      <c r="SRA16" s="344"/>
      <c r="SRB16" s="344"/>
      <c r="SRC16" s="342"/>
      <c r="SRD16" s="342"/>
      <c r="SRE16" s="342"/>
      <c r="SRF16" s="343"/>
      <c r="SRG16" s="343"/>
      <c r="SRH16" s="344"/>
      <c r="SRI16" s="344"/>
      <c r="SRJ16" s="344"/>
      <c r="SRK16" s="342"/>
      <c r="SRL16" s="342"/>
      <c r="SRM16" s="342"/>
      <c r="SRN16" s="343"/>
      <c r="SRO16" s="343"/>
      <c r="SRP16" s="344"/>
      <c r="SRQ16" s="344"/>
      <c r="SRR16" s="344"/>
      <c r="SRS16" s="342"/>
      <c r="SRT16" s="342"/>
      <c r="SRU16" s="342"/>
      <c r="SRV16" s="343"/>
      <c r="SRW16" s="343"/>
      <c r="SRX16" s="344"/>
      <c r="SRY16" s="344"/>
      <c r="SRZ16" s="344"/>
      <c r="SSA16" s="342"/>
      <c r="SSB16" s="342"/>
      <c r="SSC16" s="342"/>
      <c r="SSD16" s="343"/>
      <c r="SSE16" s="343"/>
      <c r="SSF16" s="344"/>
      <c r="SSG16" s="344"/>
      <c r="SSH16" s="344"/>
      <c r="SSI16" s="342"/>
      <c r="SSJ16" s="342"/>
      <c r="SSK16" s="342"/>
      <c r="SSL16" s="343"/>
      <c r="SSM16" s="343"/>
      <c r="SSN16" s="344"/>
      <c r="SSO16" s="344"/>
      <c r="SSP16" s="344"/>
      <c r="SSQ16" s="342"/>
      <c r="SSR16" s="342"/>
      <c r="SSS16" s="342"/>
      <c r="SST16" s="343"/>
      <c r="SSU16" s="343"/>
      <c r="SSV16" s="344"/>
      <c r="SSW16" s="344"/>
      <c r="SSX16" s="344"/>
      <c r="SSY16" s="342"/>
      <c r="SSZ16" s="342"/>
      <c r="STA16" s="342"/>
      <c r="STB16" s="343"/>
      <c r="STC16" s="343"/>
      <c r="STD16" s="344"/>
      <c r="STE16" s="344"/>
      <c r="STF16" s="344"/>
      <c r="STG16" s="342"/>
      <c r="STH16" s="342"/>
      <c r="STI16" s="342"/>
      <c r="STJ16" s="343"/>
      <c r="STK16" s="343"/>
      <c r="STL16" s="344"/>
      <c r="STM16" s="344"/>
      <c r="STN16" s="344"/>
      <c r="STO16" s="342"/>
      <c r="STP16" s="342"/>
      <c r="STQ16" s="342"/>
      <c r="STR16" s="343"/>
      <c r="STS16" s="343"/>
      <c r="STT16" s="344"/>
      <c r="STU16" s="344"/>
      <c r="STV16" s="344"/>
      <c r="STW16" s="342"/>
      <c r="STX16" s="342"/>
      <c r="STY16" s="342"/>
      <c r="STZ16" s="343"/>
      <c r="SUA16" s="343"/>
      <c r="SUB16" s="344"/>
      <c r="SUC16" s="344"/>
      <c r="SUD16" s="344"/>
      <c r="SUE16" s="342"/>
      <c r="SUF16" s="342"/>
      <c r="SUG16" s="342"/>
      <c r="SUH16" s="343"/>
      <c r="SUI16" s="343"/>
      <c r="SUJ16" s="344"/>
      <c r="SUK16" s="344"/>
      <c r="SUL16" s="344"/>
      <c r="SUM16" s="342"/>
      <c r="SUN16" s="342"/>
      <c r="SUO16" s="342"/>
      <c r="SUP16" s="343"/>
      <c r="SUQ16" s="343"/>
      <c r="SUR16" s="344"/>
      <c r="SUS16" s="344"/>
      <c r="SUT16" s="344"/>
      <c r="SUU16" s="342"/>
      <c r="SUV16" s="342"/>
      <c r="SUW16" s="342"/>
      <c r="SUX16" s="343"/>
      <c r="SUY16" s="343"/>
      <c r="SUZ16" s="344"/>
      <c r="SVA16" s="344"/>
      <c r="SVB16" s="344"/>
      <c r="SVC16" s="342"/>
      <c r="SVD16" s="342"/>
      <c r="SVE16" s="342"/>
      <c r="SVF16" s="343"/>
      <c r="SVG16" s="343"/>
      <c r="SVH16" s="344"/>
      <c r="SVI16" s="344"/>
      <c r="SVJ16" s="344"/>
      <c r="SVK16" s="342"/>
      <c r="SVL16" s="342"/>
      <c r="SVM16" s="342"/>
      <c r="SVN16" s="343"/>
      <c r="SVO16" s="343"/>
      <c r="SVP16" s="344"/>
      <c r="SVQ16" s="344"/>
      <c r="SVR16" s="344"/>
      <c r="SVS16" s="342"/>
      <c r="SVT16" s="342"/>
      <c r="SVU16" s="342"/>
      <c r="SVV16" s="343"/>
      <c r="SVW16" s="343"/>
      <c r="SVX16" s="344"/>
      <c r="SVY16" s="344"/>
      <c r="SVZ16" s="344"/>
      <c r="SWA16" s="342"/>
      <c r="SWB16" s="342"/>
      <c r="SWC16" s="342"/>
      <c r="SWD16" s="343"/>
      <c r="SWE16" s="343"/>
      <c r="SWF16" s="344"/>
      <c r="SWG16" s="344"/>
      <c r="SWH16" s="344"/>
      <c r="SWI16" s="342"/>
      <c r="SWJ16" s="342"/>
      <c r="SWK16" s="342"/>
      <c r="SWL16" s="343"/>
      <c r="SWM16" s="343"/>
      <c r="SWN16" s="344"/>
      <c r="SWO16" s="344"/>
      <c r="SWP16" s="344"/>
      <c r="SWQ16" s="342"/>
      <c r="SWR16" s="342"/>
      <c r="SWS16" s="342"/>
      <c r="SWT16" s="343"/>
      <c r="SWU16" s="343"/>
      <c r="SWV16" s="344"/>
      <c r="SWW16" s="344"/>
      <c r="SWX16" s="344"/>
      <c r="SWY16" s="342"/>
      <c r="SWZ16" s="342"/>
      <c r="SXA16" s="342"/>
      <c r="SXB16" s="343"/>
      <c r="SXC16" s="343"/>
      <c r="SXD16" s="344"/>
      <c r="SXE16" s="344"/>
      <c r="SXF16" s="344"/>
      <c r="SXG16" s="342"/>
      <c r="SXH16" s="342"/>
      <c r="SXI16" s="342"/>
      <c r="SXJ16" s="343"/>
      <c r="SXK16" s="343"/>
      <c r="SXL16" s="344"/>
      <c r="SXM16" s="344"/>
      <c r="SXN16" s="344"/>
      <c r="SXO16" s="342"/>
      <c r="SXP16" s="342"/>
      <c r="SXQ16" s="342"/>
      <c r="SXR16" s="343"/>
      <c r="SXS16" s="343"/>
      <c r="SXT16" s="344"/>
      <c r="SXU16" s="344"/>
      <c r="SXV16" s="344"/>
      <c r="SXW16" s="342"/>
      <c r="SXX16" s="342"/>
      <c r="SXY16" s="342"/>
      <c r="SXZ16" s="343"/>
      <c r="SYA16" s="343"/>
      <c r="SYB16" s="344"/>
      <c r="SYC16" s="344"/>
      <c r="SYD16" s="344"/>
      <c r="SYE16" s="342"/>
      <c r="SYF16" s="342"/>
      <c r="SYG16" s="342"/>
      <c r="SYH16" s="343"/>
      <c r="SYI16" s="343"/>
      <c r="SYJ16" s="344"/>
      <c r="SYK16" s="344"/>
      <c r="SYL16" s="344"/>
      <c r="SYM16" s="342"/>
      <c r="SYN16" s="342"/>
      <c r="SYO16" s="342"/>
      <c r="SYP16" s="343"/>
      <c r="SYQ16" s="343"/>
      <c r="SYR16" s="344"/>
      <c r="SYS16" s="344"/>
      <c r="SYT16" s="344"/>
      <c r="SYU16" s="342"/>
      <c r="SYV16" s="342"/>
      <c r="SYW16" s="342"/>
      <c r="SYX16" s="343"/>
      <c r="SYY16" s="343"/>
      <c r="SYZ16" s="344"/>
      <c r="SZA16" s="344"/>
      <c r="SZB16" s="344"/>
      <c r="SZC16" s="342"/>
      <c r="SZD16" s="342"/>
      <c r="SZE16" s="342"/>
      <c r="SZF16" s="343"/>
      <c r="SZG16" s="343"/>
      <c r="SZH16" s="344"/>
      <c r="SZI16" s="344"/>
      <c r="SZJ16" s="344"/>
      <c r="SZK16" s="342"/>
      <c r="SZL16" s="342"/>
      <c r="SZM16" s="342"/>
      <c r="SZN16" s="343"/>
      <c r="SZO16" s="343"/>
      <c r="SZP16" s="344"/>
      <c r="SZQ16" s="344"/>
      <c r="SZR16" s="344"/>
      <c r="SZS16" s="342"/>
      <c r="SZT16" s="342"/>
      <c r="SZU16" s="342"/>
      <c r="SZV16" s="343"/>
      <c r="SZW16" s="343"/>
      <c r="SZX16" s="344"/>
      <c r="SZY16" s="344"/>
      <c r="SZZ16" s="344"/>
      <c r="TAA16" s="342"/>
      <c r="TAB16" s="342"/>
      <c r="TAC16" s="342"/>
      <c r="TAD16" s="343"/>
      <c r="TAE16" s="343"/>
      <c r="TAF16" s="344"/>
      <c r="TAG16" s="344"/>
      <c r="TAH16" s="344"/>
      <c r="TAI16" s="342"/>
      <c r="TAJ16" s="342"/>
      <c r="TAK16" s="342"/>
      <c r="TAL16" s="343"/>
      <c r="TAM16" s="343"/>
      <c r="TAN16" s="344"/>
      <c r="TAO16" s="344"/>
      <c r="TAP16" s="344"/>
      <c r="TAQ16" s="342"/>
      <c r="TAR16" s="342"/>
      <c r="TAS16" s="342"/>
      <c r="TAT16" s="343"/>
      <c r="TAU16" s="343"/>
      <c r="TAV16" s="344"/>
      <c r="TAW16" s="344"/>
      <c r="TAX16" s="344"/>
      <c r="TAY16" s="342"/>
      <c r="TAZ16" s="342"/>
      <c r="TBA16" s="342"/>
      <c r="TBB16" s="343"/>
      <c r="TBC16" s="343"/>
      <c r="TBD16" s="344"/>
      <c r="TBE16" s="344"/>
      <c r="TBF16" s="344"/>
      <c r="TBG16" s="342"/>
      <c r="TBH16" s="342"/>
      <c r="TBI16" s="342"/>
      <c r="TBJ16" s="343"/>
      <c r="TBK16" s="343"/>
      <c r="TBL16" s="344"/>
      <c r="TBM16" s="344"/>
      <c r="TBN16" s="344"/>
      <c r="TBO16" s="342"/>
      <c r="TBP16" s="342"/>
      <c r="TBQ16" s="342"/>
      <c r="TBR16" s="343"/>
      <c r="TBS16" s="343"/>
      <c r="TBT16" s="344"/>
      <c r="TBU16" s="344"/>
      <c r="TBV16" s="344"/>
      <c r="TBW16" s="342"/>
      <c r="TBX16" s="342"/>
      <c r="TBY16" s="342"/>
      <c r="TBZ16" s="343"/>
      <c r="TCA16" s="343"/>
      <c r="TCB16" s="344"/>
      <c r="TCC16" s="344"/>
      <c r="TCD16" s="344"/>
      <c r="TCE16" s="342"/>
      <c r="TCF16" s="342"/>
      <c r="TCG16" s="342"/>
      <c r="TCH16" s="343"/>
      <c r="TCI16" s="343"/>
      <c r="TCJ16" s="344"/>
      <c r="TCK16" s="344"/>
      <c r="TCL16" s="344"/>
      <c r="TCM16" s="342"/>
      <c r="TCN16" s="342"/>
      <c r="TCO16" s="342"/>
      <c r="TCP16" s="343"/>
      <c r="TCQ16" s="343"/>
      <c r="TCR16" s="344"/>
      <c r="TCS16" s="344"/>
      <c r="TCT16" s="344"/>
      <c r="TCU16" s="342"/>
      <c r="TCV16" s="342"/>
      <c r="TCW16" s="342"/>
      <c r="TCX16" s="343"/>
      <c r="TCY16" s="343"/>
      <c r="TCZ16" s="344"/>
      <c r="TDA16" s="344"/>
      <c r="TDB16" s="344"/>
      <c r="TDC16" s="342"/>
      <c r="TDD16" s="342"/>
      <c r="TDE16" s="342"/>
      <c r="TDF16" s="343"/>
      <c r="TDG16" s="343"/>
      <c r="TDH16" s="344"/>
      <c r="TDI16" s="344"/>
      <c r="TDJ16" s="344"/>
      <c r="TDK16" s="342"/>
      <c r="TDL16" s="342"/>
      <c r="TDM16" s="342"/>
      <c r="TDN16" s="343"/>
      <c r="TDO16" s="343"/>
      <c r="TDP16" s="344"/>
      <c r="TDQ16" s="344"/>
      <c r="TDR16" s="344"/>
      <c r="TDS16" s="342"/>
      <c r="TDT16" s="342"/>
      <c r="TDU16" s="342"/>
      <c r="TDV16" s="343"/>
      <c r="TDW16" s="343"/>
      <c r="TDX16" s="344"/>
      <c r="TDY16" s="344"/>
      <c r="TDZ16" s="344"/>
      <c r="TEA16" s="342"/>
      <c r="TEB16" s="342"/>
      <c r="TEC16" s="342"/>
      <c r="TED16" s="343"/>
      <c r="TEE16" s="343"/>
      <c r="TEF16" s="344"/>
      <c r="TEG16" s="344"/>
      <c r="TEH16" s="344"/>
      <c r="TEI16" s="342"/>
      <c r="TEJ16" s="342"/>
      <c r="TEK16" s="342"/>
      <c r="TEL16" s="343"/>
      <c r="TEM16" s="343"/>
      <c r="TEN16" s="344"/>
      <c r="TEO16" s="344"/>
      <c r="TEP16" s="344"/>
      <c r="TEQ16" s="342"/>
      <c r="TER16" s="342"/>
      <c r="TES16" s="342"/>
      <c r="TET16" s="343"/>
      <c r="TEU16" s="343"/>
      <c r="TEV16" s="344"/>
      <c r="TEW16" s="344"/>
      <c r="TEX16" s="344"/>
      <c r="TEY16" s="342"/>
      <c r="TEZ16" s="342"/>
      <c r="TFA16" s="342"/>
      <c r="TFB16" s="343"/>
      <c r="TFC16" s="343"/>
      <c r="TFD16" s="344"/>
      <c r="TFE16" s="344"/>
      <c r="TFF16" s="344"/>
      <c r="TFG16" s="342"/>
      <c r="TFH16" s="342"/>
      <c r="TFI16" s="342"/>
      <c r="TFJ16" s="343"/>
      <c r="TFK16" s="343"/>
      <c r="TFL16" s="344"/>
      <c r="TFM16" s="344"/>
      <c r="TFN16" s="344"/>
      <c r="TFO16" s="342"/>
      <c r="TFP16" s="342"/>
      <c r="TFQ16" s="342"/>
      <c r="TFR16" s="343"/>
      <c r="TFS16" s="343"/>
      <c r="TFT16" s="344"/>
      <c r="TFU16" s="344"/>
      <c r="TFV16" s="344"/>
      <c r="TFW16" s="342"/>
      <c r="TFX16" s="342"/>
      <c r="TFY16" s="342"/>
      <c r="TFZ16" s="343"/>
      <c r="TGA16" s="343"/>
      <c r="TGB16" s="344"/>
      <c r="TGC16" s="344"/>
      <c r="TGD16" s="344"/>
      <c r="TGE16" s="342"/>
      <c r="TGF16" s="342"/>
      <c r="TGG16" s="342"/>
      <c r="TGH16" s="343"/>
      <c r="TGI16" s="343"/>
      <c r="TGJ16" s="344"/>
      <c r="TGK16" s="344"/>
      <c r="TGL16" s="344"/>
      <c r="TGM16" s="342"/>
      <c r="TGN16" s="342"/>
      <c r="TGO16" s="342"/>
      <c r="TGP16" s="343"/>
      <c r="TGQ16" s="343"/>
      <c r="TGR16" s="344"/>
      <c r="TGS16" s="344"/>
      <c r="TGT16" s="344"/>
      <c r="TGU16" s="342"/>
      <c r="TGV16" s="342"/>
      <c r="TGW16" s="342"/>
      <c r="TGX16" s="343"/>
      <c r="TGY16" s="343"/>
      <c r="TGZ16" s="344"/>
      <c r="THA16" s="344"/>
      <c r="THB16" s="344"/>
      <c r="THC16" s="342"/>
      <c r="THD16" s="342"/>
      <c r="THE16" s="342"/>
      <c r="THF16" s="343"/>
      <c r="THG16" s="343"/>
      <c r="THH16" s="344"/>
      <c r="THI16" s="344"/>
      <c r="THJ16" s="344"/>
      <c r="THK16" s="342"/>
      <c r="THL16" s="342"/>
      <c r="THM16" s="342"/>
      <c r="THN16" s="343"/>
      <c r="THO16" s="343"/>
      <c r="THP16" s="344"/>
      <c r="THQ16" s="344"/>
      <c r="THR16" s="344"/>
      <c r="THS16" s="342"/>
      <c r="THT16" s="342"/>
      <c r="THU16" s="342"/>
      <c r="THV16" s="343"/>
      <c r="THW16" s="343"/>
      <c r="THX16" s="344"/>
      <c r="THY16" s="344"/>
      <c r="THZ16" s="344"/>
      <c r="TIA16" s="342"/>
      <c r="TIB16" s="342"/>
      <c r="TIC16" s="342"/>
      <c r="TID16" s="343"/>
      <c r="TIE16" s="343"/>
      <c r="TIF16" s="344"/>
      <c r="TIG16" s="344"/>
      <c r="TIH16" s="344"/>
      <c r="TII16" s="342"/>
      <c r="TIJ16" s="342"/>
      <c r="TIK16" s="342"/>
      <c r="TIL16" s="343"/>
      <c r="TIM16" s="343"/>
      <c r="TIN16" s="344"/>
      <c r="TIO16" s="344"/>
      <c r="TIP16" s="344"/>
      <c r="TIQ16" s="342"/>
      <c r="TIR16" s="342"/>
      <c r="TIS16" s="342"/>
      <c r="TIT16" s="343"/>
      <c r="TIU16" s="343"/>
      <c r="TIV16" s="344"/>
      <c r="TIW16" s="344"/>
      <c r="TIX16" s="344"/>
      <c r="TIY16" s="342"/>
      <c r="TIZ16" s="342"/>
      <c r="TJA16" s="342"/>
      <c r="TJB16" s="343"/>
      <c r="TJC16" s="343"/>
      <c r="TJD16" s="344"/>
      <c r="TJE16" s="344"/>
      <c r="TJF16" s="344"/>
      <c r="TJG16" s="342"/>
      <c r="TJH16" s="342"/>
      <c r="TJI16" s="342"/>
      <c r="TJJ16" s="343"/>
      <c r="TJK16" s="343"/>
      <c r="TJL16" s="344"/>
      <c r="TJM16" s="344"/>
      <c r="TJN16" s="344"/>
      <c r="TJO16" s="342"/>
      <c r="TJP16" s="342"/>
      <c r="TJQ16" s="342"/>
      <c r="TJR16" s="343"/>
      <c r="TJS16" s="343"/>
      <c r="TJT16" s="344"/>
      <c r="TJU16" s="344"/>
      <c r="TJV16" s="344"/>
      <c r="TJW16" s="342"/>
      <c r="TJX16" s="342"/>
      <c r="TJY16" s="342"/>
      <c r="TJZ16" s="343"/>
      <c r="TKA16" s="343"/>
      <c r="TKB16" s="344"/>
      <c r="TKC16" s="344"/>
      <c r="TKD16" s="344"/>
      <c r="TKE16" s="342"/>
      <c r="TKF16" s="342"/>
      <c r="TKG16" s="342"/>
      <c r="TKH16" s="343"/>
      <c r="TKI16" s="343"/>
      <c r="TKJ16" s="344"/>
      <c r="TKK16" s="344"/>
      <c r="TKL16" s="344"/>
      <c r="TKM16" s="342"/>
      <c r="TKN16" s="342"/>
      <c r="TKO16" s="342"/>
      <c r="TKP16" s="343"/>
      <c r="TKQ16" s="343"/>
      <c r="TKR16" s="344"/>
      <c r="TKS16" s="344"/>
      <c r="TKT16" s="344"/>
      <c r="TKU16" s="342"/>
      <c r="TKV16" s="342"/>
      <c r="TKW16" s="342"/>
      <c r="TKX16" s="343"/>
      <c r="TKY16" s="343"/>
      <c r="TKZ16" s="344"/>
      <c r="TLA16" s="344"/>
      <c r="TLB16" s="344"/>
      <c r="TLC16" s="342"/>
      <c r="TLD16" s="342"/>
      <c r="TLE16" s="342"/>
      <c r="TLF16" s="343"/>
      <c r="TLG16" s="343"/>
      <c r="TLH16" s="344"/>
      <c r="TLI16" s="344"/>
      <c r="TLJ16" s="344"/>
      <c r="TLK16" s="342"/>
      <c r="TLL16" s="342"/>
      <c r="TLM16" s="342"/>
      <c r="TLN16" s="343"/>
      <c r="TLO16" s="343"/>
      <c r="TLP16" s="344"/>
      <c r="TLQ16" s="344"/>
      <c r="TLR16" s="344"/>
      <c r="TLS16" s="342"/>
      <c r="TLT16" s="342"/>
      <c r="TLU16" s="342"/>
      <c r="TLV16" s="343"/>
      <c r="TLW16" s="343"/>
      <c r="TLX16" s="344"/>
      <c r="TLY16" s="344"/>
      <c r="TLZ16" s="344"/>
      <c r="TMA16" s="342"/>
      <c r="TMB16" s="342"/>
      <c r="TMC16" s="342"/>
      <c r="TMD16" s="343"/>
      <c r="TME16" s="343"/>
      <c r="TMF16" s="344"/>
      <c r="TMG16" s="344"/>
      <c r="TMH16" s="344"/>
      <c r="TMI16" s="342"/>
      <c r="TMJ16" s="342"/>
      <c r="TMK16" s="342"/>
      <c r="TML16" s="343"/>
      <c r="TMM16" s="343"/>
      <c r="TMN16" s="344"/>
      <c r="TMO16" s="344"/>
      <c r="TMP16" s="344"/>
      <c r="TMQ16" s="342"/>
      <c r="TMR16" s="342"/>
      <c r="TMS16" s="342"/>
      <c r="TMT16" s="343"/>
      <c r="TMU16" s="343"/>
      <c r="TMV16" s="344"/>
      <c r="TMW16" s="344"/>
      <c r="TMX16" s="344"/>
      <c r="TMY16" s="342"/>
      <c r="TMZ16" s="342"/>
      <c r="TNA16" s="342"/>
      <c r="TNB16" s="343"/>
      <c r="TNC16" s="343"/>
      <c r="TND16" s="344"/>
      <c r="TNE16" s="344"/>
      <c r="TNF16" s="344"/>
      <c r="TNG16" s="342"/>
      <c r="TNH16" s="342"/>
      <c r="TNI16" s="342"/>
      <c r="TNJ16" s="343"/>
      <c r="TNK16" s="343"/>
      <c r="TNL16" s="344"/>
      <c r="TNM16" s="344"/>
      <c r="TNN16" s="344"/>
      <c r="TNO16" s="342"/>
      <c r="TNP16" s="342"/>
      <c r="TNQ16" s="342"/>
      <c r="TNR16" s="343"/>
      <c r="TNS16" s="343"/>
      <c r="TNT16" s="344"/>
      <c r="TNU16" s="344"/>
      <c r="TNV16" s="344"/>
      <c r="TNW16" s="342"/>
      <c r="TNX16" s="342"/>
      <c r="TNY16" s="342"/>
      <c r="TNZ16" s="343"/>
      <c r="TOA16" s="343"/>
      <c r="TOB16" s="344"/>
      <c r="TOC16" s="344"/>
      <c r="TOD16" s="344"/>
      <c r="TOE16" s="342"/>
      <c r="TOF16" s="342"/>
      <c r="TOG16" s="342"/>
      <c r="TOH16" s="343"/>
      <c r="TOI16" s="343"/>
      <c r="TOJ16" s="344"/>
      <c r="TOK16" s="344"/>
      <c r="TOL16" s="344"/>
      <c r="TOM16" s="342"/>
      <c r="TON16" s="342"/>
      <c r="TOO16" s="342"/>
      <c r="TOP16" s="343"/>
      <c r="TOQ16" s="343"/>
      <c r="TOR16" s="344"/>
      <c r="TOS16" s="344"/>
      <c r="TOT16" s="344"/>
      <c r="TOU16" s="342"/>
      <c r="TOV16" s="342"/>
      <c r="TOW16" s="342"/>
      <c r="TOX16" s="343"/>
      <c r="TOY16" s="343"/>
      <c r="TOZ16" s="344"/>
      <c r="TPA16" s="344"/>
      <c r="TPB16" s="344"/>
      <c r="TPC16" s="342"/>
      <c r="TPD16" s="342"/>
      <c r="TPE16" s="342"/>
      <c r="TPF16" s="343"/>
      <c r="TPG16" s="343"/>
      <c r="TPH16" s="344"/>
      <c r="TPI16" s="344"/>
      <c r="TPJ16" s="344"/>
      <c r="TPK16" s="342"/>
      <c r="TPL16" s="342"/>
      <c r="TPM16" s="342"/>
      <c r="TPN16" s="343"/>
      <c r="TPO16" s="343"/>
      <c r="TPP16" s="344"/>
      <c r="TPQ16" s="344"/>
      <c r="TPR16" s="344"/>
      <c r="TPS16" s="342"/>
      <c r="TPT16" s="342"/>
      <c r="TPU16" s="342"/>
      <c r="TPV16" s="343"/>
      <c r="TPW16" s="343"/>
      <c r="TPX16" s="344"/>
      <c r="TPY16" s="344"/>
      <c r="TPZ16" s="344"/>
      <c r="TQA16" s="342"/>
      <c r="TQB16" s="342"/>
      <c r="TQC16" s="342"/>
      <c r="TQD16" s="343"/>
      <c r="TQE16" s="343"/>
      <c r="TQF16" s="344"/>
      <c r="TQG16" s="344"/>
      <c r="TQH16" s="344"/>
      <c r="TQI16" s="342"/>
      <c r="TQJ16" s="342"/>
      <c r="TQK16" s="342"/>
      <c r="TQL16" s="343"/>
      <c r="TQM16" s="343"/>
      <c r="TQN16" s="344"/>
      <c r="TQO16" s="344"/>
      <c r="TQP16" s="344"/>
      <c r="TQQ16" s="342"/>
      <c r="TQR16" s="342"/>
      <c r="TQS16" s="342"/>
      <c r="TQT16" s="343"/>
      <c r="TQU16" s="343"/>
      <c r="TQV16" s="344"/>
      <c r="TQW16" s="344"/>
      <c r="TQX16" s="344"/>
      <c r="TQY16" s="342"/>
      <c r="TQZ16" s="342"/>
      <c r="TRA16" s="342"/>
      <c r="TRB16" s="343"/>
      <c r="TRC16" s="343"/>
      <c r="TRD16" s="344"/>
      <c r="TRE16" s="344"/>
      <c r="TRF16" s="344"/>
      <c r="TRG16" s="342"/>
      <c r="TRH16" s="342"/>
      <c r="TRI16" s="342"/>
      <c r="TRJ16" s="343"/>
      <c r="TRK16" s="343"/>
      <c r="TRL16" s="344"/>
      <c r="TRM16" s="344"/>
      <c r="TRN16" s="344"/>
      <c r="TRO16" s="342"/>
      <c r="TRP16" s="342"/>
      <c r="TRQ16" s="342"/>
      <c r="TRR16" s="343"/>
      <c r="TRS16" s="343"/>
      <c r="TRT16" s="344"/>
      <c r="TRU16" s="344"/>
      <c r="TRV16" s="344"/>
      <c r="TRW16" s="342"/>
      <c r="TRX16" s="342"/>
      <c r="TRY16" s="342"/>
      <c r="TRZ16" s="343"/>
      <c r="TSA16" s="343"/>
      <c r="TSB16" s="344"/>
      <c r="TSC16" s="344"/>
      <c r="TSD16" s="344"/>
      <c r="TSE16" s="342"/>
      <c r="TSF16" s="342"/>
      <c r="TSG16" s="342"/>
      <c r="TSH16" s="343"/>
      <c r="TSI16" s="343"/>
      <c r="TSJ16" s="344"/>
      <c r="TSK16" s="344"/>
      <c r="TSL16" s="344"/>
      <c r="TSM16" s="342"/>
      <c r="TSN16" s="342"/>
      <c r="TSO16" s="342"/>
      <c r="TSP16" s="343"/>
      <c r="TSQ16" s="343"/>
      <c r="TSR16" s="344"/>
      <c r="TSS16" s="344"/>
      <c r="TST16" s="344"/>
      <c r="TSU16" s="342"/>
      <c r="TSV16" s="342"/>
      <c r="TSW16" s="342"/>
      <c r="TSX16" s="343"/>
      <c r="TSY16" s="343"/>
      <c r="TSZ16" s="344"/>
      <c r="TTA16" s="344"/>
      <c r="TTB16" s="344"/>
      <c r="TTC16" s="342"/>
      <c r="TTD16" s="342"/>
      <c r="TTE16" s="342"/>
      <c r="TTF16" s="343"/>
      <c r="TTG16" s="343"/>
      <c r="TTH16" s="344"/>
      <c r="TTI16" s="344"/>
      <c r="TTJ16" s="344"/>
      <c r="TTK16" s="342"/>
      <c r="TTL16" s="342"/>
      <c r="TTM16" s="342"/>
      <c r="TTN16" s="343"/>
      <c r="TTO16" s="343"/>
      <c r="TTP16" s="344"/>
      <c r="TTQ16" s="344"/>
      <c r="TTR16" s="344"/>
      <c r="TTS16" s="342"/>
      <c r="TTT16" s="342"/>
      <c r="TTU16" s="342"/>
      <c r="TTV16" s="343"/>
      <c r="TTW16" s="343"/>
      <c r="TTX16" s="344"/>
      <c r="TTY16" s="344"/>
      <c r="TTZ16" s="344"/>
      <c r="TUA16" s="342"/>
      <c r="TUB16" s="342"/>
      <c r="TUC16" s="342"/>
      <c r="TUD16" s="343"/>
      <c r="TUE16" s="343"/>
      <c r="TUF16" s="344"/>
      <c r="TUG16" s="344"/>
      <c r="TUH16" s="344"/>
      <c r="TUI16" s="342"/>
      <c r="TUJ16" s="342"/>
      <c r="TUK16" s="342"/>
      <c r="TUL16" s="343"/>
      <c r="TUM16" s="343"/>
      <c r="TUN16" s="344"/>
      <c r="TUO16" s="344"/>
      <c r="TUP16" s="344"/>
      <c r="TUQ16" s="342"/>
      <c r="TUR16" s="342"/>
      <c r="TUS16" s="342"/>
      <c r="TUT16" s="343"/>
      <c r="TUU16" s="343"/>
      <c r="TUV16" s="344"/>
      <c r="TUW16" s="344"/>
      <c r="TUX16" s="344"/>
      <c r="TUY16" s="342"/>
      <c r="TUZ16" s="342"/>
      <c r="TVA16" s="342"/>
      <c r="TVB16" s="343"/>
      <c r="TVC16" s="343"/>
      <c r="TVD16" s="344"/>
      <c r="TVE16" s="344"/>
      <c r="TVF16" s="344"/>
      <c r="TVG16" s="342"/>
      <c r="TVH16" s="342"/>
      <c r="TVI16" s="342"/>
      <c r="TVJ16" s="343"/>
      <c r="TVK16" s="343"/>
      <c r="TVL16" s="344"/>
      <c r="TVM16" s="344"/>
      <c r="TVN16" s="344"/>
      <c r="TVO16" s="342"/>
      <c r="TVP16" s="342"/>
      <c r="TVQ16" s="342"/>
      <c r="TVR16" s="343"/>
      <c r="TVS16" s="343"/>
      <c r="TVT16" s="344"/>
      <c r="TVU16" s="344"/>
      <c r="TVV16" s="344"/>
      <c r="TVW16" s="342"/>
      <c r="TVX16" s="342"/>
      <c r="TVY16" s="342"/>
      <c r="TVZ16" s="343"/>
      <c r="TWA16" s="343"/>
      <c r="TWB16" s="344"/>
      <c r="TWC16" s="344"/>
      <c r="TWD16" s="344"/>
      <c r="TWE16" s="342"/>
      <c r="TWF16" s="342"/>
      <c r="TWG16" s="342"/>
      <c r="TWH16" s="343"/>
      <c r="TWI16" s="343"/>
      <c r="TWJ16" s="344"/>
      <c r="TWK16" s="344"/>
      <c r="TWL16" s="344"/>
      <c r="TWM16" s="342"/>
      <c r="TWN16" s="342"/>
      <c r="TWO16" s="342"/>
      <c r="TWP16" s="343"/>
      <c r="TWQ16" s="343"/>
      <c r="TWR16" s="344"/>
      <c r="TWS16" s="344"/>
      <c r="TWT16" s="344"/>
      <c r="TWU16" s="342"/>
      <c r="TWV16" s="342"/>
      <c r="TWW16" s="342"/>
      <c r="TWX16" s="343"/>
      <c r="TWY16" s="343"/>
      <c r="TWZ16" s="344"/>
      <c r="TXA16" s="344"/>
      <c r="TXB16" s="344"/>
      <c r="TXC16" s="342"/>
      <c r="TXD16" s="342"/>
      <c r="TXE16" s="342"/>
      <c r="TXF16" s="343"/>
      <c r="TXG16" s="343"/>
      <c r="TXH16" s="344"/>
      <c r="TXI16" s="344"/>
      <c r="TXJ16" s="344"/>
      <c r="TXK16" s="342"/>
      <c r="TXL16" s="342"/>
      <c r="TXM16" s="342"/>
      <c r="TXN16" s="343"/>
      <c r="TXO16" s="343"/>
      <c r="TXP16" s="344"/>
      <c r="TXQ16" s="344"/>
      <c r="TXR16" s="344"/>
      <c r="TXS16" s="342"/>
      <c r="TXT16" s="342"/>
      <c r="TXU16" s="342"/>
      <c r="TXV16" s="343"/>
      <c r="TXW16" s="343"/>
      <c r="TXX16" s="344"/>
      <c r="TXY16" s="344"/>
      <c r="TXZ16" s="344"/>
      <c r="TYA16" s="342"/>
      <c r="TYB16" s="342"/>
      <c r="TYC16" s="342"/>
      <c r="TYD16" s="343"/>
      <c r="TYE16" s="343"/>
      <c r="TYF16" s="344"/>
      <c r="TYG16" s="344"/>
      <c r="TYH16" s="344"/>
      <c r="TYI16" s="342"/>
      <c r="TYJ16" s="342"/>
      <c r="TYK16" s="342"/>
      <c r="TYL16" s="343"/>
      <c r="TYM16" s="343"/>
      <c r="TYN16" s="344"/>
      <c r="TYO16" s="344"/>
      <c r="TYP16" s="344"/>
      <c r="TYQ16" s="342"/>
      <c r="TYR16" s="342"/>
      <c r="TYS16" s="342"/>
      <c r="TYT16" s="343"/>
      <c r="TYU16" s="343"/>
      <c r="TYV16" s="344"/>
      <c r="TYW16" s="344"/>
      <c r="TYX16" s="344"/>
      <c r="TYY16" s="342"/>
      <c r="TYZ16" s="342"/>
      <c r="TZA16" s="342"/>
      <c r="TZB16" s="343"/>
      <c r="TZC16" s="343"/>
      <c r="TZD16" s="344"/>
      <c r="TZE16" s="344"/>
      <c r="TZF16" s="344"/>
      <c r="TZG16" s="342"/>
      <c r="TZH16" s="342"/>
      <c r="TZI16" s="342"/>
      <c r="TZJ16" s="343"/>
      <c r="TZK16" s="343"/>
      <c r="TZL16" s="344"/>
      <c r="TZM16" s="344"/>
      <c r="TZN16" s="344"/>
      <c r="TZO16" s="342"/>
      <c r="TZP16" s="342"/>
      <c r="TZQ16" s="342"/>
      <c r="TZR16" s="343"/>
      <c r="TZS16" s="343"/>
      <c r="TZT16" s="344"/>
      <c r="TZU16" s="344"/>
      <c r="TZV16" s="344"/>
      <c r="TZW16" s="342"/>
      <c r="TZX16" s="342"/>
      <c r="TZY16" s="342"/>
      <c r="TZZ16" s="343"/>
      <c r="UAA16" s="343"/>
      <c r="UAB16" s="344"/>
      <c r="UAC16" s="344"/>
      <c r="UAD16" s="344"/>
      <c r="UAE16" s="342"/>
      <c r="UAF16" s="342"/>
      <c r="UAG16" s="342"/>
      <c r="UAH16" s="343"/>
      <c r="UAI16" s="343"/>
      <c r="UAJ16" s="344"/>
      <c r="UAK16" s="344"/>
      <c r="UAL16" s="344"/>
      <c r="UAM16" s="342"/>
      <c r="UAN16" s="342"/>
      <c r="UAO16" s="342"/>
      <c r="UAP16" s="343"/>
      <c r="UAQ16" s="343"/>
      <c r="UAR16" s="344"/>
      <c r="UAS16" s="344"/>
      <c r="UAT16" s="344"/>
      <c r="UAU16" s="342"/>
      <c r="UAV16" s="342"/>
      <c r="UAW16" s="342"/>
      <c r="UAX16" s="343"/>
      <c r="UAY16" s="343"/>
      <c r="UAZ16" s="344"/>
      <c r="UBA16" s="344"/>
      <c r="UBB16" s="344"/>
      <c r="UBC16" s="342"/>
      <c r="UBD16" s="342"/>
      <c r="UBE16" s="342"/>
      <c r="UBF16" s="343"/>
      <c r="UBG16" s="343"/>
      <c r="UBH16" s="344"/>
      <c r="UBI16" s="344"/>
      <c r="UBJ16" s="344"/>
      <c r="UBK16" s="342"/>
      <c r="UBL16" s="342"/>
      <c r="UBM16" s="342"/>
      <c r="UBN16" s="343"/>
      <c r="UBO16" s="343"/>
      <c r="UBP16" s="344"/>
      <c r="UBQ16" s="344"/>
      <c r="UBR16" s="344"/>
      <c r="UBS16" s="342"/>
      <c r="UBT16" s="342"/>
      <c r="UBU16" s="342"/>
      <c r="UBV16" s="343"/>
      <c r="UBW16" s="343"/>
      <c r="UBX16" s="344"/>
      <c r="UBY16" s="344"/>
      <c r="UBZ16" s="344"/>
      <c r="UCA16" s="342"/>
      <c r="UCB16" s="342"/>
      <c r="UCC16" s="342"/>
      <c r="UCD16" s="343"/>
      <c r="UCE16" s="343"/>
      <c r="UCF16" s="344"/>
      <c r="UCG16" s="344"/>
      <c r="UCH16" s="344"/>
      <c r="UCI16" s="342"/>
      <c r="UCJ16" s="342"/>
      <c r="UCK16" s="342"/>
      <c r="UCL16" s="343"/>
      <c r="UCM16" s="343"/>
      <c r="UCN16" s="344"/>
      <c r="UCO16" s="344"/>
      <c r="UCP16" s="344"/>
      <c r="UCQ16" s="342"/>
      <c r="UCR16" s="342"/>
      <c r="UCS16" s="342"/>
      <c r="UCT16" s="343"/>
      <c r="UCU16" s="343"/>
      <c r="UCV16" s="344"/>
      <c r="UCW16" s="344"/>
      <c r="UCX16" s="344"/>
      <c r="UCY16" s="342"/>
      <c r="UCZ16" s="342"/>
      <c r="UDA16" s="342"/>
      <c r="UDB16" s="343"/>
      <c r="UDC16" s="343"/>
      <c r="UDD16" s="344"/>
      <c r="UDE16" s="344"/>
      <c r="UDF16" s="344"/>
      <c r="UDG16" s="342"/>
      <c r="UDH16" s="342"/>
      <c r="UDI16" s="342"/>
      <c r="UDJ16" s="343"/>
      <c r="UDK16" s="343"/>
      <c r="UDL16" s="344"/>
      <c r="UDM16" s="344"/>
      <c r="UDN16" s="344"/>
      <c r="UDO16" s="342"/>
      <c r="UDP16" s="342"/>
      <c r="UDQ16" s="342"/>
      <c r="UDR16" s="343"/>
      <c r="UDS16" s="343"/>
      <c r="UDT16" s="344"/>
      <c r="UDU16" s="344"/>
      <c r="UDV16" s="344"/>
      <c r="UDW16" s="342"/>
      <c r="UDX16" s="342"/>
      <c r="UDY16" s="342"/>
      <c r="UDZ16" s="343"/>
      <c r="UEA16" s="343"/>
      <c r="UEB16" s="344"/>
      <c r="UEC16" s="344"/>
      <c r="UED16" s="344"/>
      <c r="UEE16" s="342"/>
      <c r="UEF16" s="342"/>
      <c r="UEG16" s="342"/>
      <c r="UEH16" s="343"/>
      <c r="UEI16" s="343"/>
      <c r="UEJ16" s="344"/>
      <c r="UEK16" s="344"/>
      <c r="UEL16" s="344"/>
      <c r="UEM16" s="342"/>
      <c r="UEN16" s="342"/>
      <c r="UEO16" s="342"/>
      <c r="UEP16" s="343"/>
      <c r="UEQ16" s="343"/>
      <c r="UER16" s="344"/>
      <c r="UES16" s="344"/>
      <c r="UET16" s="344"/>
      <c r="UEU16" s="342"/>
      <c r="UEV16" s="342"/>
      <c r="UEW16" s="342"/>
      <c r="UEX16" s="343"/>
      <c r="UEY16" s="343"/>
      <c r="UEZ16" s="344"/>
      <c r="UFA16" s="344"/>
      <c r="UFB16" s="344"/>
      <c r="UFC16" s="342"/>
      <c r="UFD16" s="342"/>
      <c r="UFE16" s="342"/>
      <c r="UFF16" s="343"/>
      <c r="UFG16" s="343"/>
      <c r="UFH16" s="344"/>
      <c r="UFI16" s="344"/>
      <c r="UFJ16" s="344"/>
      <c r="UFK16" s="342"/>
      <c r="UFL16" s="342"/>
      <c r="UFM16" s="342"/>
      <c r="UFN16" s="343"/>
      <c r="UFO16" s="343"/>
      <c r="UFP16" s="344"/>
      <c r="UFQ16" s="344"/>
      <c r="UFR16" s="344"/>
      <c r="UFS16" s="342"/>
      <c r="UFT16" s="342"/>
      <c r="UFU16" s="342"/>
      <c r="UFV16" s="343"/>
      <c r="UFW16" s="343"/>
      <c r="UFX16" s="344"/>
      <c r="UFY16" s="344"/>
      <c r="UFZ16" s="344"/>
      <c r="UGA16" s="342"/>
      <c r="UGB16" s="342"/>
      <c r="UGC16" s="342"/>
      <c r="UGD16" s="343"/>
      <c r="UGE16" s="343"/>
      <c r="UGF16" s="344"/>
      <c r="UGG16" s="344"/>
      <c r="UGH16" s="344"/>
      <c r="UGI16" s="342"/>
      <c r="UGJ16" s="342"/>
      <c r="UGK16" s="342"/>
      <c r="UGL16" s="343"/>
      <c r="UGM16" s="343"/>
      <c r="UGN16" s="344"/>
      <c r="UGO16" s="344"/>
      <c r="UGP16" s="344"/>
      <c r="UGQ16" s="342"/>
      <c r="UGR16" s="342"/>
      <c r="UGS16" s="342"/>
      <c r="UGT16" s="343"/>
      <c r="UGU16" s="343"/>
      <c r="UGV16" s="344"/>
      <c r="UGW16" s="344"/>
      <c r="UGX16" s="344"/>
      <c r="UGY16" s="342"/>
      <c r="UGZ16" s="342"/>
      <c r="UHA16" s="342"/>
      <c r="UHB16" s="343"/>
      <c r="UHC16" s="343"/>
      <c r="UHD16" s="344"/>
      <c r="UHE16" s="344"/>
      <c r="UHF16" s="344"/>
      <c r="UHG16" s="342"/>
      <c r="UHH16" s="342"/>
      <c r="UHI16" s="342"/>
      <c r="UHJ16" s="343"/>
      <c r="UHK16" s="343"/>
      <c r="UHL16" s="344"/>
      <c r="UHM16" s="344"/>
      <c r="UHN16" s="344"/>
      <c r="UHO16" s="342"/>
      <c r="UHP16" s="342"/>
      <c r="UHQ16" s="342"/>
      <c r="UHR16" s="343"/>
      <c r="UHS16" s="343"/>
      <c r="UHT16" s="344"/>
      <c r="UHU16" s="344"/>
      <c r="UHV16" s="344"/>
      <c r="UHW16" s="342"/>
      <c r="UHX16" s="342"/>
      <c r="UHY16" s="342"/>
      <c r="UHZ16" s="343"/>
      <c r="UIA16" s="343"/>
      <c r="UIB16" s="344"/>
      <c r="UIC16" s="344"/>
      <c r="UID16" s="344"/>
      <c r="UIE16" s="342"/>
      <c r="UIF16" s="342"/>
      <c r="UIG16" s="342"/>
      <c r="UIH16" s="343"/>
      <c r="UII16" s="343"/>
      <c r="UIJ16" s="344"/>
      <c r="UIK16" s="344"/>
      <c r="UIL16" s="344"/>
      <c r="UIM16" s="342"/>
      <c r="UIN16" s="342"/>
      <c r="UIO16" s="342"/>
      <c r="UIP16" s="343"/>
      <c r="UIQ16" s="343"/>
      <c r="UIR16" s="344"/>
      <c r="UIS16" s="344"/>
      <c r="UIT16" s="344"/>
      <c r="UIU16" s="342"/>
      <c r="UIV16" s="342"/>
      <c r="UIW16" s="342"/>
      <c r="UIX16" s="343"/>
      <c r="UIY16" s="343"/>
      <c r="UIZ16" s="344"/>
      <c r="UJA16" s="344"/>
      <c r="UJB16" s="344"/>
      <c r="UJC16" s="342"/>
      <c r="UJD16" s="342"/>
      <c r="UJE16" s="342"/>
      <c r="UJF16" s="343"/>
      <c r="UJG16" s="343"/>
      <c r="UJH16" s="344"/>
      <c r="UJI16" s="344"/>
      <c r="UJJ16" s="344"/>
      <c r="UJK16" s="342"/>
      <c r="UJL16" s="342"/>
      <c r="UJM16" s="342"/>
      <c r="UJN16" s="343"/>
      <c r="UJO16" s="343"/>
      <c r="UJP16" s="344"/>
      <c r="UJQ16" s="344"/>
      <c r="UJR16" s="344"/>
      <c r="UJS16" s="342"/>
      <c r="UJT16" s="342"/>
      <c r="UJU16" s="342"/>
      <c r="UJV16" s="343"/>
      <c r="UJW16" s="343"/>
      <c r="UJX16" s="344"/>
      <c r="UJY16" s="344"/>
      <c r="UJZ16" s="344"/>
      <c r="UKA16" s="342"/>
      <c r="UKB16" s="342"/>
      <c r="UKC16" s="342"/>
      <c r="UKD16" s="343"/>
      <c r="UKE16" s="343"/>
      <c r="UKF16" s="344"/>
      <c r="UKG16" s="344"/>
      <c r="UKH16" s="344"/>
      <c r="UKI16" s="342"/>
      <c r="UKJ16" s="342"/>
      <c r="UKK16" s="342"/>
      <c r="UKL16" s="343"/>
      <c r="UKM16" s="343"/>
      <c r="UKN16" s="344"/>
      <c r="UKO16" s="344"/>
      <c r="UKP16" s="344"/>
      <c r="UKQ16" s="342"/>
      <c r="UKR16" s="342"/>
      <c r="UKS16" s="342"/>
      <c r="UKT16" s="343"/>
      <c r="UKU16" s="343"/>
      <c r="UKV16" s="344"/>
      <c r="UKW16" s="344"/>
      <c r="UKX16" s="344"/>
      <c r="UKY16" s="342"/>
      <c r="UKZ16" s="342"/>
      <c r="ULA16" s="342"/>
      <c r="ULB16" s="343"/>
      <c r="ULC16" s="343"/>
      <c r="ULD16" s="344"/>
      <c r="ULE16" s="344"/>
      <c r="ULF16" s="344"/>
      <c r="ULG16" s="342"/>
      <c r="ULH16" s="342"/>
      <c r="ULI16" s="342"/>
      <c r="ULJ16" s="343"/>
      <c r="ULK16" s="343"/>
      <c r="ULL16" s="344"/>
      <c r="ULM16" s="344"/>
      <c r="ULN16" s="344"/>
      <c r="ULO16" s="342"/>
      <c r="ULP16" s="342"/>
      <c r="ULQ16" s="342"/>
      <c r="ULR16" s="343"/>
      <c r="ULS16" s="343"/>
      <c r="ULT16" s="344"/>
      <c r="ULU16" s="344"/>
      <c r="ULV16" s="344"/>
      <c r="ULW16" s="342"/>
      <c r="ULX16" s="342"/>
      <c r="ULY16" s="342"/>
      <c r="ULZ16" s="343"/>
      <c r="UMA16" s="343"/>
      <c r="UMB16" s="344"/>
      <c r="UMC16" s="344"/>
      <c r="UMD16" s="344"/>
      <c r="UME16" s="342"/>
      <c r="UMF16" s="342"/>
      <c r="UMG16" s="342"/>
      <c r="UMH16" s="343"/>
      <c r="UMI16" s="343"/>
      <c r="UMJ16" s="344"/>
      <c r="UMK16" s="344"/>
      <c r="UML16" s="344"/>
      <c r="UMM16" s="342"/>
      <c r="UMN16" s="342"/>
      <c r="UMO16" s="342"/>
      <c r="UMP16" s="343"/>
      <c r="UMQ16" s="343"/>
      <c r="UMR16" s="344"/>
      <c r="UMS16" s="344"/>
      <c r="UMT16" s="344"/>
      <c r="UMU16" s="342"/>
      <c r="UMV16" s="342"/>
      <c r="UMW16" s="342"/>
      <c r="UMX16" s="343"/>
      <c r="UMY16" s="343"/>
      <c r="UMZ16" s="344"/>
      <c r="UNA16" s="344"/>
      <c r="UNB16" s="344"/>
      <c r="UNC16" s="342"/>
      <c r="UND16" s="342"/>
      <c r="UNE16" s="342"/>
      <c r="UNF16" s="343"/>
      <c r="UNG16" s="343"/>
      <c r="UNH16" s="344"/>
      <c r="UNI16" s="344"/>
      <c r="UNJ16" s="344"/>
      <c r="UNK16" s="342"/>
      <c r="UNL16" s="342"/>
      <c r="UNM16" s="342"/>
      <c r="UNN16" s="343"/>
      <c r="UNO16" s="343"/>
      <c r="UNP16" s="344"/>
      <c r="UNQ16" s="344"/>
      <c r="UNR16" s="344"/>
      <c r="UNS16" s="342"/>
      <c r="UNT16" s="342"/>
      <c r="UNU16" s="342"/>
      <c r="UNV16" s="343"/>
      <c r="UNW16" s="343"/>
      <c r="UNX16" s="344"/>
      <c r="UNY16" s="344"/>
      <c r="UNZ16" s="344"/>
      <c r="UOA16" s="342"/>
      <c r="UOB16" s="342"/>
      <c r="UOC16" s="342"/>
      <c r="UOD16" s="343"/>
      <c r="UOE16" s="343"/>
      <c r="UOF16" s="344"/>
      <c r="UOG16" s="344"/>
      <c r="UOH16" s="344"/>
      <c r="UOI16" s="342"/>
      <c r="UOJ16" s="342"/>
      <c r="UOK16" s="342"/>
      <c r="UOL16" s="343"/>
      <c r="UOM16" s="343"/>
      <c r="UON16" s="344"/>
      <c r="UOO16" s="344"/>
      <c r="UOP16" s="344"/>
      <c r="UOQ16" s="342"/>
      <c r="UOR16" s="342"/>
      <c r="UOS16" s="342"/>
      <c r="UOT16" s="343"/>
      <c r="UOU16" s="343"/>
      <c r="UOV16" s="344"/>
      <c r="UOW16" s="344"/>
      <c r="UOX16" s="344"/>
      <c r="UOY16" s="342"/>
      <c r="UOZ16" s="342"/>
      <c r="UPA16" s="342"/>
      <c r="UPB16" s="343"/>
      <c r="UPC16" s="343"/>
      <c r="UPD16" s="344"/>
      <c r="UPE16" s="344"/>
      <c r="UPF16" s="344"/>
      <c r="UPG16" s="342"/>
      <c r="UPH16" s="342"/>
      <c r="UPI16" s="342"/>
      <c r="UPJ16" s="343"/>
      <c r="UPK16" s="343"/>
      <c r="UPL16" s="344"/>
      <c r="UPM16" s="344"/>
      <c r="UPN16" s="344"/>
      <c r="UPO16" s="342"/>
      <c r="UPP16" s="342"/>
      <c r="UPQ16" s="342"/>
      <c r="UPR16" s="343"/>
      <c r="UPS16" s="343"/>
      <c r="UPT16" s="344"/>
      <c r="UPU16" s="344"/>
      <c r="UPV16" s="344"/>
      <c r="UPW16" s="342"/>
      <c r="UPX16" s="342"/>
      <c r="UPY16" s="342"/>
      <c r="UPZ16" s="343"/>
      <c r="UQA16" s="343"/>
      <c r="UQB16" s="344"/>
      <c r="UQC16" s="344"/>
      <c r="UQD16" s="344"/>
      <c r="UQE16" s="342"/>
      <c r="UQF16" s="342"/>
      <c r="UQG16" s="342"/>
      <c r="UQH16" s="343"/>
      <c r="UQI16" s="343"/>
      <c r="UQJ16" s="344"/>
      <c r="UQK16" s="344"/>
      <c r="UQL16" s="344"/>
      <c r="UQM16" s="342"/>
      <c r="UQN16" s="342"/>
      <c r="UQO16" s="342"/>
      <c r="UQP16" s="343"/>
      <c r="UQQ16" s="343"/>
      <c r="UQR16" s="344"/>
      <c r="UQS16" s="344"/>
      <c r="UQT16" s="344"/>
      <c r="UQU16" s="342"/>
      <c r="UQV16" s="342"/>
      <c r="UQW16" s="342"/>
      <c r="UQX16" s="343"/>
      <c r="UQY16" s="343"/>
      <c r="UQZ16" s="344"/>
      <c r="URA16" s="344"/>
      <c r="URB16" s="344"/>
      <c r="URC16" s="342"/>
      <c r="URD16" s="342"/>
      <c r="URE16" s="342"/>
      <c r="URF16" s="343"/>
      <c r="URG16" s="343"/>
      <c r="URH16" s="344"/>
      <c r="URI16" s="344"/>
      <c r="URJ16" s="344"/>
      <c r="URK16" s="342"/>
      <c r="URL16" s="342"/>
      <c r="URM16" s="342"/>
      <c r="URN16" s="343"/>
      <c r="URO16" s="343"/>
      <c r="URP16" s="344"/>
      <c r="URQ16" s="344"/>
      <c r="URR16" s="344"/>
      <c r="URS16" s="342"/>
      <c r="URT16" s="342"/>
      <c r="URU16" s="342"/>
      <c r="URV16" s="343"/>
      <c r="URW16" s="343"/>
      <c r="URX16" s="344"/>
      <c r="URY16" s="344"/>
      <c r="URZ16" s="344"/>
      <c r="USA16" s="342"/>
      <c r="USB16" s="342"/>
      <c r="USC16" s="342"/>
      <c r="USD16" s="343"/>
      <c r="USE16" s="343"/>
      <c r="USF16" s="344"/>
      <c r="USG16" s="344"/>
      <c r="USH16" s="344"/>
      <c r="USI16" s="342"/>
      <c r="USJ16" s="342"/>
      <c r="USK16" s="342"/>
      <c r="USL16" s="343"/>
      <c r="USM16" s="343"/>
      <c r="USN16" s="344"/>
      <c r="USO16" s="344"/>
      <c r="USP16" s="344"/>
      <c r="USQ16" s="342"/>
      <c r="USR16" s="342"/>
      <c r="USS16" s="342"/>
      <c r="UST16" s="343"/>
      <c r="USU16" s="343"/>
      <c r="USV16" s="344"/>
      <c r="USW16" s="344"/>
      <c r="USX16" s="344"/>
      <c r="USY16" s="342"/>
      <c r="USZ16" s="342"/>
      <c r="UTA16" s="342"/>
      <c r="UTB16" s="343"/>
      <c r="UTC16" s="343"/>
      <c r="UTD16" s="344"/>
      <c r="UTE16" s="344"/>
      <c r="UTF16" s="344"/>
      <c r="UTG16" s="342"/>
      <c r="UTH16" s="342"/>
      <c r="UTI16" s="342"/>
      <c r="UTJ16" s="343"/>
      <c r="UTK16" s="343"/>
      <c r="UTL16" s="344"/>
      <c r="UTM16" s="344"/>
      <c r="UTN16" s="344"/>
      <c r="UTO16" s="342"/>
      <c r="UTP16" s="342"/>
      <c r="UTQ16" s="342"/>
      <c r="UTR16" s="343"/>
      <c r="UTS16" s="343"/>
      <c r="UTT16" s="344"/>
      <c r="UTU16" s="344"/>
      <c r="UTV16" s="344"/>
      <c r="UTW16" s="342"/>
      <c r="UTX16" s="342"/>
      <c r="UTY16" s="342"/>
      <c r="UTZ16" s="343"/>
      <c r="UUA16" s="343"/>
      <c r="UUB16" s="344"/>
      <c r="UUC16" s="344"/>
      <c r="UUD16" s="344"/>
      <c r="UUE16" s="342"/>
      <c r="UUF16" s="342"/>
      <c r="UUG16" s="342"/>
      <c r="UUH16" s="343"/>
      <c r="UUI16" s="343"/>
      <c r="UUJ16" s="344"/>
      <c r="UUK16" s="344"/>
      <c r="UUL16" s="344"/>
      <c r="UUM16" s="342"/>
      <c r="UUN16" s="342"/>
      <c r="UUO16" s="342"/>
      <c r="UUP16" s="343"/>
      <c r="UUQ16" s="343"/>
      <c r="UUR16" s="344"/>
      <c r="UUS16" s="344"/>
      <c r="UUT16" s="344"/>
      <c r="UUU16" s="342"/>
      <c r="UUV16" s="342"/>
      <c r="UUW16" s="342"/>
      <c r="UUX16" s="343"/>
      <c r="UUY16" s="343"/>
      <c r="UUZ16" s="344"/>
      <c r="UVA16" s="344"/>
      <c r="UVB16" s="344"/>
      <c r="UVC16" s="342"/>
      <c r="UVD16" s="342"/>
      <c r="UVE16" s="342"/>
      <c r="UVF16" s="343"/>
      <c r="UVG16" s="343"/>
      <c r="UVH16" s="344"/>
      <c r="UVI16" s="344"/>
      <c r="UVJ16" s="344"/>
      <c r="UVK16" s="342"/>
      <c r="UVL16" s="342"/>
      <c r="UVM16" s="342"/>
      <c r="UVN16" s="343"/>
      <c r="UVO16" s="343"/>
      <c r="UVP16" s="344"/>
      <c r="UVQ16" s="344"/>
      <c r="UVR16" s="344"/>
      <c r="UVS16" s="342"/>
      <c r="UVT16" s="342"/>
      <c r="UVU16" s="342"/>
      <c r="UVV16" s="343"/>
      <c r="UVW16" s="343"/>
      <c r="UVX16" s="344"/>
      <c r="UVY16" s="344"/>
      <c r="UVZ16" s="344"/>
      <c r="UWA16" s="342"/>
      <c r="UWB16" s="342"/>
      <c r="UWC16" s="342"/>
      <c r="UWD16" s="343"/>
      <c r="UWE16" s="343"/>
      <c r="UWF16" s="344"/>
      <c r="UWG16" s="344"/>
      <c r="UWH16" s="344"/>
      <c r="UWI16" s="342"/>
      <c r="UWJ16" s="342"/>
      <c r="UWK16" s="342"/>
      <c r="UWL16" s="343"/>
      <c r="UWM16" s="343"/>
      <c r="UWN16" s="344"/>
      <c r="UWO16" s="344"/>
      <c r="UWP16" s="344"/>
      <c r="UWQ16" s="342"/>
      <c r="UWR16" s="342"/>
      <c r="UWS16" s="342"/>
      <c r="UWT16" s="343"/>
      <c r="UWU16" s="343"/>
      <c r="UWV16" s="344"/>
      <c r="UWW16" s="344"/>
      <c r="UWX16" s="344"/>
      <c r="UWY16" s="342"/>
      <c r="UWZ16" s="342"/>
      <c r="UXA16" s="342"/>
      <c r="UXB16" s="343"/>
      <c r="UXC16" s="343"/>
      <c r="UXD16" s="344"/>
      <c r="UXE16" s="344"/>
      <c r="UXF16" s="344"/>
      <c r="UXG16" s="342"/>
      <c r="UXH16" s="342"/>
      <c r="UXI16" s="342"/>
      <c r="UXJ16" s="343"/>
      <c r="UXK16" s="343"/>
      <c r="UXL16" s="344"/>
      <c r="UXM16" s="344"/>
      <c r="UXN16" s="344"/>
      <c r="UXO16" s="342"/>
      <c r="UXP16" s="342"/>
      <c r="UXQ16" s="342"/>
      <c r="UXR16" s="343"/>
      <c r="UXS16" s="343"/>
      <c r="UXT16" s="344"/>
      <c r="UXU16" s="344"/>
      <c r="UXV16" s="344"/>
      <c r="UXW16" s="342"/>
      <c r="UXX16" s="342"/>
      <c r="UXY16" s="342"/>
      <c r="UXZ16" s="343"/>
      <c r="UYA16" s="343"/>
      <c r="UYB16" s="344"/>
      <c r="UYC16" s="344"/>
      <c r="UYD16" s="344"/>
      <c r="UYE16" s="342"/>
      <c r="UYF16" s="342"/>
      <c r="UYG16" s="342"/>
      <c r="UYH16" s="343"/>
      <c r="UYI16" s="343"/>
      <c r="UYJ16" s="344"/>
      <c r="UYK16" s="344"/>
      <c r="UYL16" s="344"/>
      <c r="UYM16" s="342"/>
      <c r="UYN16" s="342"/>
      <c r="UYO16" s="342"/>
      <c r="UYP16" s="343"/>
      <c r="UYQ16" s="343"/>
      <c r="UYR16" s="344"/>
      <c r="UYS16" s="344"/>
      <c r="UYT16" s="344"/>
      <c r="UYU16" s="342"/>
      <c r="UYV16" s="342"/>
      <c r="UYW16" s="342"/>
      <c r="UYX16" s="343"/>
      <c r="UYY16" s="343"/>
      <c r="UYZ16" s="344"/>
      <c r="UZA16" s="344"/>
      <c r="UZB16" s="344"/>
      <c r="UZC16" s="342"/>
      <c r="UZD16" s="342"/>
      <c r="UZE16" s="342"/>
      <c r="UZF16" s="343"/>
      <c r="UZG16" s="343"/>
      <c r="UZH16" s="344"/>
      <c r="UZI16" s="344"/>
      <c r="UZJ16" s="344"/>
      <c r="UZK16" s="342"/>
      <c r="UZL16" s="342"/>
      <c r="UZM16" s="342"/>
      <c r="UZN16" s="343"/>
      <c r="UZO16" s="343"/>
      <c r="UZP16" s="344"/>
      <c r="UZQ16" s="344"/>
      <c r="UZR16" s="344"/>
      <c r="UZS16" s="342"/>
      <c r="UZT16" s="342"/>
      <c r="UZU16" s="342"/>
      <c r="UZV16" s="343"/>
      <c r="UZW16" s="343"/>
      <c r="UZX16" s="344"/>
      <c r="UZY16" s="344"/>
      <c r="UZZ16" s="344"/>
      <c r="VAA16" s="342"/>
      <c r="VAB16" s="342"/>
      <c r="VAC16" s="342"/>
      <c r="VAD16" s="343"/>
      <c r="VAE16" s="343"/>
      <c r="VAF16" s="344"/>
      <c r="VAG16" s="344"/>
      <c r="VAH16" s="344"/>
      <c r="VAI16" s="342"/>
      <c r="VAJ16" s="342"/>
      <c r="VAK16" s="342"/>
      <c r="VAL16" s="343"/>
      <c r="VAM16" s="343"/>
      <c r="VAN16" s="344"/>
      <c r="VAO16" s="344"/>
      <c r="VAP16" s="344"/>
      <c r="VAQ16" s="342"/>
      <c r="VAR16" s="342"/>
      <c r="VAS16" s="342"/>
      <c r="VAT16" s="343"/>
      <c r="VAU16" s="343"/>
      <c r="VAV16" s="344"/>
      <c r="VAW16" s="344"/>
      <c r="VAX16" s="344"/>
      <c r="VAY16" s="342"/>
      <c r="VAZ16" s="342"/>
      <c r="VBA16" s="342"/>
      <c r="VBB16" s="343"/>
      <c r="VBC16" s="343"/>
      <c r="VBD16" s="344"/>
      <c r="VBE16" s="344"/>
      <c r="VBF16" s="344"/>
      <c r="VBG16" s="342"/>
      <c r="VBH16" s="342"/>
      <c r="VBI16" s="342"/>
      <c r="VBJ16" s="343"/>
      <c r="VBK16" s="343"/>
      <c r="VBL16" s="344"/>
      <c r="VBM16" s="344"/>
      <c r="VBN16" s="344"/>
      <c r="VBO16" s="342"/>
      <c r="VBP16" s="342"/>
      <c r="VBQ16" s="342"/>
      <c r="VBR16" s="343"/>
      <c r="VBS16" s="343"/>
      <c r="VBT16" s="344"/>
      <c r="VBU16" s="344"/>
      <c r="VBV16" s="344"/>
      <c r="VBW16" s="342"/>
      <c r="VBX16" s="342"/>
      <c r="VBY16" s="342"/>
      <c r="VBZ16" s="343"/>
      <c r="VCA16" s="343"/>
      <c r="VCB16" s="344"/>
      <c r="VCC16" s="344"/>
      <c r="VCD16" s="344"/>
      <c r="VCE16" s="342"/>
      <c r="VCF16" s="342"/>
      <c r="VCG16" s="342"/>
      <c r="VCH16" s="343"/>
      <c r="VCI16" s="343"/>
      <c r="VCJ16" s="344"/>
      <c r="VCK16" s="344"/>
      <c r="VCL16" s="344"/>
      <c r="VCM16" s="342"/>
      <c r="VCN16" s="342"/>
      <c r="VCO16" s="342"/>
      <c r="VCP16" s="343"/>
      <c r="VCQ16" s="343"/>
      <c r="VCR16" s="344"/>
      <c r="VCS16" s="344"/>
      <c r="VCT16" s="344"/>
      <c r="VCU16" s="342"/>
      <c r="VCV16" s="342"/>
      <c r="VCW16" s="342"/>
      <c r="VCX16" s="343"/>
      <c r="VCY16" s="343"/>
      <c r="VCZ16" s="344"/>
      <c r="VDA16" s="344"/>
      <c r="VDB16" s="344"/>
      <c r="VDC16" s="342"/>
      <c r="VDD16" s="342"/>
      <c r="VDE16" s="342"/>
      <c r="VDF16" s="343"/>
      <c r="VDG16" s="343"/>
      <c r="VDH16" s="344"/>
      <c r="VDI16" s="344"/>
      <c r="VDJ16" s="344"/>
      <c r="VDK16" s="342"/>
      <c r="VDL16" s="342"/>
      <c r="VDM16" s="342"/>
      <c r="VDN16" s="343"/>
      <c r="VDO16" s="343"/>
      <c r="VDP16" s="344"/>
      <c r="VDQ16" s="344"/>
      <c r="VDR16" s="344"/>
      <c r="VDS16" s="342"/>
      <c r="VDT16" s="342"/>
      <c r="VDU16" s="342"/>
      <c r="VDV16" s="343"/>
      <c r="VDW16" s="343"/>
      <c r="VDX16" s="344"/>
      <c r="VDY16" s="344"/>
      <c r="VDZ16" s="344"/>
      <c r="VEA16" s="342"/>
      <c r="VEB16" s="342"/>
      <c r="VEC16" s="342"/>
      <c r="VED16" s="343"/>
      <c r="VEE16" s="343"/>
      <c r="VEF16" s="344"/>
      <c r="VEG16" s="344"/>
      <c r="VEH16" s="344"/>
      <c r="VEI16" s="342"/>
      <c r="VEJ16" s="342"/>
      <c r="VEK16" s="342"/>
      <c r="VEL16" s="343"/>
      <c r="VEM16" s="343"/>
      <c r="VEN16" s="344"/>
      <c r="VEO16" s="344"/>
      <c r="VEP16" s="344"/>
      <c r="VEQ16" s="342"/>
      <c r="VER16" s="342"/>
      <c r="VES16" s="342"/>
      <c r="VET16" s="343"/>
      <c r="VEU16" s="343"/>
      <c r="VEV16" s="344"/>
      <c r="VEW16" s="344"/>
      <c r="VEX16" s="344"/>
      <c r="VEY16" s="342"/>
      <c r="VEZ16" s="342"/>
      <c r="VFA16" s="342"/>
      <c r="VFB16" s="343"/>
      <c r="VFC16" s="343"/>
      <c r="VFD16" s="344"/>
      <c r="VFE16" s="344"/>
      <c r="VFF16" s="344"/>
      <c r="VFG16" s="342"/>
      <c r="VFH16" s="342"/>
      <c r="VFI16" s="342"/>
      <c r="VFJ16" s="343"/>
      <c r="VFK16" s="343"/>
      <c r="VFL16" s="344"/>
      <c r="VFM16" s="344"/>
      <c r="VFN16" s="344"/>
      <c r="VFO16" s="342"/>
      <c r="VFP16" s="342"/>
      <c r="VFQ16" s="342"/>
      <c r="VFR16" s="343"/>
      <c r="VFS16" s="343"/>
      <c r="VFT16" s="344"/>
      <c r="VFU16" s="344"/>
      <c r="VFV16" s="344"/>
      <c r="VFW16" s="342"/>
      <c r="VFX16" s="342"/>
      <c r="VFY16" s="342"/>
      <c r="VFZ16" s="343"/>
      <c r="VGA16" s="343"/>
      <c r="VGB16" s="344"/>
      <c r="VGC16" s="344"/>
      <c r="VGD16" s="344"/>
      <c r="VGE16" s="342"/>
      <c r="VGF16" s="342"/>
      <c r="VGG16" s="342"/>
      <c r="VGH16" s="343"/>
      <c r="VGI16" s="343"/>
      <c r="VGJ16" s="344"/>
      <c r="VGK16" s="344"/>
      <c r="VGL16" s="344"/>
      <c r="VGM16" s="342"/>
      <c r="VGN16" s="342"/>
      <c r="VGO16" s="342"/>
      <c r="VGP16" s="343"/>
      <c r="VGQ16" s="343"/>
      <c r="VGR16" s="344"/>
      <c r="VGS16" s="344"/>
      <c r="VGT16" s="344"/>
      <c r="VGU16" s="342"/>
      <c r="VGV16" s="342"/>
      <c r="VGW16" s="342"/>
      <c r="VGX16" s="343"/>
      <c r="VGY16" s="343"/>
      <c r="VGZ16" s="344"/>
      <c r="VHA16" s="344"/>
      <c r="VHB16" s="344"/>
      <c r="VHC16" s="342"/>
      <c r="VHD16" s="342"/>
      <c r="VHE16" s="342"/>
      <c r="VHF16" s="343"/>
      <c r="VHG16" s="343"/>
      <c r="VHH16" s="344"/>
      <c r="VHI16" s="344"/>
      <c r="VHJ16" s="344"/>
      <c r="VHK16" s="342"/>
      <c r="VHL16" s="342"/>
      <c r="VHM16" s="342"/>
      <c r="VHN16" s="343"/>
      <c r="VHO16" s="343"/>
      <c r="VHP16" s="344"/>
      <c r="VHQ16" s="344"/>
      <c r="VHR16" s="344"/>
      <c r="VHS16" s="342"/>
      <c r="VHT16" s="342"/>
      <c r="VHU16" s="342"/>
      <c r="VHV16" s="343"/>
      <c r="VHW16" s="343"/>
      <c r="VHX16" s="344"/>
      <c r="VHY16" s="344"/>
      <c r="VHZ16" s="344"/>
      <c r="VIA16" s="342"/>
      <c r="VIB16" s="342"/>
      <c r="VIC16" s="342"/>
      <c r="VID16" s="343"/>
      <c r="VIE16" s="343"/>
      <c r="VIF16" s="344"/>
      <c r="VIG16" s="344"/>
      <c r="VIH16" s="344"/>
      <c r="VII16" s="342"/>
      <c r="VIJ16" s="342"/>
      <c r="VIK16" s="342"/>
      <c r="VIL16" s="343"/>
      <c r="VIM16" s="343"/>
      <c r="VIN16" s="344"/>
      <c r="VIO16" s="344"/>
      <c r="VIP16" s="344"/>
      <c r="VIQ16" s="342"/>
      <c r="VIR16" s="342"/>
      <c r="VIS16" s="342"/>
      <c r="VIT16" s="343"/>
      <c r="VIU16" s="343"/>
      <c r="VIV16" s="344"/>
      <c r="VIW16" s="344"/>
      <c r="VIX16" s="344"/>
      <c r="VIY16" s="342"/>
      <c r="VIZ16" s="342"/>
      <c r="VJA16" s="342"/>
      <c r="VJB16" s="343"/>
      <c r="VJC16" s="343"/>
      <c r="VJD16" s="344"/>
      <c r="VJE16" s="344"/>
      <c r="VJF16" s="344"/>
      <c r="VJG16" s="342"/>
      <c r="VJH16" s="342"/>
      <c r="VJI16" s="342"/>
      <c r="VJJ16" s="343"/>
      <c r="VJK16" s="343"/>
      <c r="VJL16" s="344"/>
      <c r="VJM16" s="344"/>
      <c r="VJN16" s="344"/>
      <c r="VJO16" s="342"/>
      <c r="VJP16" s="342"/>
      <c r="VJQ16" s="342"/>
      <c r="VJR16" s="343"/>
      <c r="VJS16" s="343"/>
      <c r="VJT16" s="344"/>
      <c r="VJU16" s="344"/>
      <c r="VJV16" s="344"/>
      <c r="VJW16" s="342"/>
      <c r="VJX16" s="342"/>
      <c r="VJY16" s="342"/>
      <c r="VJZ16" s="343"/>
      <c r="VKA16" s="343"/>
      <c r="VKB16" s="344"/>
      <c r="VKC16" s="344"/>
      <c r="VKD16" s="344"/>
      <c r="VKE16" s="342"/>
      <c r="VKF16" s="342"/>
      <c r="VKG16" s="342"/>
      <c r="VKH16" s="343"/>
      <c r="VKI16" s="343"/>
      <c r="VKJ16" s="344"/>
      <c r="VKK16" s="344"/>
      <c r="VKL16" s="344"/>
      <c r="VKM16" s="342"/>
      <c r="VKN16" s="342"/>
      <c r="VKO16" s="342"/>
      <c r="VKP16" s="343"/>
      <c r="VKQ16" s="343"/>
      <c r="VKR16" s="344"/>
      <c r="VKS16" s="344"/>
      <c r="VKT16" s="344"/>
      <c r="VKU16" s="342"/>
      <c r="VKV16" s="342"/>
      <c r="VKW16" s="342"/>
      <c r="VKX16" s="343"/>
      <c r="VKY16" s="343"/>
      <c r="VKZ16" s="344"/>
      <c r="VLA16" s="344"/>
      <c r="VLB16" s="344"/>
      <c r="VLC16" s="342"/>
      <c r="VLD16" s="342"/>
      <c r="VLE16" s="342"/>
      <c r="VLF16" s="343"/>
      <c r="VLG16" s="343"/>
      <c r="VLH16" s="344"/>
      <c r="VLI16" s="344"/>
      <c r="VLJ16" s="344"/>
      <c r="VLK16" s="342"/>
      <c r="VLL16" s="342"/>
      <c r="VLM16" s="342"/>
      <c r="VLN16" s="343"/>
      <c r="VLO16" s="343"/>
      <c r="VLP16" s="344"/>
      <c r="VLQ16" s="344"/>
      <c r="VLR16" s="344"/>
      <c r="VLS16" s="342"/>
      <c r="VLT16" s="342"/>
      <c r="VLU16" s="342"/>
      <c r="VLV16" s="343"/>
      <c r="VLW16" s="343"/>
      <c r="VLX16" s="344"/>
      <c r="VLY16" s="344"/>
      <c r="VLZ16" s="344"/>
      <c r="VMA16" s="342"/>
      <c r="VMB16" s="342"/>
      <c r="VMC16" s="342"/>
      <c r="VMD16" s="343"/>
      <c r="VME16" s="343"/>
      <c r="VMF16" s="344"/>
      <c r="VMG16" s="344"/>
      <c r="VMH16" s="344"/>
      <c r="VMI16" s="342"/>
      <c r="VMJ16" s="342"/>
      <c r="VMK16" s="342"/>
      <c r="VML16" s="343"/>
      <c r="VMM16" s="343"/>
      <c r="VMN16" s="344"/>
      <c r="VMO16" s="344"/>
      <c r="VMP16" s="344"/>
      <c r="VMQ16" s="342"/>
      <c r="VMR16" s="342"/>
      <c r="VMS16" s="342"/>
      <c r="VMT16" s="343"/>
      <c r="VMU16" s="343"/>
      <c r="VMV16" s="344"/>
      <c r="VMW16" s="344"/>
      <c r="VMX16" s="344"/>
      <c r="VMY16" s="342"/>
      <c r="VMZ16" s="342"/>
      <c r="VNA16" s="342"/>
      <c r="VNB16" s="343"/>
      <c r="VNC16" s="343"/>
      <c r="VND16" s="344"/>
      <c r="VNE16" s="344"/>
      <c r="VNF16" s="344"/>
      <c r="VNG16" s="342"/>
      <c r="VNH16" s="342"/>
      <c r="VNI16" s="342"/>
      <c r="VNJ16" s="343"/>
      <c r="VNK16" s="343"/>
      <c r="VNL16" s="344"/>
      <c r="VNM16" s="344"/>
      <c r="VNN16" s="344"/>
      <c r="VNO16" s="342"/>
      <c r="VNP16" s="342"/>
      <c r="VNQ16" s="342"/>
      <c r="VNR16" s="343"/>
      <c r="VNS16" s="343"/>
      <c r="VNT16" s="344"/>
      <c r="VNU16" s="344"/>
      <c r="VNV16" s="344"/>
      <c r="VNW16" s="342"/>
      <c r="VNX16" s="342"/>
      <c r="VNY16" s="342"/>
      <c r="VNZ16" s="343"/>
      <c r="VOA16" s="343"/>
      <c r="VOB16" s="344"/>
      <c r="VOC16" s="344"/>
      <c r="VOD16" s="344"/>
      <c r="VOE16" s="342"/>
      <c r="VOF16" s="342"/>
      <c r="VOG16" s="342"/>
      <c r="VOH16" s="343"/>
      <c r="VOI16" s="343"/>
      <c r="VOJ16" s="344"/>
      <c r="VOK16" s="344"/>
      <c r="VOL16" s="344"/>
      <c r="VOM16" s="342"/>
      <c r="VON16" s="342"/>
      <c r="VOO16" s="342"/>
      <c r="VOP16" s="343"/>
      <c r="VOQ16" s="343"/>
      <c r="VOR16" s="344"/>
      <c r="VOS16" s="344"/>
      <c r="VOT16" s="344"/>
      <c r="VOU16" s="342"/>
      <c r="VOV16" s="342"/>
      <c r="VOW16" s="342"/>
      <c r="VOX16" s="343"/>
      <c r="VOY16" s="343"/>
      <c r="VOZ16" s="344"/>
      <c r="VPA16" s="344"/>
      <c r="VPB16" s="344"/>
      <c r="VPC16" s="342"/>
      <c r="VPD16" s="342"/>
      <c r="VPE16" s="342"/>
      <c r="VPF16" s="343"/>
      <c r="VPG16" s="343"/>
      <c r="VPH16" s="344"/>
      <c r="VPI16" s="344"/>
      <c r="VPJ16" s="344"/>
      <c r="VPK16" s="342"/>
      <c r="VPL16" s="342"/>
      <c r="VPM16" s="342"/>
      <c r="VPN16" s="343"/>
      <c r="VPO16" s="343"/>
      <c r="VPP16" s="344"/>
      <c r="VPQ16" s="344"/>
      <c r="VPR16" s="344"/>
      <c r="VPS16" s="342"/>
      <c r="VPT16" s="342"/>
      <c r="VPU16" s="342"/>
      <c r="VPV16" s="343"/>
      <c r="VPW16" s="343"/>
      <c r="VPX16" s="344"/>
      <c r="VPY16" s="344"/>
      <c r="VPZ16" s="344"/>
      <c r="VQA16" s="342"/>
      <c r="VQB16" s="342"/>
      <c r="VQC16" s="342"/>
      <c r="VQD16" s="343"/>
      <c r="VQE16" s="343"/>
      <c r="VQF16" s="344"/>
      <c r="VQG16" s="344"/>
      <c r="VQH16" s="344"/>
      <c r="VQI16" s="342"/>
      <c r="VQJ16" s="342"/>
      <c r="VQK16" s="342"/>
      <c r="VQL16" s="343"/>
      <c r="VQM16" s="343"/>
      <c r="VQN16" s="344"/>
      <c r="VQO16" s="344"/>
      <c r="VQP16" s="344"/>
      <c r="VQQ16" s="342"/>
      <c r="VQR16" s="342"/>
      <c r="VQS16" s="342"/>
      <c r="VQT16" s="343"/>
      <c r="VQU16" s="343"/>
      <c r="VQV16" s="344"/>
      <c r="VQW16" s="344"/>
      <c r="VQX16" s="344"/>
      <c r="VQY16" s="342"/>
      <c r="VQZ16" s="342"/>
      <c r="VRA16" s="342"/>
      <c r="VRB16" s="343"/>
      <c r="VRC16" s="343"/>
      <c r="VRD16" s="344"/>
      <c r="VRE16" s="344"/>
      <c r="VRF16" s="344"/>
      <c r="VRG16" s="342"/>
      <c r="VRH16" s="342"/>
      <c r="VRI16" s="342"/>
      <c r="VRJ16" s="343"/>
      <c r="VRK16" s="343"/>
      <c r="VRL16" s="344"/>
      <c r="VRM16" s="344"/>
      <c r="VRN16" s="344"/>
      <c r="VRO16" s="342"/>
      <c r="VRP16" s="342"/>
      <c r="VRQ16" s="342"/>
      <c r="VRR16" s="343"/>
      <c r="VRS16" s="343"/>
      <c r="VRT16" s="344"/>
      <c r="VRU16" s="344"/>
      <c r="VRV16" s="344"/>
      <c r="VRW16" s="342"/>
      <c r="VRX16" s="342"/>
      <c r="VRY16" s="342"/>
      <c r="VRZ16" s="343"/>
      <c r="VSA16" s="343"/>
      <c r="VSB16" s="344"/>
      <c r="VSC16" s="344"/>
      <c r="VSD16" s="344"/>
      <c r="VSE16" s="342"/>
      <c r="VSF16" s="342"/>
      <c r="VSG16" s="342"/>
      <c r="VSH16" s="343"/>
      <c r="VSI16" s="343"/>
      <c r="VSJ16" s="344"/>
      <c r="VSK16" s="344"/>
      <c r="VSL16" s="344"/>
      <c r="VSM16" s="342"/>
      <c r="VSN16" s="342"/>
      <c r="VSO16" s="342"/>
      <c r="VSP16" s="343"/>
      <c r="VSQ16" s="343"/>
      <c r="VSR16" s="344"/>
      <c r="VSS16" s="344"/>
      <c r="VST16" s="344"/>
      <c r="VSU16" s="342"/>
      <c r="VSV16" s="342"/>
      <c r="VSW16" s="342"/>
      <c r="VSX16" s="343"/>
      <c r="VSY16" s="343"/>
      <c r="VSZ16" s="344"/>
      <c r="VTA16" s="344"/>
      <c r="VTB16" s="344"/>
      <c r="VTC16" s="342"/>
      <c r="VTD16" s="342"/>
      <c r="VTE16" s="342"/>
      <c r="VTF16" s="343"/>
      <c r="VTG16" s="343"/>
      <c r="VTH16" s="344"/>
      <c r="VTI16" s="344"/>
      <c r="VTJ16" s="344"/>
      <c r="VTK16" s="342"/>
      <c r="VTL16" s="342"/>
      <c r="VTM16" s="342"/>
      <c r="VTN16" s="343"/>
      <c r="VTO16" s="343"/>
      <c r="VTP16" s="344"/>
      <c r="VTQ16" s="344"/>
      <c r="VTR16" s="344"/>
      <c r="VTS16" s="342"/>
      <c r="VTT16" s="342"/>
      <c r="VTU16" s="342"/>
      <c r="VTV16" s="343"/>
      <c r="VTW16" s="343"/>
      <c r="VTX16" s="344"/>
      <c r="VTY16" s="344"/>
      <c r="VTZ16" s="344"/>
      <c r="VUA16" s="342"/>
      <c r="VUB16" s="342"/>
      <c r="VUC16" s="342"/>
      <c r="VUD16" s="343"/>
      <c r="VUE16" s="343"/>
      <c r="VUF16" s="344"/>
      <c r="VUG16" s="344"/>
      <c r="VUH16" s="344"/>
      <c r="VUI16" s="342"/>
      <c r="VUJ16" s="342"/>
      <c r="VUK16" s="342"/>
      <c r="VUL16" s="343"/>
      <c r="VUM16" s="343"/>
      <c r="VUN16" s="344"/>
      <c r="VUO16" s="344"/>
      <c r="VUP16" s="344"/>
      <c r="VUQ16" s="342"/>
      <c r="VUR16" s="342"/>
      <c r="VUS16" s="342"/>
      <c r="VUT16" s="343"/>
      <c r="VUU16" s="343"/>
      <c r="VUV16" s="344"/>
      <c r="VUW16" s="344"/>
      <c r="VUX16" s="344"/>
      <c r="VUY16" s="342"/>
      <c r="VUZ16" s="342"/>
      <c r="VVA16" s="342"/>
      <c r="VVB16" s="343"/>
      <c r="VVC16" s="343"/>
      <c r="VVD16" s="344"/>
      <c r="VVE16" s="344"/>
      <c r="VVF16" s="344"/>
      <c r="VVG16" s="342"/>
      <c r="VVH16" s="342"/>
      <c r="VVI16" s="342"/>
      <c r="VVJ16" s="343"/>
      <c r="VVK16" s="343"/>
      <c r="VVL16" s="344"/>
      <c r="VVM16" s="344"/>
      <c r="VVN16" s="344"/>
      <c r="VVO16" s="342"/>
      <c r="VVP16" s="342"/>
      <c r="VVQ16" s="342"/>
      <c r="VVR16" s="343"/>
      <c r="VVS16" s="343"/>
      <c r="VVT16" s="344"/>
      <c r="VVU16" s="344"/>
      <c r="VVV16" s="344"/>
      <c r="VVW16" s="342"/>
      <c r="VVX16" s="342"/>
      <c r="VVY16" s="342"/>
      <c r="VVZ16" s="343"/>
      <c r="VWA16" s="343"/>
      <c r="VWB16" s="344"/>
      <c r="VWC16" s="344"/>
      <c r="VWD16" s="344"/>
      <c r="VWE16" s="342"/>
      <c r="VWF16" s="342"/>
      <c r="VWG16" s="342"/>
      <c r="VWH16" s="343"/>
      <c r="VWI16" s="343"/>
      <c r="VWJ16" s="344"/>
      <c r="VWK16" s="344"/>
      <c r="VWL16" s="344"/>
      <c r="VWM16" s="342"/>
      <c r="VWN16" s="342"/>
      <c r="VWO16" s="342"/>
      <c r="VWP16" s="343"/>
      <c r="VWQ16" s="343"/>
      <c r="VWR16" s="344"/>
      <c r="VWS16" s="344"/>
      <c r="VWT16" s="344"/>
      <c r="VWU16" s="342"/>
      <c r="VWV16" s="342"/>
      <c r="VWW16" s="342"/>
      <c r="VWX16" s="343"/>
      <c r="VWY16" s="343"/>
      <c r="VWZ16" s="344"/>
      <c r="VXA16" s="344"/>
      <c r="VXB16" s="344"/>
      <c r="VXC16" s="342"/>
      <c r="VXD16" s="342"/>
      <c r="VXE16" s="342"/>
      <c r="VXF16" s="343"/>
      <c r="VXG16" s="343"/>
      <c r="VXH16" s="344"/>
      <c r="VXI16" s="344"/>
      <c r="VXJ16" s="344"/>
      <c r="VXK16" s="342"/>
      <c r="VXL16" s="342"/>
      <c r="VXM16" s="342"/>
      <c r="VXN16" s="343"/>
      <c r="VXO16" s="343"/>
      <c r="VXP16" s="344"/>
      <c r="VXQ16" s="344"/>
      <c r="VXR16" s="344"/>
      <c r="VXS16" s="342"/>
      <c r="VXT16" s="342"/>
      <c r="VXU16" s="342"/>
      <c r="VXV16" s="343"/>
      <c r="VXW16" s="343"/>
      <c r="VXX16" s="344"/>
      <c r="VXY16" s="344"/>
      <c r="VXZ16" s="344"/>
      <c r="VYA16" s="342"/>
      <c r="VYB16" s="342"/>
      <c r="VYC16" s="342"/>
      <c r="VYD16" s="343"/>
      <c r="VYE16" s="343"/>
      <c r="VYF16" s="344"/>
      <c r="VYG16" s="344"/>
      <c r="VYH16" s="344"/>
      <c r="VYI16" s="342"/>
      <c r="VYJ16" s="342"/>
      <c r="VYK16" s="342"/>
      <c r="VYL16" s="343"/>
      <c r="VYM16" s="343"/>
      <c r="VYN16" s="344"/>
      <c r="VYO16" s="344"/>
      <c r="VYP16" s="344"/>
      <c r="VYQ16" s="342"/>
      <c r="VYR16" s="342"/>
      <c r="VYS16" s="342"/>
      <c r="VYT16" s="343"/>
      <c r="VYU16" s="343"/>
      <c r="VYV16" s="344"/>
      <c r="VYW16" s="344"/>
      <c r="VYX16" s="344"/>
      <c r="VYY16" s="342"/>
      <c r="VYZ16" s="342"/>
      <c r="VZA16" s="342"/>
      <c r="VZB16" s="343"/>
      <c r="VZC16" s="343"/>
      <c r="VZD16" s="344"/>
      <c r="VZE16" s="344"/>
      <c r="VZF16" s="344"/>
      <c r="VZG16" s="342"/>
      <c r="VZH16" s="342"/>
      <c r="VZI16" s="342"/>
      <c r="VZJ16" s="343"/>
      <c r="VZK16" s="343"/>
      <c r="VZL16" s="344"/>
      <c r="VZM16" s="344"/>
      <c r="VZN16" s="344"/>
      <c r="VZO16" s="342"/>
      <c r="VZP16" s="342"/>
      <c r="VZQ16" s="342"/>
      <c r="VZR16" s="343"/>
      <c r="VZS16" s="343"/>
      <c r="VZT16" s="344"/>
      <c r="VZU16" s="344"/>
      <c r="VZV16" s="344"/>
      <c r="VZW16" s="342"/>
      <c r="VZX16" s="342"/>
      <c r="VZY16" s="342"/>
      <c r="VZZ16" s="343"/>
      <c r="WAA16" s="343"/>
      <c r="WAB16" s="344"/>
      <c r="WAC16" s="344"/>
      <c r="WAD16" s="344"/>
      <c r="WAE16" s="342"/>
      <c r="WAF16" s="342"/>
      <c r="WAG16" s="342"/>
      <c r="WAH16" s="343"/>
      <c r="WAI16" s="343"/>
      <c r="WAJ16" s="344"/>
      <c r="WAK16" s="344"/>
      <c r="WAL16" s="344"/>
      <c r="WAM16" s="342"/>
      <c r="WAN16" s="342"/>
      <c r="WAO16" s="342"/>
      <c r="WAP16" s="343"/>
      <c r="WAQ16" s="343"/>
      <c r="WAR16" s="344"/>
      <c r="WAS16" s="344"/>
      <c r="WAT16" s="344"/>
      <c r="WAU16" s="342"/>
      <c r="WAV16" s="342"/>
      <c r="WAW16" s="342"/>
      <c r="WAX16" s="343"/>
      <c r="WAY16" s="343"/>
      <c r="WAZ16" s="344"/>
      <c r="WBA16" s="344"/>
      <c r="WBB16" s="344"/>
      <c r="WBC16" s="342"/>
      <c r="WBD16" s="342"/>
      <c r="WBE16" s="342"/>
      <c r="WBF16" s="343"/>
      <c r="WBG16" s="343"/>
      <c r="WBH16" s="344"/>
      <c r="WBI16" s="344"/>
      <c r="WBJ16" s="344"/>
      <c r="WBK16" s="342"/>
      <c r="WBL16" s="342"/>
      <c r="WBM16" s="342"/>
      <c r="WBN16" s="343"/>
      <c r="WBO16" s="343"/>
      <c r="WBP16" s="344"/>
      <c r="WBQ16" s="344"/>
      <c r="WBR16" s="344"/>
      <c r="WBS16" s="342"/>
      <c r="WBT16" s="342"/>
      <c r="WBU16" s="342"/>
      <c r="WBV16" s="343"/>
      <c r="WBW16" s="343"/>
      <c r="WBX16" s="344"/>
      <c r="WBY16" s="344"/>
      <c r="WBZ16" s="344"/>
      <c r="WCA16" s="342"/>
      <c r="WCB16" s="342"/>
      <c r="WCC16" s="342"/>
      <c r="WCD16" s="343"/>
      <c r="WCE16" s="343"/>
      <c r="WCF16" s="344"/>
      <c r="WCG16" s="344"/>
      <c r="WCH16" s="344"/>
      <c r="WCI16" s="342"/>
      <c r="WCJ16" s="342"/>
      <c r="WCK16" s="342"/>
      <c r="WCL16" s="343"/>
      <c r="WCM16" s="343"/>
      <c r="WCN16" s="344"/>
      <c r="WCO16" s="344"/>
      <c r="WCP16" s="344"/>
      <c r="WCQ16" s="342"/>
      <c r="WCR16" s="342"/>
      <c r="WCS16" s="342"/>
      <c r="WCT16" s="343"/>
      <c r="WCU16" s="343"/>
      <c r="WCV16" s="344"/>
      <c r="WCW16" s="344"/>
      <c r="WCX16" s="344"/>
      <c r="WCY16" s="342"/>
      <c r="WCZ16" s="342"/>
      <c r="WDA16" s="342"/>
      <c r="WDB16" s="343"/>
      <c r="WDC16" s="343"/>
      <c r="WDD16" s="344"/>
      <c r="WDE16" s="344"/>
      <c r="WDF16" s="344"/>
      <c r="WDG16" s="342"/>
      <c r="WDH16" s="342"/>
      <c r="WDI16" s="342"/>
      <c r="WDJ16" s="343"/>
      <c r="WDK16" s="343"/>
      <c r="WDL16" s="344"/>
      <c r="WDM16" s="344"/>
      <c r="WDN16" s="344"/>
      <c r="WDO16" s="342"/>
      <c r="WDP16" s="342"/>
      <c r="WDQ16" s="342"/>
      <c r="WDR16" s="343"/>
      <c r="WDS16" s="343"/>
      <c r="WDT16" s="344"/>
      <c r="WDU16" s="344"/>
      <c r="WDV16" s="344"/>
      <c r="WDW16" s="342"/>
      <c r="WDX16" s="342"/>
      <c r="WDY16" s="342"/>
      <c r="WDZ16" s="343"/>
      <c r="WEA16" s="343"/>
      <c r="WEB16" s="344"/>
      <c r="WEC16" s="344"/>
      <c r="WED16" s="344"/>
      <c r="WEE16" s="342"/>
      <c r="WEF16" s="342"/>
      <c r="WEG16" s="342"/>
      <c r="WEH16" s="343"/>
      <c r="WEI16" s="343"/>
      <c r="WEJ16" s="344"/>
      <c r="WEK16" s="344"/>
      <c r="WEL16" s="344"/>
      <c r="WEM16" s="342"/>
      <c r="WEN16" s="342"/>
      <c r="WEO16" s="342"/>
      <c r="WEP16" s="343"/>
      <c r="WEQ16" s="343"/>
      <c r="WER16" s="344"/>
      <c r="WES16" s="344"/>
      <c r="WET16" s="344"/>
      <c r="WEU16" s="342"/>
      <c r="WEV16" s="342"/>
      <c r="WEW16" s="342"/>
      <c r="WEX16" s="343"/>
      <c r="WEY16" s="343"/>
      <c r="WEZ16" s="344"/>
      <c r="WFA16" s="344"/>
      <c r="WFB16" s="344"/>
      <c r="WFC16" s="342"/>
      <c r="WFD16" s="342"/>
      <c r="WFE16" s="342"/>
      <c r="WFF16" s="343"/>
      <c r="WFG16" s="343"/>
      <c r="WFH16" s="344"/>
      <c r="WFI16" s="344"/>
      <c r="WFJ16" s="344"/>
      <c r="WFK16" s="342"/>
      <c r="WFL16" s="342"/>
      <c r="WFM16" s="342"/>
      <c r="WFN16" s="343"/>
      <c r="WFO16" s="343"/>
      <c r="WFP16" s="344"/>
      <c r="WFQ16" s="344"/>
      <c r="WFR16" s="344"/>
      <c r="WFS16" s="342"/>
      <c r="WFT16" s="342"/>
      <c r="WFU16" s="342"/>
      <c r="WFV16" s="343"/>
      <c r="WFW16" s="343"/>
      <c r="WFX16" s="344"/>
      <c r="WFY16" s="344"/>
      <c r="WFZ16" s="344"/>
      <c r="WGA16" s="342"/>
      <c r="WGB16" s="342"/>
      <c r="WGC16" s="342"/>
      <c r="WGD16" s="343"/>
      <c r="WGE16" s="343"/>
      <c r="WGF16" s="344"/>
      <c r="WGG16" s="344"/>
      <c r="WGH16" s="344"/>
      <c r="WGI16" s="342"/>
      <c r="WGJ16" s="342"/>
      <c r="WGK16" s="342"/>
      <c r="WGL16" s="343"/>
      <c r="WGM16" s="343"/>
      <c r="WGN16" s="344"/>
      <c r="WGO16" s="344"/>
      <c r="WGP16" s="344"/>
      <c r="WGQ16" s="342"/>
      <c r="WGR16" s="342"/>
      <c r="WGS16" s="342"/>
      <c r="WGT16" s="343"/>
      <c r="WGU16" s="343"/>
      <c r="WGV16" s="344"/>
      <c r="WGW16" s="344"/>
      <c r="WGX16" s="344"/>
      <c r="WGY16" s="342"/>
      <c r="WGZ16" s="342"/>
      <c r="WHA16" s="342"/>
      <c r="WHB16" s="343"/>
      <c r="WHC16" s="343"/>
      <c r="WHD16" s="344"/>
      <c r="WHE16" s="344"/>
      <c r="WHF16" s="344"/>
      <c r="WHG16" s="342"/>
      <c r="WHH16" s="342"/>
      <c r="WHI16" s="342"/>
      <c r="WHJ16" s="343"/>
      <c r="WHK16" s="343"/>
      <c r="WHL16" s="344"/>
      <c r="WHM16" s="344"/>
      <c r="WHN16" s="344"/>
      <c r="WHO16" s="342"/>
      <c r="WHP16" s="342"/>
      <c r="WHQ16" s="342"/>
      <c r="WHR16" s="343"/>
      <c r="WHS16" s="343"/>
      <c r="WHT16" s="344"/>
      <c r="WHU16" s="344"/>
      <c r="WHV16" s="344"/>
      <c r="WHW16" s="342"/>
      <c r="WHX16" s="342"/>
      <c r="WHY16" s="342"/>
      <c r="WHZ16" s="343"/>
      <c r="WIA16" s="343"/>
      <c r="WIB16" s="344"/>
      <c r="WIC16" s="344"/>
      <c r="WID16" s="344"/>
      <c r="WIE16" s="342"/>
      <c r="WIF16" s="342"/>
      <c r="WIG16" s="342"/>
      <c r="WIH16" s="343"/>
      <c r="WII16" s="343"/>
      <c r="WIJ16" s="344"/>
      <c r="WIK16" s="344"/>
      <c r="WIL16" s="344"/>
      <c r="WIM16" s="342"/>
      <c r="WIN16" s="342"/>
      <c r="WIO16" s="342"/>
      <c r="WIP16" s="343"/>
      <c r="WIQ16" s="343"/>
      <c r="WIR16" s="344"/>
      <c r="WIS16" s="344"/>
      <c r="WIT16" s="344"/>
      <c r="WIU16" s="342"/>
      <c r="WIV16" s="342"/>
      <c r="WIW16" s="342"/>
      <c r="WIX16" s="343"/>
      <c r="WIY16" s="343"/>
      <c r="WIZ16" s="344"/>
      <c r="WJA16" s="344"/>
      <c r="WJB16" s="344"/>
      <c r="WJC16" s="342"/>
      <c r="WJD16" s="342"/>
      <c r="WJE16" s="342"/>
      <c r="WJF16" s="343"/>
      <c r="WJG16" s="343"/>
      <c r="WJH16" s="344"/>
      <c r="WJI16" s="344"/>
      <c r="WJJ16" s="344"/>
      <c r="WJK16" s="342"/>
      <c r="WJL16" s="342"/>
      <c r="WJM16" s="342"/>
      <c r="WJN16" s="343"/>
      <c r="WJO16" s="343"/>
      <c r="WJP16" s="344"/>
      <c r="WJQ16" s="344"/>
      <c r="WJR16" s="344"/>
      <c r="WJS16" s="342"/>
      <c r="WJT16" s="342"/>
      <c r="WJU16" s="342"/>
      <c r="WJV16" s="343"/>
      <c r="WJW16" s="343"/>
      <c r="WJX16" s="344"/>
      <c r="WJY16" s="344"/>
      <c r="WJZ16" s="344"/>
      <c r="WKA16" s="342"/>
      <c r="WKB16" s="342"/>
      <c r="WKC16" s="342"/>
      <c r="WKD16" s="343"/>
      <c r="WKE16" s="343"/>
      <c r="WKF16" s="344"/>
      <c r="WKG16" s="344"/>
      <c r="WKH16" s="344"/>
      <c r="WKI16" s="342"/>
      <c r="WKJ16" s="342"/>
      <c r="WKK16" s="342"/>
      <c r="WKL16" s="343"/>
      <c r="WKM16" s="343"/>
      <c r="WKN16" s="344"/>
      <c r="WKO16" s="344"/>
      <c r="WKP16" s="344"/>
      <c r="WKQ16" s="342"/>
      <c r="WKR16" s="342"/>
      <c r="WKS16" s="342"/>
      <c r="WKT16" s="343"/>
      <c r="WKU16" s="343"/>
      <c r="WKV16" s="344"/>
      <c r="WKW16" s="344"/>
      <c r="WKX16" s="344"/>
      <c r="WKY16" s="342"/>
      <c r="WKZ16" s="342"/>
      <c r="WLA16" s="342"/>
      <c r="WLB16" s="343"/>
      <c r="WLC16" s="343"/>
      <c r="WLD16" s="344"/>
      <c r="WLE16" s="344"/>
      <c r="WLF16" s="344"/>
      <c r="WLG16" s="342"/>
      <c r="WLH16" s="342"/>
      <c r="WLI16" s="342"/>
      <c r="WLJ16" s="343"/>
      <c r="WLK16" s="343"/>
      <c r="WLL16" s="344"/>
      <c r="WLM16" s="344"/>
      <c r="WLN16" s="344"/>
      <c r="WLO16" s="342"/>
      <c r="WLP16" s="342"/>
      <c r="WLQ16" s="342"/>
      <c r="WLR16" s="343"/>
      <c r="WLS16" s="343"/>
      <c r="WLT16" s="344"/>
      <c r="WLU16" s="344"/>
      <c r="WLV16" s="344"/>
      <c r="WLW16" s="342"/>
      <c r="WLX16" s="342"/>
      <c r="WLY16" s="342"/>
      <c r="WLZ16" s="343"/>
      <c r="WMA16" s="343"/>
      <c r="WMB16" s="344"/>
      <c r="WMC16" s="344"/>
      <c r="WMD16" s="344"/>
      <c r="WME16" s="342"/>
      <c r="WMF16" s="342"/>
      <c r="WMG16" s="342"/>
      <c r="WMH16" s="343"/>
      <c r="WMI16" s="343"/>
      <c r="WMJ16" s="344"/>
      <c r="WMK16" s="344"/>
      <c r="WML16" s="344"/>
      <c r="WMM16" s="342"/>
      <c r="WMN16" s="342"/>
      <c r="WMO16" s="342"/>
      <c r="WMP16" s="343"/>
      <c r="WMQ16" s="343"/>
      <c r="WMR16" s="344"/>
      <c r="WMS16" s="344"/>
      <c r="WMT16" s="344"/>
      <c r="WMU16" s="342"/>
      <c r="WMV16" s="342"/>
      <c r="WMW16" s="342"/>
      <c r="WMX16" s="343"/>
      <c r="WMY16" s="343"/>
      <c r="WMZ16" s="344"/>
      <c r="WNA16" s="344"/>
      <c r="WNB16" s="344"/>
      <c r="WNC16" s="342"/>
      <c r="WND16" s="342"/>
      <c r="WNE16" s="342"/>
      <c r="WNF16" s="343"/>
      <c r="WNG16" s="343"/>
      <c r="WNH16" s="344"/>
      <c r="WNI16" s="344"/>
      <c r="WNJ16" s="344"/>
      <c r="WNK16" s="342"/>
      <c r="WNL16" s="342"/>
      <c r="WNM16" s="342"/>
      <c r="WNN16" s="343"/>
      <c r="WNO16" s="343"/>
      <c r="WNP16" s="344"/>
      <c r="WNQ16" s="344"/>
      <c r="WNR16" s="344"/>
      <c r="WNS16" s="342"/>
      <c r="WNT16" s="342"/>
      <c r="WNU16" s="342"/>
      <c r="WNV16" s="343"/>
      <c r="WNW16" s="343"/>
      <c r="WNX16" s="344"/>
      <c r="WNY16" s="344"/>
      <c r="WNZ16" s="344"/>
      <c r="WOA16" s="342"/>
      <c r="WOB16" s="342"/>
      <c r="WOC16" s="342"/>
      <c r="WOD16" s="343"/>
      <c r="WOE16" s="343"/>
      <c r="WOF16" s="344"/>
      <c r="WOG16" s="344"/>
      <c r="WOH16" s="344"/>
      <c r="WOI16" s="342"/>
      <c r="WOJ16" s="342"/>
      <c r="WOK16" s="342"/>
      <c r="WOL16" s="343"/>
      <c r="WOM16" s="343"/>
      <c r="WON16" s="344"/>
      <c r="WOO16" s="344"/>
      <c r="WOP16" s="344"/>
      <c r="WOQ16" s="342"/>
      <c r="WOR16" s="342"/>
      <c r="WOS16" s="342"/>
      <c r="WOT16" s="343"/>
      <c r="WOU16" s="343"/>
      <c r="WOV16" s="344"/>
      <c r="WOW16" s="344"/>
      <c r="WOX16" s="344"/>
      <c r="WOY16" s="342"/>
      <c r="WOZ16" s="342"/>
      <c r="WPA16" s="342"/>
      <c r="WPB16" s="343"/>
      <c r="WPC16" s="343"/>
      <c r="WPD16" s="344"/>
      <c r="WPE16" s="344"/>
      <c r="WPF16" s="344"/>
      <c r="WPG16" s="342"/>
      <c r="WPH16" s="342"/>
      <c r="WPI16" s="342"/>
      <c r="WPJ16" s="343"/>
      <c r="WPK16" s="343"/>
      <c r="WPL16" s="344"/>
      <c r="WPM16" s="344"/>
      <c r="WPN16" s="344"/>
      <c r="WPO16" s="342"/>
      <c r="WPP16" s="342"/>
      <c r="WPQ16" s="342"/>
      <c r="WPR16" s="343"/>
      <c r="WPS16" s="343"/>
      <c r="WPT16" s="344"/>
      <c r="WPU16" s="344"/>
      <c r="WPV16" s="344"/>
      <c r="WPW16" s="342"/>
      <c r="WPX16" s="342"/>
      <c r="WPY16" s="342"/>
      <c r="WPZ16" s="343"/>
      <c r="WQA16" s="343"/>
      <c r="WQB16" s="344"/>
      <c r="WQC16" s="344"/>
      <c r="WQD16" s="344"/>
      <c r="WQE16" s="342"/>
      <c r="WQF16" s="342"/>
      <c r="WQG16" s="342"/>
      <c r="WQH16" s="343"/>
      <c r="WQI16" s="343"/>
      <c r="WQJ16" s="344"/>
      <c r="WQK16" s="344"/>
      <c r="WQL16" s="344"/>
      <c r="WQM16" s="342"/>
      <c r="WQN16" s="342"/>
      <c r="WQO16" s="342"/>
      <c r="WQP16" s="343"/>
      <c r="WQQ16" s="343"/>
      <c r="WQR16" s="344"/>
      <c r="WQS16" s="344"/>
      <c r="WQT16" s="344"/>
      <c r="WQU16" s="342"/>
      <c r="WQV16" s="342"/>
      <c r="WQW16" s="342"/>
      <c r="WQX16" s="343"/>
      <c r="WQY16" s="343"/>
      <c r="WQZ16" s="344"/>
      <c r="WRA16" s="344"/>
      <c r="WRB16" s="344"/>
      <c r="WRC16" s="342"/>
      <c r="WRD16" s="342"/>
      <c r="WRE16" s="342"/>
      <c r="WRF16" s="343"/>
      <c r="WRG16" s="343"/>
      <c r="WRH16" s="344"/>
      <c r="WRI16" s="344"/>
      <c r="WRJ16" s="344"/>
      <c r="WRK16" s="342"/>
      <c r="WRL16" s="342"/>
      <c r="WRM16" s="342"/>
      <c r="WRN16" s="343"/>
      <c r="WRO16" s="343"/>
      <c r="WRP16" s="344"/>
      <c r="WRQ16" s="344"/>
      <c r="WRR16" s="344"/>
      <c r="WRS16" s="342"/>
      <c r="WRT16" s="342"/>
      <c r="WRU16" s="342"/>
      <c r="WRV16" s="343"/>
      <c r="WRW16" s="343"/>
      <c r="WRX16" s="344"/>
      <c r="WRY16" s="344"/>
      <c r="WRZ16" s="344"/>
      <c r="WSA16" s="342"/>
      <c r="WSB16" s="342"/>
      <c r="WSC16" s="342"/>
      <c r="WSD16" s="343"/>
      <c r="WSE16" s="343"/>
      <c r="WSF16" s="344"/>
      <c r="WSG16" s="344"/>
      <c r="WSH16" s="344"/>
      <c r="WSI16" s="342"/>
      <c r="WSJ16" s="342"/>
      <c r="WSK16" s="342"/>
      <c r="WSL16" s="343"/>
      <c r="WSM16" s="343"/>
      <c r="WSN16" s="344"/>
      <c r="WSO16" s="344"/>
      <c r="WSP16" s="344"/>
      <c r="WSQ16" s="342"/>
      <c r="WSR16" s="342"/>
      <c r="WSS16" s="342"/>
      <c r="WST16" s="343"/>
      <c r="WSU16" s="343"/>
      <c r="WSV16" s="344"/>
      <c r="WSW16" s="344"/>
      <c r="WSX16" s="344"/>
      <c r="WSY16" s="342"/>
      <c r="WSZ16" s="342"/>
      <c r="WTA16" s="342"/>
      <c r="WTB16" s="343"/>
      <c r="WTC16" s="343"/>
      <c r="WTD16" s="344"/>
      <c r="WTE16" s="344"/>
      <c r="WTF16" s="344"/>
      <c r="WTG16" s="342"/>
      <c r="WTH16" s="342"/>
      <c r="WTI16" s="342"/>
      <c r="WTJ16" s="343"/>
      <c r="WTK16" s="343"/>
      <c r="WTL16" s="344"/>
      <c r="WTM16" s="344"/>
      <c r="WTN16" s="344"/>
      <c r="WTO16" s="342"/>
      <c r="WTP16" s="342"/>
      <c r="WTQ16" s="342"/>
      <c r="WTR16" s="343"/>
      <c r="WTS16" s="343"/>
      <c r="WTT16" s="344"/>
      <c r="WTU16" s="344"/>
      <c r="WTV16" s="344"/>
      <c r="WTW16" s="342"/>
      <c r="WTX16" s="342"/>
      <c r="WTY16" s="342"/>
      <c r="WTZ16" s="343"/>
      <c r="WUA16" s="343"/>
      <c r="WUB16" s="344"/>
      <c r="WUC16" s="344"/>
      <c r="WUD16" s="344"/>
      <c r="WUE16" s="342"/>
      <c r="WUF16" s="342"/>
      <c r="WUG16" s="342"/>
      <c r="WUH16" s="343"/>
      <c r="WUI16" s="343"/>
      <c r="WUJ16" s="344"/>
      <c r="WUK16" s="344"/>
      <c r="WUL16" s="344"/>
      <c r="WUM16" s="342"/>
      <c r="WUN16" s="342"/>
      <c r="WUO16" s="342"/>
      <c r="WUP16" s="343"/>
      <c r="WUQ16" s="343"/>
      <c r="WUR16" s="344"/>
      <c r="WUS16" s="344"/>
      <c r="WUT16" s="344"/>
      <c r="WUU16" s="342"/>
      <c r="WUV16" s="342"/>
      <c r="WUW16" s="342"/>
      <c r="WUX16" s="343"/>
      <c r="WUY16" s="343"/>
      <c r="WUZ16" s="344"/>
      <c r="WVA16" s="344"/>
      <c r="WVB16" s="344"/>
      <c r="WVC16" s="342"/>
      <c r="WVD16" s="342"/>
      <c r="WVE16" s="342"/>
      <c r="WVF16" s="343"/>
      <c r="WVG16" s="343"/>
      <c r="WVH16" s="344"/>
      <c r="WVI16" s="344"/>
      <c r="WVJ16" s="344"/>
      <c r="WVK16" s="342"/>
      <c r="WVL16" s="342"/>
      <c r="WVM16" s="342"/>
      <c r="WVN16" s="343"/>
      <c r="WVO16" s="343"/>
      <c r="WVP16" s="344"/>
      <c r="WVQ16" s="344"/>
      <c r="WVR16" s="344"/>
      <c r="WVS16" s="342"/>
      <c r="WVT16" s="342"/>
      <c r="WVU16" s="342"/>
      <c r="WVV16" s="343"/>
      <c r="WVW16" s="343"/>
      <c r="WVX16" s="344"/>
      <c r="WVY16" s="344"/>
      <c r="WVZ16" s="344"/>
      <c r="WWA16" s="342"/>
      <c r="WWB16" s="342"/>
      <c r="WWC16" s="342"/>
      <c r="WWD16" s="343"/>
      <c r="WWE16" s="343"/>
      <c r="WWF16" s="344"/>
      <c r="WWG16" s="344"/>
      <c r="WWH16" s="344"/>
      <c r="WWI16" s="342"/>
      <c r="WWJ16" s="342"/>
      <c r="WWK16" s="342"/>
      <c r="WWL16" s="343"/>
      <c r="WWM16" s="343"/>
      <c r="WWN16" s="344"/>
      <c r="WWO16" s="344"/>
      <c r="WWP16" s="344"/>
      <c r="WWQ16" s="342"/>
      <c r="WWR16" s="342"/>
      <c r="WWS16" s="342"/>
      <c r="WWT16" s="343"/>
      <c r="WWU16" s="343"/>
      <c r="WWV16" s="344"/>
      <c r="WWW16" s="344"/>
      <c r="WWX16" s="344"/>
      <c r="WWY16" s="342"/>
      <c r="WWZ16" s="342"/>
      <c r="WXA16" s="342"/>
      <c r="WXB16" s="343"/>
      <c r="WXC16" s="343"/>
      <c r="WXD16" s="344"/>
      <c r="WXE16" s="344"/>
      <c r="WXF16" s="344"/>
      <c r="WXG16" s="342"/>
      <c r="WXH16" s="342"/>
      <c r="WXI16" s="342"/>
      <c r="WXJ16" s="343"/>
      <c r="WXK16" s="343"/>
      <c r="WXL16" s="344"/>
      <c r="WXM16" s="344"/>
      <c r="WXN16" s="344"/>
      <c r="WXO16" s="342"/>
      <c r="WXP16" s="342"/>
      <c r="WXQ16" s="342"/>
      <c r="WXR16" s="343"/>
      <c r="WXS16" s="343"/>
      <c r="WXT16" s="344"/>
      <c r="WXU16" s="344"/>
      <c r="WXV16" s="344"/>
      <c r="WXW16" s="342"/>
      <c r="WXX16" s="342"/>
      <c r="WXY16" s="342"/>
      <c r="WXZ16" s="343"/>
      <c r="WYA16" s="343"/>
      <c r="WYB16" s="344"/>
      <c r="WYC16" s="344"/>
      <c r="WYD16" s="344"/>
      <c r="WYE16" s="342"/>
      <c r="WYF16" s="342"/>
      <c r="WYG16" s="342"/>
      <c r="WYH16" s="343"/>
      <c r="WYI16" s="343"/>
      <c r="WYJ16" s="344"/>
      <c r="WYK16" s="344"/>
      <c r="WYL16" s="344"/>
      <c r="WYM16" s="342"/>
      <c r="WYN16" s="342"/>
      <c r="WYO16" s="342"/>
      <c r="WYP16" s="343"/>
      <c r="WYQ16" s="343"/>
      <c r="WYR16" s="344"/>
      <c r="WYS16" s="344"/>
      <c r="WYT16" s="344"/>
      <c r="WYU16" s="342"/>
      <c r="WYV16" s="342"/>
      <c r="WYW16" s="342"/>
      <c r="WYX16" s="343"/>
      <c r="WYY16" s="343"/>
      <c r="WYZ16" s="344"/>
      <c r="WZA16" s="344"/>
      <c r="WZB16" s="344"/>
      <c r="WZC16" s="342"/>
      <c r="WZD16" s="342"/>
      <c r="WZE16" s="342"/>
      <c r="WZF16" s="343"/>
      <c r="WZG16" s="343"/>
      <c r="WZH16" s="344"/>
      <c r="WZI16" s="344"/>
      <c r="WZJ16" s="344"/>
      <c r="WZK16" s="342"/>
      <c r="WZL16" s="342"/>
      <c r="WZM16" s="342"/>
      <c r="WZN16" s="343"/>
      <c r="WZO16" s="343"/>
      <c r="WZP16" s="344"/>
      <c r="WZQ16" s="344"/>
      <c r="WZR16" s="344"/>
      <c r="WZS16" s="342"/>
      <c r="WZT16" s="342"/>
      <c r="WZU16" s="342"/>
      <c r="WZV16" s="343"/>
      <c r="WZW16" s="343"/>
      <c r="WZX16" s="344"/>
      <c r="WZY16" s="344"/>
      <c r="WZZ16" s="344"/>
      <c r="XAA16" s="342"/>
      <c r="XAB16" s="342"/>
      <c r="XAC16" s="342"/>
      <c r="XAD16" s="343"/>
      <c r="XAE16" s="343"/>
      <c r="XAF16" s="344"/>
      <c r="XAG16" s="344"/>
      <c r="XAH16" s="344"/>
      <c r="XAI16" s="342"/>
      <c r="XAJ16" s="342"/>
      <c r="XAK16" s="342"/>
      <c r="XAL16" s="343"/>
      <c r="XAM16" s="343"/>
      <c r="XAN16" s="344"/>
      <c r="XAO16" s="344"/>
      <c r="XAP16" s="344"/>
      <c r="XAQ16" s="342"/>
      <c r="XAR16" s="342"/>
      <c r="XAS16" s="342"/>
      <c r="XAT16" s="343"/>
      <c r="XAU16" s="343"/>
      <c r="XAV16" s="344"/>
      <c r="XAW16" s="344"/>
      <c r="XAX16" s="344"/>
      <c r="XAY16" s="342"/>
      <c r="XAZ16" s="342"/>
      <c r="XBA16" s="342"/>
      <c r="XBB16" s="343"/>
      <c r="XBC16" s="343"/>
      <c r="XBD16" s="344"/>
      <c r="XBE16" s="344"/>
      <c r="XBF16" s="344"/>
      <c r="XBG16" s="342"/>
      <c r="XBH16" s="342"/>
      <c r="XBI16" s="342"/>
      <c r="XBJ16" s="343"/>
      <c r="XBK16" s="343"/>
      <c r="XBL16" s="344"/>
      <c r="XBM16" s="344"/>
      <c r="XBN16" s="344"/>
      <c r="XBO16" s="342"/>
      <c r="XBP16" s="342"/>
      <c r="XBQ16" s="342"/>
      <c r="XBR16" s="343"/>
      <c r="XBS16" s="343"/>
      <c r="XBT16" s="344"/>
      <c r="XBU16" s="344"/>
      <c r="XBV16" s="344"/>
      <c r="XBW16" s="342"/>
      <c r="XBX16" s="342"/>
      <c r="XBY16" s="342"/>
      <c r="XBZ16" s="343"/>
      <c r="XCA16" s="343"/>
      <c r="XCB16" s="344"/>
      <c r="XCC16" s="344"/>
      <c r="XCD16" s="344"/>
      <c r="XCE16" s="342"/>
      <c r="XCF16" s="342"/>
      <c r="XCG16" s="342"/>
      <c r="XCH16" s="343"/>
      <c r="XCI16" s="343"/>
      <c r="XCJ16" s="344"/>
      <c r="XCK16" s="344"/>
      <c r="XCL16" s="344"/>
      <c r="XCM16" s="342"/>
      <c r="XCN16" s="342"/>
      <c r="XCO16" s="342"/>
      <c r="XCP16" s="343"/>
      <c r="XCQ16" s="343"/>
      <c r="XCR16" s="344"/>
      <c r="XCS16" s="344"/>
      <c r="XCT16" s="344"/>
      <c r="XCU16" s="342"/>
      <c r="XCV16" s="342"/>
      <c r="XCW16" s="342"/>
      <c r="XCX16" s="343"/>
      <c r="XCY16" s="343"/>
      <c r="XCZ16" s="344"/>
      <c r="XDA16" s="344"/>
      <c r="XDB16" s="344"/>
      <c r="XDC16" s="342"/>
      <c r="XDD16" s="342"/>
      <c r="XDE16" s="342"/>
      <c r="XDF16" s="343"/>
      <c r="XDG16" s="343"/>
      <c r="XDH16" s="344"/>
      <c r="XDI16" s="344"/>
      <c r="XDJ16" s="344"/>
      <c r="XDK16" s="342"/>
      <c r="XDL16" s="342"/>
      <c r="XDM16" s="342"/>
      <c r="XDN16" s="343"/>
      <c r="XDO16" s="343"/>
      <c r="XDP16" s="344"/>
      <c r="XDQ16" s="344"/>
      <c r="XDR16" s="344"/>
      <c r="XDS16" s="342"/>
      <c r="XDT16" s="342"/>
      <c r="XDU16" s="342"/>
      <c r="XDV16" s="343"/>
      <c r="XDW16" s="343"/>
      <c r="XDX16" s="344"/>
      <c r="XDY16" s="344"/>
      <c r="XDZ16" s="344"/>
      <c r="XEA16" s="342"/>
      <c r="XEB16" s="342"/>
      <c r="XEC16" s="342"/>
      <c r="XED16" s="343"/>
      <c r="XEE16" s="343"/>
      <c r="XEF16" s="344"/>
      <c r="XEG16" s="344"/>
      <c r="XEH16" s="344"/>
      <c r="XEI16" s="342"/>
      <c r="XEJ16" s="342"/>
      <c r="XEK16" s="342"/>
      <c r="XEL16" s="343"/>
      <c r="XEM16" s="343"/>
      <c r="XEN16" s="344"/>
      <c r="XEO16" s="344"/>
      <c r="XEP16" s="344"/>
      <c r="XEQ16" s="342"/>
      <c r="XER16" s="342"/>
      <c r="XES16" s="342"/>
      <c r="XET16" s="343"/>
      <c r="XEU16" s="343"/>
      <c r="XEV16" s="344"/>
      <c r="XEW16" s="344"/>
      <c r="XEX16" s="344"/>
      <c r="XEY16" s="342"/>
      <c r="XEZ16" s="342"/>
      <c r="XFA16" s="342"/>
    </row>
    <row r="17" spans="1:18" ht="21.75" customHeight="1" thickTop="1" thickBot="1">
      <c r="A17" s="421" t="s">
        <v>84</v>
      </c>
      <c r="B17" s="422"/>
      <c r="C17" s="430" t="s">
        <v>101</v>
      </c>
      <c r="D17" s="431"/>
      <c r="E17" s="432"/>
      <c r="F17" s="463">
        <f>+F9+F10+F14</f>
        <v>5247610117.9586</v>
      </c>
      <c r="G17" s="464"/>
      <c r="H17" s="465"/>
      <c r="I17" s="4"/>
      <c r="J17" s="45">
        <v>0.84</v>
      </c>
      <c r="K17" s="169">
        <f t="shared" si="1"/>
        <v>4916928105.5999994</v>
      </c>
      <c r="L17" s="4"/>
      <c r="M17" s="45">
        <v>0.84</v>
      </c>
      <c r="N17" s="39">
        <f t="shared" si="0"/>
        <v>4469934641.454545</v>
      </c>
      <c r="R17" s="231"/>
    </row>
    <row r="18" spans="1:18" ht="21.75" customHeight="1" thickTop="1">
      <c r="A18" s="412" t="s">
        <v>85</v>
      </c>
      <c r="B18" s="413"/>
      <c r="C18" s="373" t="s">
        <v>150</v>
      </c>
      <c r="D18" s="374"/>
      <c r="E18" s="375"/>
      <c r="F18" s="376">
        <f>F19+F20</f>
        <v>2012542.1591719997</v>
      </c>
      <c r="G18" s="377"/>
      <c r="H18" s="378"/>
      <c r="I18" s="4"/>
      <c r="J18" s="45">
        <v>0.83</v>
      </c>
      <c r="K18" s="169">
        <f t="shared" si="1"/>
        <v>4858393247.1999998</v>
      </c>
      <c r="L18" s="4"/>
      <c r="M18" s="45">
        <v>0.83</v>
      </c>
      <c r="N18" s="39">
        <f t="shared" si="0"/>
        <v>4416721133.818181</v>
      </c>
    </row>
    <row r="19" spans="1:18" ht="21.75" customHeight="1">
      <c r="A19" s="102" t="s">
        <v>69</v>
      </c>
      <c r="B19" s="100" t="s">
        <v>91</v>
      </c>
      <c r="C19" s="424" t="s">
        <v>141</v>
      </c>
      <c r="D19" s="425"/>
      <c r="E19" s="426"/>
      <c r="F19" s="417">
        <f>(F12+F13)*H6</f>
        <v>0</v>
      </c>
      <c r="G19" s="418"/>
      <c r="H19" s="419"/>
      <c r="I19" s="4"/>
      <c r="J19" s="45">
        <v>0.82</v>
      </c>
      <c r="K19" s="169">
        <f t="shared" si="1"/>
        <v>4799858388.7999992</v>
      </c>
      <c r="L19" s="4"/>
      <c r="M19" s="45">
        <v>0.82</v>
      </c>
      <c r="N19" s="39">
        <f t="shared" si="0"/>
        <v>4363507626.1818171</v>
      </c>
      <c r="R19" s="230"/>
    </row>
    <row r="20" spans="1:18" ht="21.75" customHeight="1" thickBot="1">
      <c r="A20" s="103" t="s">
        <v>76</v>
      </c>
      <c r="B20" s="101" t="s">
        <v>92</v>
      </c>
      <c r="C20" s="351" t="s">
        <v>142</v>
      </c>
      <c r="D20" s="352"/>
      <c r="E20" s="353"/>
      <c r="F20" s="456">
        <f>F14*H6</f>
        <v>2012542.1591719997</v>
      </c>
      <c r="G20" s="457"/>
      <c r="H20" s="458"/>
      <c r="I20" s="4"/>
      <c r="J20" s="45">
        <v>0.81</v>
      </c>
      <c r="K20" s="169">
        <f t="shared" si="1"/>
        <v>4741323530.4000006</v>
      </c>
      <c r="L20" s="4"/>
      <c r="M20" s="45">
        <v>0.81</v>
      </c>
      <c r="N20" s="39">
        <f t="shared" si="0"/>
        <v>4310294118.545454</v>
      </c>
      <c r="R20" s="230"/>
    </row>
    <row r="21" spans="1:18" ht="21.75" customHeight="1" thickTop="1">
      <c r="A21" s="412" t="s">
        <v>93</v>
      </c>
      <c r="B21" s="423"/>
      <c r="C21" s="427" t="s">
        <v>102</v>
      </c>
      <c r="D21" s="428"/>
      <c r="E21" s="429"/>
      <c r="F21" s="450">
        <f>F3-F17-F18+F11</f>
        <v>366703487.88222796</v>
      </c>
      <c r="G21" s="451"/>
      <c r="H21" s="452"/>
      <c r="I21" s="4"/>
      <c r="J21" s="46">
        <v>0.8</v>
      </c>
      <c r="K21" s="169">
        <f t="shared" si="1"/>
        <v>4682788672</v>
      </c>
      <c r="L21" s="4"/>
      <c r="M21" s="46">
        <v>0.8</v>
      </c>
      <c r="N21" s="39">
        <f t="shared" si="0"/>
        <v>4257080610.9090905</v>
      </c>
      <c r="R21" s="228"/>
    </row>
    <row r="22" spans="1:18" ht="21.75" customHeight="1" thickBot="1">
      <c r="A22" s="103"/>
      <c r="B22" s="101" t="s">
        <v>96</v>
      </c>
      <c r="C22" s="436" t="s">
        <v>103</v>
      </c>
      <c r="D22" s="437"/>
      <c r="E22" s="438"/>
      <c r="F22" s="439">
        <f>F21/F3</f>
        <v>7.0318091999497429E-2</v>
      </c>
      <c r="G22" s="440"/>
      <c r="H22" s="441"/>
      <c r="I22" s="4"/>
      <c r="J22" s="47">
        <v>0.78</v>
      </c>
      <c r="K22" s="169">
        <f t="shared" si="1"/>
        <v>4565718955.1999998</v>
      </c>
      <c r="L22" s="4"/>
      <c r="M22" s="47">
        <v>0.78</v>
      </c>
      <c r="N22" s="39">
        <f t="shared" si="0"/>
        <v>4150653595.6363635</v>
      </c>
    </row>
    <row r="23" spans="1:18" ht="21.75" customHeight="1" thickTop="1">
      <c r="A23" s="106" t="s">
        <v>94</v>
      </c>
      <c r="B23" s="82"/>
      <c r="C23" s="433" t="s">
        <v>104</v>
      </c>
      <c r="D23" s="434"/>
      <c r="E23" s="435"/>
      <c r="F23" s="450">
        <f>F21-F11</f>
        <v>-34698912.117772043</v>
      </c>
      <c r="G23" s="451"/>
      <c r="H23" s="452"/>
      <c r="I23" s="4"/>
      <c r="J23" s="47">
        <v>0.77</v>
      </c>
      <c r="K23" s="169">
        <f t="shared" si="1"/>
        <v>4507184096.8000002</v>
      </c>
      <c r="L23" s="4"/>
      <c r="M23" s="47">
        <v>0.77</v>
      </c>
      <c r="N23" s="39">
        <f t="shared" si="0"/>
        <v>4097440087.9999995</v>
      </c>
    </row>
    <row r="24" spans="1:18" ht="21.75" customHeight="1" thickBot="1">
      <c r="A24" s="103" t="s">
        <v>77</v>
      </c>
      <c r="B24" s="105" t="s">
        <v>97</v>
      </c>
      <c r="C24" s="436" t="s">
        <v>105</v>
      </c>
      <c r="D24" s="437"/>
      <c r="E24" s="438"/>
      <c r="F24" s="442">
        <f>F23/F3</f>
        <v>-6.6537717125930342E-3</v>
      </c>
      <c r="G24" s="443"/>
      <c r="H24" s="444"/>
      <c r="I24" s="4"/>
      <c r="J24" s="47">
        <v>0.76</v>
      </c>
      <c r="K24" s="169">
        <f t="shared" si="1"/>
        <v>4448649238.3999996</v>
      </c>
      <c r="L24" s="4"/>
      <c r="M24" s="47">
        <v>0.76</v>
      </c>
      <c r="N24" s="39">
        <f t="shared" si="0"/>
        <v>4044226580.363636</v>
      </c>
    </row>
    <row r="25" spans="1:18" ht="21.75" customHeight="1" thickTop="1">
      <c r="A25" s="412" t="s">
        <v>95</v>
      </c>
      <c r="B25" s="413"/>
      <c r="C25" s="427"/>
      <c r="D25" s="428"/>
      <c r="E25" s="429"/>
      <c r="F25" s="450">
        <f>SUM(F26:H29)</f>
        <v>257567418.29999998</v>
      </c>
      <c r="G25" s="451"/>
      <c r="H25" s="452"/>
      <c r="I25" s="4"/>
      <c r="J25" s="47">
        <v>0.75</v>
      </c>
      <c r="K25" s="169">
        <f t="shared" si="1"/>
        <v>4390114380</v>
      </c>
      <c r="L25" s="4"/>
      <c r="M25" s="47">
        <v>0.75</v>
      </c>
      <c r="N25" s="39">
        <f t="shared" si="0"/>
        <v>3991013072.727272</v>
      </c>
      <c r="R25" s="236"/>
    </row>
    <row r="26" spans="1:18" ht="21.75" customHeight="1">
      <c r="A26" s="102"/>
      <c r="B26" s="104" t="s">
        <v>98</v>
      </c>
      <c r="C26" s="448">
        <f>'5.인건비및간접비테이블'!C13</f>
        <v>2400000</v>
      </c>
      <c r="D26" s="449"/>
      <c r="E26" s="129">
        <f>'2.자체 및 외주 투입인력'!D12</f>
        <v>48</v>
      </c>
      <c r="F26" s="445">
        <f>C26*E26</f>
        <v>115200000</v>
      </c>
      <c r="G26" s="446"/>
      <c r="H26" s="447"/>
      <c r="I26" s="4"/>
      <c r="J26" s="47">
        <v>0.74</v>
      </c>
      <c r="K26" s="169">
        <f t="shared" si="1"/>
        <v>4331579521.6000004</v>
      </c>
      <c r="L26" s="4"/>
      <c r="M26" s="47">
        <v>0.74</v>
      </c>
      <c r="N26" s="39">
        <f t="shared" si="0"/>
        <v>3937799565.0909085</v>
      </c>
      <c r="R26" s="236"/>
    </row>
    <row r="27" spans="1:18" ht="21.75" customHeight="1">
      <c r="A27" s="102"/>
      <c r="B27" s="104" t="s">
        <v>99</v>
      </c>
      <c r="C27" s="448">
        <f>+'5.인건비및간접비테이블'!C14</f>
        <v>960000</v>
      </c>
      <c r="D27" s="449"/>
      <c r="E27" s="129">
        <f>'2.자체 및 외주 투입인력'!D25</f>
        <v>0</v>
      </c>
      <c r="F27" s="445">
        <f>C27*E27</f>
        <v>0</v>
      </c>
      <c r="G27" s="446"/>
      <c r="H27" s="447"/>
      <c r="I27" s="4"/>
      <c r="J27" s="47">
        <v>0.73</v>
      </c>
      <c r="K27" s="169">
        <f t="shared" si="1"/>
        <v>4273044663.1999998</v>
      </c>
      <c r="L27" s="4"/>
      <c r="M27" s="47">
        <v>0.73</v>
      </c>
      <c r="N27" s="39">
        <f t="shared" si="0"/>
        <v>3884586057.454545</v>
      </c>
    </row>
    <row r="28" spans="1:18" ht="21.75" customHeight="1">
      <c r="A28" s="102"/>
      <c r="B28" s="120" t="s">
        <v>128</v>
      </c>
      <c r="C28" s="459">
        <f>+F5</f>
        <v>4745580610</v>
      </c>
      <c r="D28" s="460"/>
      <c r="E28" s="130">
        <v>0.03</v>
      </c>
      <c r="F28" s="445">
        <f>C28*E28</f>
        <v>142367418.29999998</v>
      </c>
      <c r="G28" s="446"/>
      <c r="H28" s="447"/>
      <c r="I28" s="4"/>
      <c r="J28" s="47">
        <v>0.72</v>
      </c>
      <c r="K28" s="169">
        <f t="shared" si="1"/>
        <v>4214509804.7999997</v>
      </c>
      <c r="L28" s="4"/>
      <c r="M28" s="47">
        <v>0.72</v>
      </c>
      <c r="N28" s="39">
        <f t="shared" si="0"/>
        <v>3831372549.818181</v>
      </c>
    </row>
    <row r="29" spans="1:18" ht="21.75" customHeight="1" thickBot="1">
      <c r="A29" s="103"/>
      <c r="B29" s="119" t="s">
        <v>129</v>
      </c>
      <c r="C29" s="461">
        <f>+H5</f>
        <v>0</v>
      </c>
      <c r="D29" s="462"/>
      <c r="E29" s="131">
        <v>0.06</v>
      </c>
      <c r="F29" s="453">
        <f>C29*E29</f>
        <v>0</v>
      </c>
      <c r="G29" s="454"/>
      <c r="H29" s="455"/>
      <c r="I29" s="4"/>
      <c r="J29" s="47">
        <v>0.71</v>
      </c>
      <c r="K29" s="169">
        <f t="shared" si="1"/>
        <v>4155974946.3999996</v>
      </c>
      <c r="L29" s="4"/>
      <c r="M29" s="47">
        <v>0.71</v>
      </c>
      <c r="N29" s="39">
        <f t="shared" si="0"/>
        <v>3778159042.1818175</v>
      </c>
    </row>
    <row r="30" spans="1:18" ht="21.75" customHeight="1" thickTop="1" thickBot="1">
      <c r="A30" s="83" t="s">
        <v>100</v>
      </c>
      <c r="B30" s="84"/>
      <c r="C30" s="427" t="s">
        <v>113</v>
      </c>
      <c r="D30" s="428"/>
      <c r="E30" s="429"/>
      <c r="F30" s="333">
        <f>F23-F25</f>
        <v>-292266330.41777205</v>
      </c>
      <c r="G30" s="334"/>
      <c r="H30" s="335"/>
      <c r="I30" s="4"/>
      <c r="J30" s="48">
        <v>0.7</v>
      </c>
      <c r="K30" s="173">
        <f t="shared" si="1"/>
        <v>4097440087.9999995</v>
      </c>
      <c r="L30" s="4"/>
      <c r="M30" s="48">
        <v>0.7</v>
      </c>
      <c r="N30" s="223">
        <f t="shared" si="0"/>
        <v>3724945534.545454</v>
      </c>
    </row>
    <row r="31" spans="1:18" ht="21.75" customHeight="1" thickBot="1">
      <c r="A31" s="125"/>
      <c r="B31" s="126" t="s">
        <v>114</v>
      </c>
      <c r="C31" s="336" t="s">
        <v>112</v>
      </c>
      <c r="D31" s="337"/>
      <c r="E31" s="338"/>
      <c r="F31" s="339">
        <f>F30/F3</f>
        <v>-5.60442193483386E-2</v>
      </c>
      <c r="G31" s="340"/>
      <c r="H31" s="341"/>
      <c r="I31" s="4"/>
      <c r="J31" s="1"/>
      <c r="K31" s="1"/>
      <c r="M31" s="1"/>
      <c r="N31" s="1"/>
    </row>
    <row r="32" spans="1:18" ht="21.75" customHeight="1">
      <c r="A32" s="4"/>
      <c r="B32" s="4"/>
      <c r="C32" s="4"/>
      <c r="D32" s="4"/>
      <c r="E32" s="4"/>
      <c r="F32" s="368" t="s">
        <v>183</v>
      </c>
      <c r="G32" s="369"/>
      <c r="H32" s="139">
        <v>8.5000000000000006E-2</v>
      </c>
      <c r="I32" s="4"/>
      <c r="J32" s="1"/>
      <c r="K32" s="1"/>
      <c r="M32" s="1"/>
      <c r="N32" s="1"/>
    </row>
    <row r="33" spans="1:14" ht="20.25" customHeight="1">
      <c r="A33" s="4"/>
      <c r="B33" s="4"/>
      <c r="C33" s="4"/>
      <c r="D33" s="4"/>
      <c r="E33" s="4"/>
      <c r="F33" s="136" t="s">
        <v>130</v>
      </c>
      <c r="G33" s="135" t="s">
        <v>135</v>
      </c>
      <c r="H33" s="370" t="s">
        <v>140</v>
      </c>
      <c r="I33" s="4"/>
      <c r="J33" s="1"/>
      <c r="K33" s="1"/>
      <c r="M33" s="1"/>
      <c r="N33" s="1"/>
    </row>
    <row r="34" spans="1:14" ht="20.25" customHeight="1">
      <c r="A34" s="4"/>
      <c r="B34" s="4"/>
      <c r="C34" s="4"/>
      <c r="D34" s="4"/>
      <c r="E34" s="4"/>
      <c r="F34" s="136" t="s">
        <v>131</v>
      </c>
      <c r="G34" s="135" t="s">
        <v>136</v>
      </c>
      <c r="H34" s="371"/>
      <c r="I34" s="4"/>
      <c r="J34" s="1"/>
      <c r="K34" s="1"/>
      <c r="M34" s="1"/>
      <c r="N34" s="1"/>
    </row>
    <row r="35" spans="1:14" ht="20.25" customHeight="1">
      <c r="A35" s="8"/>
      <c r="B35" s="8"/>
      <c r="C35" s="4"/>
      <c r="D35" s="4"/>
      <c r="E35" s="4"/>
      <c r="F35" s="136" t="s">
        <v>132</v>
      </c>
      <c r="G35" s="135" t="s">
        <v>133</v>
      </c>
      <c r="H35" s="371"/>
      <c r="I35" s="4"/>
      <c r="J35" s="1"/>
      <c r="K35" s="1"/>
      <c r="M35" s="1"/>
      <c r="N35" s="1"/>
    </row>
    <row r="36" spans="1:14">
      <c r="A36" s="8"/>
      <c r="B36" s="8"/>
      <c r="C36" s="4"/>
      <c r="D36" s="4"/>
      <c r="E36" s="4"/>
      <c r="F36" s="136" t="s">
        <v>134</v>
      </c>
      <c r="G36" s="135" t="s">
        <v>137</v>
      </c>
      <c r="H36" s="371"/>
      <c r="I36" s="4"/>
      <c r="J36" s="1"/>
      <c r="K36" s="1"/>
      <c r="M36" s="1"/>
      <c r="N36" s="1"/>
    </row>
    <row r="37" spans="1:14" ht="17.25" thickBot="1">
      <c r="A37" s="8"/>
      <c r="B37" s="8"/>
      <c r="C37" s="4"/>
      <c r="D37" s="4"/>
      <c r="E37" s="4"/>
      <c r="F37" s="137" t="s">
        <v>138</v>
      </c>
      <c r="G37" s="138" t="s">
        <v>139</v>
      </c>
      <c r="H37" s="372"/>
      <c r="I37" s="4"/>
      <c r="J37" s="1"/>
      <c r="K37" s="1"/>
      <c r="M37" s="1"/>
      <c r="N37" s="1"/>
    </row>
    <row r="38" spans="1:14" ht="16.5" customHeight="1">
      <c r="A38" s="420" t="s">
        <v>10</v>
      </c>
      <c r="B38" s="420"/>
    </row>
    <row r="39" spans="1:14">
      <c r="A39" s="9" t="s">
        <v>11</v>
      </c>
      <c r="B39" s="10"/>
    </row>
    <row r="40" spans="1:14">
      <c r="A40" s="9" t="s">
        <v>62</v>
      </c>
      <c r="B40" s="10"/>
    </row>
    <row r="41" spans="1:14">
      <c r="A41" s="9" t="s">
        <v>12</v>
      </c>
      <c r="B41" s="10"/>
    </row>
    <row r="42" spans="1:14">
      <c r="A42" s="9" t="s">
        <v>63</v>
      </c>
      <c r="B42" s="10"/>
    </row>
  </sheetData>
  <mergeCells count="11074">
    <mergeCell ref="C10:D10"/>
    <mergeCell ref="B3:C3"/>
    <mergeCell ref="F3:H3"/>
    <mergeCell ref="D3:E3"/>
    <mergeCell ref="F32:G32"/>
    <mergeCell ref="H33:H37"/>
    <mergeCell ref="C18:E18"/>
    <mergeCell ref="F18:H18"/>
    <mergeCell ref="A1:H1"/>
    <mergeCell ref="J1:K1"/>
    <mergeCell ref="M1:N1"/>
    <mergeCell ref="B2:C2"/>
    <mergeCell ref="D2:E2"/>
    <mergeCell ref="F2:H2"/>
    <mergeCell ref="B4:C4"/>
    <mergeCell ref="F4:H4"/>
    <mergeCell ref="D6:E6"/>
    <mergeCell ref="A7:B7"/>
    <mergeCell ref="A8:B8"/>
    <mergeCell ref="C8:E8"/>
    <mergeCell ref="F8:H8"/>
    <mergeCell ref="A9:B9"/>
    <mergeCell ref="C9:E9"/>
    <mergeCell ref="F9:H9"/>
    <mergeCell ref="A10:B10"/>
    <mergeCell ref="F10:H10"/>
    <mergeCell ref="F11:H11"/>
    <mergeCell ref="F12:H12"/>
    <mergeCell ref="F13:H13"/>
    <mergeCell ref="A38:B38"/>
    <mergeCell ref="A25:B25"/>
    <mergeCell ref="A14:B14"/>
    <mergeCell ref="C14:E14"/>
    <mergeCell ref="F14:H14"/>
    <mergeCell ref="A17:B17"/>
    <mergeCell ref="A21:B21"/>
    <mergeCell ref="C15:E15"/>
    <mergeCell ref="F15:H15"/>
    <mergeCell ref="C21:E21"/>
    <mergeCell ref="C17:E17"/>
    <mergeCell ref="C23:E23"/>
    <mergeCell ref="C25:E25"/>
    <mergeCell ref="C22:E22"/>
    <mergeCell ref="F22:H22"/>
    <mergeCell ref="C24:E24"/>
    <mergeCell ref="F24:H24"/>
    <mergeCell ref="F26:H26"/>
    <mergeCell ref="F27:H27"/>
    <mergeCell ref="C30:E30"/>
    <mergeCell ref="C26:D26"/>
    <mergeCell ref="C27:D27"/>
    <mergeCell ref="F21:H21"/>
    <mergeCell ref="F29:H29"/>
    <mergeCell ref="C19:E19"/>
    <mergeCell ref="F19:H19"/>
    <mergeCell ref="C20:E20"/>
    <mergeCell ref="F20:H20"/>
    <mergeCell ref="A18:B18"/>
    <mergeCell ref="F28:H28"/>
    <mergeCell ref="C28:D28"/>
    <mergeCell ref="C29:D29"/>
    <mergeCell ref="F23:H23"/>
    <mergeCell ref="F17:H17"/>
    <mergeCell ref="F25:H25"/>
    <mergeCell ref="EDB15:EDC15"/>
    <mergeCell ref="EDD15:EDF15"/>
    <mergeCell ref="EDG15:EDI15"/>
    <mergeCell ref="EDJ15:EDK15"/>
    <mergeCell ref="EDL15:EDN15"/>
    <mergeCell ref="ECN15:ECP15"/>
    <mergeCell ref="ECQ15:ECS15"/>
    <mergeCell ref="ECT15:ECU15"/>
    <mergeCell ref="ECV15:ECX15"/>
    <mergeCell ref="ECY15:EDA15"/>
    <mergeCell ref="ECA15:ECC15"/>
    <mergeCell ref="ECD15:ECE15"/>
    <mergeCell ref="ECF15:ECH15"/>
    <mergeCell ref="ECI15:ECK15"/>
    <mergeCell ref="ECL15:ECM15"/>
    <mergeCell ref="EBN15:EBO15"/>
    <mergeCell ref="EBP15:EBR15"/>
    <mergeCell ref="EBS15:EBU15"/>
    <mergeCell ref="EBV15:EBW15"/>
    <mergeCell ref="EBX15:EBZ15"/>
    <mergeCell ref="EAZ15:EBB15"/>
    <mergeCell ref="EBC15:EBE15"/>
    <mergeCell ref="EBF15:EBG15"/>
    <mergeCell ref="EBH15:EBJ15"/>
    <mergeCell ref="EBK15:EBM15"/>
    <mergeCell ref="EAM15:EAO15"/>
    <mergeCell ref="EAP15:EAQ15"/>
    <mergeCell ref="EAR15:EAT15"/>
    <mergeCell ref="EAU15:EAW15"/>
    <mergeCell ref="EAX15:EAY15"/>
    <mergeCell ref="EAE15:EAG15"/>
    <mergeCell ref="EAH15:EAI15"/>
    <mergeCell ref="EAJ15:EAL15"/>
    <mergeCell ref="BL16:BN16"/>
    <mergeCell ref="BO16:BQ16"/>
    <mergeCell ref="BR16:BS16"/>
    <mergeCell ref="BT16:BV16"/>
    <mergeCell ref="BW16:BY16"/>
    <mergeCell ref="AY16:BA16"/>
    <mergeCell ref="BB16:BC16"/>
    <mergeCell ref="BD16:BF16"/>
    <mergeCell ref="BG16:BI16"/>
    <mergeCell ref="BJ16:BK16"/>
    <mergeCell ref="AL16:AM16"/>
    <mergeCell ref="AN16:AP16"/>
    <mergeCell ref="AQ16:AS16"/>
    <mergeCell ref="AT16:AU16"/>
    <mergeCell ref="AV16:AX16"/>
    <mergeCell ref="DV16:DW16"/>
    <mergeCell ref="DX16:DZ16"/>
    <mergeCell ref="CZ16:DB16"/>
    <mergeCell ref="DC16:DE16"/>
    <mergeCell ref="DF16:DG16"/>
    <mergeCell ref="DH16:DJ16"/>
    <mergeCell ref="DK16:DM16"/>
    <mergeCell ref="CM16:CO16"/>
    <mergeCell ref="CP16:CQ16"/>
    <mergeCell ref="CR16:CT16"/>
    <mergeCell ref="CU16:CW16"/>
    <mergeCell ref="CX16:CY16"/>
    <mergeCell ref="BZ16:CA16"/>
    <mergeCell ref="CB16:CD16"/>
    <mergeCell ref="EGQ15:EGS15"/>
    <mergeCell ref="EGT15:EGU15"/>
    <mergeCell ref="EGV15:EGX15"/>
    <mergeCell ref="EGY15:EHA15"/>
    <mergeCell ref="JR16:JS16"/>
    <mergeCell ref="JT16:JV16"/>
    <mergeCell ref="JW16:JY16"/>
    <mergeCell ref="JZ16:KA16"/>
    <mergeCell ref="KB16:KD16"/>
    <mergeCell ref="JD16:JF16"/>
    <mergeCell ref="JG16:JI16"/>
    <mergeCell ref="JJ16:JK16"/>
    <mergeCell ref="JL16:JN16"/>
    <mergeCell ref="JO16:JQ16"/>
    <mergeCell ref="CE16:CG16"/>
    <mergeCell ref="CH16:CI16"/>
    <mergeCell ref="CJ16:CL16"/>
    <mergeCell ref="IQ16:IS16"/>
    <mergeCell ref="IT16:IU16"/>
    <mergeCell ref="IV16:IX16"/>
    <mergeCell ref="IY16:JA16"/>
    <mergeCell ref="JB16:JC16"/>
    <mergeCell ref="ID16:IE16"/>
    <mergeCell ref="IF16:IH16"/>
    <mergeCell ref="II16:IK16"/>
    <mergeCell ref="IL16:IM16"/>
    <mergeCell ref="IN16:IP16"/>
    <mergeCell ref="HP16:HR16"/>
    <mergeCell ref="HS16:HU16"/>
    <mergeCell ref="HV16:HW16"/>
    <mergeCell ref="HX16:HZ16"/>
    <mergeCell ref="IA16:IC16"/>
    <mergeCell ref="HC16:HE16"/>
    <mergeCell ref="HF16:HG16"/>
    <mergeCell ref="HH16:HJ16"/>
    <mergeCell ref="EHB15:EHC15"/>
    <mergeCell ref="EGD15:EGE15"/>
    <mergeCell ref="EGF15:EGH15"/>
    <mergeCell ref="EGI15:EGK15"/>
    <mergeCell ref="EGL15:EGM15"/>
    <mergeCell ref="EGN15:EGP15"/>
    <mergeCell ref="EFP15:EFR15"/>
    <mergeCell ref="EFS15:EFU15"/>
    <mergeCell ref="EFV15:EFW15"/>
    <mergeCell ref="EFX15:EFZ15"/>
    <mergeCell ref="EGA15:EGC15"/>
    <mergeCell ref="EFC15:EFE15"/>
    <mergeCell ref="EFF15:EFG15"/>
    <mergeCell ref="EFH15:EFJ15"/>
    <mergeCell ref="EFK15:EFM15"/>
    <mergeCell ref="EFN15:EFO15"/>
    <mergeCell ref="EEP15:EEQ15"/>
    <mergeCell ref="EER15:EET15"/>
    <mergeCell ref="EEU15:EEW15"/>
    <mergeCell ref="EEX15:EEY15"/>
    <mergeCell ref="EEZ15:EFB15"/>
    <mergeCell ref="EEB15:EED15"/>
    <mergeCell ref="EEE15:EEG15"/>
    <mergeCell ref="EEH15:EEI15"/>
    <mergeCell ref="EEJ15:EEL15"/>
    <mergeCell ref="EEM15:EEO15"/>
    <mergeCell ref="EDO15:EDQ15"/>
    <mergeCell ref="EDR15:EDS15"/>
    <mergeCell ref="EDT15:EDV15"/>
    <mergeCell ref="EDW15:EDY15"/>
    <mergeCell ref="EDZ15:EEA15"/>
    <mergeCell ref="EKF15:EKH15"/>
    <mergeCell ref="EKI15:EKK15"/>
    <mergeCell ref="EKL15:EKM15"/>
    <mergeCell ref="EKN15:EKP15"/>
    <mergeCell ref="EKQ15:EKS15"/>
    <mergeCell ref="EJS15:EJU15"/>
    <mergeCell ref="EJV15:EJW15"/>
    <mergeCell ref="EJX15:EJZ15"/>
    <mergeCell ref="EKA15:EKC15"/>
    <mergeCell ref="EKD15:EKE15"/>
    <mergeCell ref="EJF15:EJG15"/>
    <mergeCell ref="EJH15:EJJ15"/>
    <mergeCell ref="EJK15:EJM15"/>
    <mergeCell ref="EJN15:EJO15"/>
    <mergeCell ref="EJP15:EJR15"/>
    <mergeCell ref="EIR15:EIT15"/>
    <mergeCell ref="EIU15:EIW15"/>
    <mergeCell ref="EIX15:EIY15"/>
    <mergeCell ref="EIZ15:EJB15"/>
    <mergeCell ref="EJC15:EJE15"/>
    <mergeCell ref="EIE15:EIG15"/>
    <mergeCell ref="EIH15:EII15"/>
    <mergeCell ref="EIJ15:EIL15"/>
    <mergeCell ref="EIM15:EIO15"/>
    <mergeCell ref="EIP15:EIQ15"/>
    <mergeCell ref="EHR15:EHS15"/>
    <mergeCell ref="EHT15:EHV15"/>
    <mergeCell ref="EHW15:EHY15"/>
    <mergeCell ref="EHZ15:EIA15"/>
    <mergeCell ref="EIB15:EID15"/>
    <mergeCell ref="EHD15:EHF15"/>
    <mergeCell ref="EHG15:EHI15"/>
    <mergeCell ref="EHJ15:EHK15"/>
    <mergeCell ref="EHL15:EHN15"/>
    <mergeCell ref="EHO15:EHQ15"/>
    <mergeCell ref="ENV15:ENW15"/>
    <mergeCell ref="ENX15:ENZ15"/>
    <mergeCell ref="EOA15:EOC15"/>
    <mergeCell ref="EOD15:EOE15"/>
    <mergeCell ref="EOF15:EOH15"/>
    <mergeCell ref="ENH15:ENJ15"/>
    <mergeCell ref="ENK15:ENM15"/>
    <mergeCell ref="ENN15:ENO15"/>
    <mergeCell ref="ENP15:ENR15"/>
    <mergeCell ref="ENS15:ENU15"/>
    <mergeCell ref="EMU15:EMW15"/>
    <mergeCell ref="EMX15:EMY15"/>
    <mergeCell ref="EMZ15:ENB15"/>
    <mergeCell ref="ENC15:ENE15"/>
    <mergeCell ref="ENF15:ENG15"/>
    <mergeCell ref="EMH15:EMI15"/>
    <mergeCell ref="EMJ15:EML15"/>
    <mergeCell ref="EMM15:EMO15"/>
    <mergeCell ref="EMP15:EMQ15"/>
    <mergeCell ref="EMR15:EMT15"/>
    <mergeCell ref="ELT15:ELV15"/>
    <mergeCell ref="ELW15:ELY15"/>
    <mergeCell ref="ELZ15:EMA15"/>
    <mergeCell ref="EMB15:EMD15"/>
    <mergeCell ref="EME15:EMG15"/>
    <mergeCell ref="ELG15:ELI15"/>
    <mergeCell ref="ELJ15:ELK15"/>
    <mergeCell ref="ELL15:ELN15"/>
    <mergeCell ref="ELO15:ELQ15"/>
    <mergeCell ref="ELR15:ELS15"/>
    <mergeCell ref="EKT15:EKU15"/>
    <mergeCell ref="EKV15:EKX15"/>
    <mergeCell ref="EKY15:ELA15"/>
    <mergeCell ref="ELB15:ELC15"/>
    <mergeCell ref="ELD15:ELF15"/>
    <mergeCell ref="ERK15:ERM15"/>
    <mergeCell ref="ERN15:ERO15"/>
    <mergeCell ref="ERP15:ERR15"/>
    <mergeCell ref="ERS15:ERU15"/>
    <mergeCell ref="ERV15:ERW15"/>
    <mergeCell ref="EQX15:EQY15"/>
    <mergeCell ref="EQZ15:ERB15"/>
    <mergeCell ref="ERC15:ERE15"/>
    <mergeCell ref="ERF15:ERG15"/>
    <mergeCell ref="ERH15:ERJ15"/>
    <mergeCell ref="EQJ15:EQL15"/>
    <mergeCell ref="EQM15:EQO15"/>
    <mergeCell ref="EQP15:EQQ15"/>
    <mergeCell ref="EQR15:EQT15"/>
    <mergeCell ref="EQU15:EQW15"/>
    <mergeCell ref="EPW15:EPY15"/>
    <mergeCell ref="EPZ15:EQA15"/>
    <mergeCell ref="EQB15:EQD15"/>
    <mergeCell ref="EQE15:EQG15"/>
    <mergeCell ref="EQH15:EQI15"/>
    <mergeCell ref="EPJ15:EPK15"/>
    <mergeCell ref="EPL15:EPN15"/>
    <mergeCell ref="EPO15:EPQ15"/>
    <mergeCell ref="EPR15:EPS15"/>
    <mergeCell ref="EPT15:EPV15"/>
    <mergeCell ref="EOV15:EOX15"/>
    <mergeCell ref="EOY15:EPA15"/>
    <mergeCell ref="EPB15:EPC15"/>
    <mergeCell ref="EPD15:EPF15"/>
    <mergeCell ref="EPG15:EPI15"/>
    <mergeCell ref="EOI15:EOK15"/>
    <mergeCell ref="EOL15:EOM15"/>
    <mergeCell ref="EON15:EOP15"/>
    <mergeCell ref="EOQ15:EOS15"/>
    <mergeCell ref="EOT15:EOU15"/>
    <mergeCell ref="EUZ15:EVB15"/>
    <mergeCell ref="EVC15:EVE15"/>
    <mergeCell ref="EVF15:EVG15"/>
    <mergeCell ref="EVH15:EVJ15"/>
    <mergeCell ref="EVK15:EVM15"/>
    <mergeCell ref="EUM15:EUO15"/>
    <mergeCell ref="EUP15:EUQ15"/>
    <mergeCell ref="EUR15:EUT15"/>
    <mergeCell ref="EUU15:EUW15"/>
    <mergeCell ref="EUX15:EUY15"/>
    <mergeCell ref="ETZ15:EUA15"/>
    <mergeCell ref="EUB15:EUD15"/>
    <mergeCell ref="EUE15:EUG15"/>
    <mergeCell ref="EUH15:EUI15"/>
    <mergeCell ref="EUJ15:EUL15"/>
    <mergeCell ref="ETL15:ETN15"/>
    <mergeCell ref="ETO15:ETQ15"/>
    <mergeCell ref="ETR15:ETS15"/>
    <mergeCell ref="ETT15:ETV15"/>
    <mergeCell ref="ETW15:ETY15"/>
    <mergeCell ref="ESY15:ETA15"/>
    <mergeCell ref="ETB15:ETC15"/>
    <mergeCell ref="ETD15:ETF15"/>
    <mergeCell ref="ETG15:ETI15"/>
    <mergeCell ref="ETJ15:ETK15"/>
    <mergeCell ref="ESL15:ESM15"/>
    <mergeCell ref="ESN15:ESP15"/>
    <mergeCell ref="ESQ15:ESS15"/>
    <mergeCell ref="EST15:ESU15"/>
    <mergeCell ref="ESV15:ESX15"/>
    <mergeCell ref="ERX15:ERZ15"/>
    <mergeCell ref="ESA15:ESC15"/>
    <mergeCell ref="ESD15:ESE15"/>
    <mergeCell ref="ESF15:ESH15"/>
    <mergeCell ref="ESI15:ESK15"/>
    <mergeCell ref="EYP15:EYQ15"/>
    <mergeCell ref="EYR15:EYT15"/>
    <mergeCell ref="EYU15:EYW15"/>
    <mergeCell ref="EYX15:EYY15"/>
    <mergeCell ref="EYZ15:EZB15"/>
    <mergeCell ref="EYB15:EYD15"/>
    <mergeCell ref="EYE15:EYG15"/>
    <mergeCell ref="EYH15:EYI15"/>
    <mergeCell ref="EYJ15:EYL15"/>
    <mergeCell ref="EYM15:EYO15"/>
    <mergeCell ref="EXO15:EXQ15"/>
    <mergeCell ref="EXR15:EXS15"/>
    <mergeCell ref="EXT15:EXV15"/>
    <mergeCell ref="EXW15:EXY15"/>
    <mergeCell ref="EXZ15:EYA15"/>
    <mergeCell ref="EXB15:EXC15"/>
    <mergeCell ref="EXD15:EXF15"/>
    <mergeCell ref="EXG15:EXI15"/>
    <mergeCell ref="EXJ15:EXK15"/>
    <mergeCell ref="EXL15:EXN15"/>
    <mergeCell ref="EWN15:EWP15"/>
    <mergeCell ref="EWQ15:EWS15"/>
    <mergeCell ref="EWT15:EWU15"/>
    <mergeCell ref="EWV15:EWX15"/>
    <mergeCell ref="EWY15:EXA15"/>
    <mergeCell ref="EWA15:EWC15"/>
    <mergeCell ref="EWD15:EWE15"/>
    <mergeCell ref="EWF15:EWH15"/>
    <mergeCell ref="EWI15:EWK15"/>
    <mergeCell ref="EWL15:EWM15"/>
    <mergeCell ref="EVN15:EVO15"/>
    <mergeCell ref="EVP15:EVR15"/>
    <mergeCell ref="EVS15:EVU15"/>
    <mergeCell ref="EVV15:EVW15"/>
    <mergeCell ref="EVX15:EVZ15"/>
    <mergeCell ref="FCE15:FCG15"/>
    <mergeCell ref="FCH15:FCI15"/>
    <mergeCell ref="FCJ15:FCL15"/>
    <mergeCell ref="FCM15:FCO15"/>
    <mergeCell ref="FCP15:FCQ15"/>
    <mergeCell ref="FBR15:FBS15"/>
    <mergeCell ref="FBT15:FBV15"/>
    <mergeCell ref="FBW15:FBY15"/>
    <mergeCell ref="FBZ15:FCA15"/>
    <mergeCell ref="FCB15:FCD15"/>
    <mergeCell ref="FBD15:FBF15"/>
    <mergeCell ref="FBG15:FBI15"/>
    <mergeCell ref="FBJ15:FBK15"/>
    <mergeCell ref="FBL15:FBN15"/>
    <mergeCell ref="FBO15:FBQ15"/>
    <mergeCell ref="FAQ15:FAS15"/>
    <mergeCell ref="FAT15:FAU15"/>
    <mergeCell ref="FAV15:FAX15"/>
    <mergeCell ref="FAY15:FBA15"/>
    <mergeCell ref="FBB15:FBC15"/>
    <mergeCell ref="FAD15:FAE15"/>
    <mergeCell ref="FAF15:FAH15"/>
    <mergeCell ref="FAI15:FAK15"/>
    <mergeCell ref="FAL15:FAM15"/>
    <mergeCell ref="FAN15:FAP15"/>
    <mergeCell ref="EZP15:EZR15"/>
    <mergeCell ref="EZS15:EZU15"/>
    <mergeCell ref="EZV15:EZW15"/>
    <mergeCell ref="EZX15:EZZ15"/>
    <mergeCell ref="FAA15:FAC15"/>
    <mergeCell ref="EZC15:EZE15"/>
    <mergeCell ref="EZF15:EZG15"/>
    <mergeCell ref="EZH15:EZJ15"/>
    <mergeCell ref="EZK15:EZM15"/>
    <mergeCell ref="EZN15:EZO15"/>
    <mergeCell ref="FFT15:FFV15"/>
    <mergeCell ref="FFW15:FFY15"/>
    <mergeCell ref="FFZ15:FGA15"/>
    <mergeCell ref="FGB15:FGD15"/>
    <mergeCell ref="FGE15:FGG15"/>
    <mergeCell ref="FFG15:FFI15"/>
    <mergeCell ref="FFJ15:FFK15"/>
    <mergeCell ref="FFL15:FFN15"/>
    <mergeCell ref="FFO15:FFQ15"/>
    <mergeCell ref="FFR15:FFS15"/>
    <mergeCell ref="FET15:FEU15"/>
    <mergeCell ref="FEV15:FEX15"/>
    <mergeCell ref="FEY15:FFA15"/>
    <mergeCell ref="FFB15:FFC15"/>
    <mergeCell ref="FFD15:FFF15"/>
    <mergeCell ref="FEF15:FEH15"/>
    <mergeCell ref="FEI15:FEK15"/>
    <mergeCell ref="FEL15:FEM15"/>
    <mergeCell ref="FEN15:FEP15"/>
    <mergeCell ref="FEQ15:FES15"/>
    <mergeCell ref="FDS15:FDU15"/>
    <mergeCell ref="FDV15:FDW15"/>
    <mergeCell ref="FDX15:FDZ15"/>
    <mergeCell ref="FEA15:FEC15"/>
    <mergeCell ref="FED15:FEE15"/>
    <mergeCell ref="FDF15:FDG15"/>
    <mergeCell ref="FDH15:FDJ15"/>
    <mergeCell ref="FDK15:FDM15"/>
    <mergeCell ref="FDN15:FDO15"/>
    <mergeCell ref="FDP15:FDR15"/>
    <mergeCell ref="FCR15:FCT15"/>
    <mergeCell ref="FCU15:FCW15"/>
    <mergeCell ref="FCX15:FCY15"/>
    <mergeCell ref="FCZ15:FDB15"/>
    <mergeCell ref="FDC15:FDE15"/>
    <mergeCell ref="FJJ15:FJK15"/>
    <mergeCell ref="FJL15:FJN15"/>
    <mergeCell ref="FJO15:FJQ15"/>
    <mergeCell ref="FJR15:FJS15"/>
    <mergeCell ref="FJT15:FJV15"/>
    <mergeCell ref="FIV15:FIX15"/>
    <mergeCell ref="FIY15:FJA15"/>
    <mergeCell ref="FJB15:FJC15"/>
    <mergeCell ref="FJD15:FJF15"/>
    <mergeCell ref="FJG15:FJI15"/>
    <mergeCell ref="FII15:FIK15"/>
    <mergeCell ref="FIL15:FIM15"/>
    <mergeCell ref="FIN15:FIP15"/>
    <mergeCell ref="FIQ15:FIS15"/>
    <mergeCell ref="FIT15:FIU15"/>
    <mergeCell ref="FHV15:FHW15"/>
    <mergeCell ref="FHX15:FHZ15"/>
    <mergeCell ref="FIA15:FIC15"/>
    <mergeCell ref="FID15:FIE15"/>
    <mergeCell ref="FIF15:FIH15"/>
    <mergeCell ref="FHH15:FHJ15"/>
    <mergeCell ref="FHK15:FHM15"/>
    <mergeCell ref="FHN15:FHO15"/>
    <mergeCell ref="FHP15:FHR15"/>
    <mergeCell ref="FHS15:FHU15"/>
    <mergeCell ref="FGU15:FGW15"/>
    <mergeCell ref="FGX15:FGY15"/>
    <mergeCell ref="FGZ15:FHB15"/>
    <mergeCell ref="FHC15:FHE15"/>
    <mergeCell ref="FHF15:FHG15"/>
    <mergeCell ref="FGH15:FGI15"/>
    <mergeCell ref="FGJ15:FGL15"/>
    <mergeCell ref="FGM15:FGO15"/>
    <mergeCell ref="FGP15:FGQ15"/>
    <mergeCell ref="FGR15:FGT15"/>
    <mergeCell ref="FMY15:FNA15"/>
    <mergeCell ref="FNB15:FNC15"/>
    <mergeCell ref="FND15:FNF15"/>
    <mergeCell ref="FNG15:FNI15"/>
    <mergeCell ref="FNJ15:FNK15"/>
    <mergeCell ref="FML15:FMM15"/>
    <mergeCell ref="FMN15:FMP15"/>
    <mergeCell ref="FMQ15:FMS15"/>
    <mergeCell ref="FMT15:FMU15"/>
    <mergeCell ref="FMV15:FMX15"/>
    <mergeCell ref="FLX15:FLZ15"/>
    <mergeCell ref="FMA15:FMC15"/>
    <mergeCell ref="FMD15:FME15"/>
    <mergeCell ref="FMF15:FMH15"/>
    <mergeCell ref="FMI15:FMK15"/>
    <mergeCell ref="FLK15:FLM15"/>
    <mergeCell ref="FLN15:FLO15"/>
    <mergeCell ref="FLP15:FLR15"/>
    <mergeCell ref="FLS15:FLU15"/>
    <mergeCell ref="FLV15:FLW15"/>
    <mergeCell ref="FKX15:FKY15"/>
    <mergeCell ref="FKZ15:FLB15"/>
    <mergeCell ref="FLC15:FLE15"/>
    <mergeCell ref="FLF15:FLG15"/>
    <mergeCell ref="FLH15:FLJ15"/>
    <mergeCell ref="FKJ15:FKL15"/>
    <mergeCell ref="FKM15:FKO15"/>
    <mergeCell ref="FKP15:FKQ15"/>
    <mergeCell ref="FKR15:FKT15"/>
    <mergeCell ref="FKU15:FKW15"/>
    <mergeCell ref="FJW15:FJY15"/>
    <mergeCell ref="FJZ15:FKA15"/>
    <mergeCell ref="FKB15:FKD15"/>
    <mergeCell ref="FKE15:FKG15"/>
    <mergeCell ref="FKH15:FKI15"/>
    <mergeCell ref="FQN15:FQP15"/>
    <mergeCell ref="FQQ15:FQS15"/>
    <mergeCell ref="FQT15:FQU15"/>
    <mergeCell ref="FQV15:FQX15"/>
    <mergeCell ref="FQY15:FRA15"/>
    <mergeCell ref="FQA15:FQC15"/>
    <mergeCell ref="FQD15:FQE15"/>
    <mergeCell ref="FQF15:FQH15"/>
    <mergeCell ref="FQI15:FQK15"/>
    <mergeCell ref="FQL15:FQM15"/>
    <mergeCell ref="FPN15:FPO15"/>
    <mergeCell ref="FPP15:FPR15"/>
    <mergeCell ref="FPS15:FPU15"/>
    <mergeCell ref="FPV15:FPW15"/>
    <mergeCell ref="FPX15:FPZ15"/>
    <mergeCell ref="FOZ15:FPB15"/>
    <mergeCell ref="FPC15:FPE15"/>
    <mergeCell ref="FPF15:FPG15"/>
    <mergeCell ref="FPH15:FPJ15"/>
    <mergeCell ref="FPK15:FPM15"/>
    <mergeCell ref="FOM15:FOO15"/>
    <mergeCell ref="FOP15:FOQ15"/>
    <mergeCell ref="FOR15:FOT15"/>
    <mergeCell ref="FOU15:FOW15"/>
    <mergeCell ref="FOX15:FOY15"/>
    <mergeCell ref="FNZ15:FOA15"/>
    <mergeCell ref="FOB15:FOD15"/>
    <mergeCell ref="FOE15:FOG15"/>
    <mergeCell ref="FOH15:FOI15"/>
    <mergeCell ref="FOJ15:FOL15"/>
    <mergeCell ref="FNL15:FNN15"/>
    <mergeCell ref="FNO15:FNQ15"/>
    <mergeCell ref="FNR15:FNS15"/>
    <mergeCell ref="FNT15:FNV15"/>
    <mergeCell ref="FNW15:FNY15"/>
    <mergeCell ref="FUD15:FUE15"/>
    <mergeCell ref="FUF15:FUH15"/>
    <mergeCell ref="FUI15:FUK15"/>
    <mergeCell ref="FUL15:FUM15"/>
    <mergeCell ref="FUN15:FUP15"/>
    <mergeCell ref="FTP15:FTR15"/>
    <mergeCell ref="FTS15:FTU15"/>
    <mergeCell ref="FTV15:FTW15"/>
    <mergeCell ref="FTX15:FTZ15"/>
    <mergeCell ref="FUA15:FUC15"/>
    <mergeCell ref="FTC15:FTE15"/>
    <mergeCell ref="FTF15:FTG15"/>
    <mergeCell ref="FTH15:FTJ15"/>
    <mergeCell ref="FTK15:FTM15"/>
    <mergeCell ref="FTN15:FTO15"/>
    <mergeCell ref="FSP15:FSQ15"/>
    <mergeCell ref="FSR15:FST15"/>
    <mergeCell ref="FSU15:FSW15"/>
    <mergeCell ref="FSX15:FSY15"/>
    <mergeCell ref="FSZ15:FTB15"/>
    <mergeCell ref="FSB15:FSD15"/>
    <mergeCell ref="FSE15:FSG15"/>
    <mergeCell ref="FSH15:FSI15"/>
    <mergeCell ref="FSJ15:FSL15"/>
    <mergeCell ref="FSM15:FSO15"/>
    <mergeCell ref="FRO15:FRQ15"/>
    <mergeCell ref="FRR15:FRS15"/>
    <mergeCell ref="FRT15:FRV15"/>
    <mergeCell ref="FRW15:FRY15"/>
    <mergeCell ref="FRZ15:FSA15"/>
    <mergeCell ref="FRB15:FRC15"/>
    <mergeCell ref="FRD15:FRF15"/>
    <mergeCell ref="FRG15:FRI15"/>
    <mergeCell ref="FRJ15:FRK15"/>
    <mergeCell ref="FRL15:FRN15"/>
    <mergeCell ref="FXS15:FXU15"/>
    <mergeCell ref="FXV15:FXW15"/>
    <mergeCell ref="FXX15:FXZ15"/>
    <mergeCell ref="FYA15:FYC15"/>
    <mergeCell ref="FYD15:FYE15"/>
    <mergeCell ref="FXF15:FXG15"/>
    <mergeCell ref="FXH15:FXJ15"/>
    <mergeCell ref="FXK15:FXM15"/>
    <mergeCell ref="FXN15:FXO15"/>
    <mergeCell ref="FXP15:FXR15"/>
    <mergeCell ref="FWR15:FWT15"/>
    <mergeCell ref="FWU15:FWW15"/>
    <mergeCell ref="FWX15:FWY15"/>
    <mergeCell ref="FWZ15:FXB15"/>
    <mergeCell ref="FXC15:FXE15"/>
    <mergeCell ref="FWE15:FWG15"/>
    <mergeCell ref="FWH15:FWI15"/>
    <mergeCell ref="FWJ15:FWL15"/>
    <mergeCell ref="FWM15:FWO15"/>
    <mergeCell ref="FWP15:FWQ15"/>
    <mergeCell ref="FVR15:FVS15"/>
    <mergeCell ref="FVT15:FVV15"/>
    <mergeCell ref="FVW15:FVY15"/>
    <mergeCell ref="FVZ15:FWA15"/>
    <mergeCell ref="FWB15:FWD15"/>
    <mergeCell ref="FVD15:FVF15"/>
    <mergeCell ref="FVG15:FVI15"/>
    <mergeCell ref="FVJ15:FVK15"/>
    <mergeCell ref="FVL15:FVN15"/>
    <mergeCell ref="FVO15:FVQ15"/>
    <mergeCell ref="FUQ15:FUS15"/>
    <mergeCell ref="FUT15:FUU15"/>
    <mergeCell ref="FUV15:FUX15"/>
    <mergeCell ref="FUY15:FVA15"/>
    <mergeCell ref="FVB15:FVC15"/>
    <mergeCell ref="GBH15:GBJ15"/>
    <mergeCell ref="GBK15:GBM15"/>
    <mergeCell ref="GBN15:GBO15"/>
    <mergeCell ref="GBP15:GBR15"/>
    <mergeCell ref="GBS15:GBU15"/>
    <mergeCell ref="GAU15:GAW15"/>
    <mergeCell ref="GAX15:GAY15"/>
    <mergeCell ref="GAZ15:GBB15"/>
    <mergeCell ref="GBC15:GBE15"/>
    <mergeCell ref="GBF15:GBG15"/>
    <mergeCell ref="GAH15:GAI15"/>
    <mergeCell ref="GAJ15:GAL15"/>
    <mergeCell ref="GAM15:GAO15"/>
    <mergeCell ref="GAP15:GAQ15"/>
    <mergeCell ref="GAR15:GAT15"/>
    <mergeCell ref="FZT15:FZV15"/>
    <mergeCell ref="FZW15:FZY15"/>
    <mergeCell ref="FZZ15:GAA15"/>
    <mergeCell ref="GAB15:GAD15"/>
    <mergeCell ref="GAE15:GAG15"/>
    <mergeCell ref="FZG15:FZI15"/>
    <mergeCell ref="FZJ15:FZK15"/>
    <mergeCell ref="FZL15:FZN15"/>
    <mergeCell ref="FZO15:FZQ15"/>
    <mergeCell ref="FZR15:FZS15"/>
    <mergeCell ref="FYT15:FYU15"/>
    <mergeCell ref="FYV15:FYX15"/>
    <mergeCell ref="FYY15:FZA15"/>
    <mergeCell ref="FZB15:FZC15"/>
    <mergeCell ref="FZD15:FZF15"/>
    <mergeCell ref="FYF15:FYH15"/>
    <mergeCell ref="FYI15:FYK15"/>
    <mergeCell ref="FYL15:FYM15"/>
    <mergeCell ref="FYN15:FYP15"/>
    <mergeCell ref="FYQ15:FYS15"/>
    <mergeCell ref="GEX15:GEY15"/>
    <mergeCell ref="GEZ15:GFB15"/>
    <mergeCell ref="GFC15:GFE15"/>
    <mergeCell ref="GFF15:GFG15"/>
    <mergeCell ref="GFH15:GFJ15"/>
    <mergeCell ref="GEJ15:GEL15"/>
    <mergeCell ref="GEM15:GEO15"/>
    <mergeCell ref="GEP15:GEQ15"/>
    <mergeCell ref="GER15:GET15"/>
    <mergeCell ref="GEU15:GEW15"/>
    <mergeCell ref="GDW15:GDY15"/>
    <mergeCell ref="GDZ15:GEA15"/>
    <mergeCell ref="GEB15:GED15"/>
    <mergeCell ref="GEE15:GEG15"/>
    <mergeCell ref="GEH15:GEI15"/>
    <mergeCell ref="GDJ15:GDK15"/>
    <mergeCell ref="GDL15:GDN15"/>
    <mergeCell ref="GDO15:GDQ15"/>
    <mergeCell ref="GDR15:GDS15"/>
    <mergeCell ref="GDT15:GDV15"/>
    <mergeCell ref="GCV15:GCX15"/>
    <mergeCell ref="GCY15:GDA15"/>
    <mergeCell ref="GDB15:GDC15"/>
    <mergeCell ref="GDD15:GDF15"/>
    <mergeCell ref="GDG15:GDI15"/>
    <mergeCell ref="GCI15:GCK15"/>
    <mergeCell ref="GCL15:GCM15"/>
    <mergeCell ref="GCN15:GCP15"/>
    <mergeCell ref="GCQ15:GCS15"/>
    <mergeCell ref="GCT15:GCU15"/>
    <mergeCell ref="GBV15:GBW15"/>
    <mergeCell ref="GBX15:GBZ15"/>
    <mergeCell ref="GCA15:GCC15"/>
    <mergeCell ref="GCD15:GCE15"/>
    <mergeCell ref="GCF15:GCH15"/>
    <mergeCell ref="GIM15:GIO15"/>
    <mergeCell ref="GIP15:GIQ15"/>
    <mergeCell ref="GIR15:GIT15"/>
    <mergeCell ref="GIU15:GIW15"/>
    <mergeCell ref="GIX15:GIY15"/>
    <mergeCell ref="GHZ15:GIA15"/>
    <mergeCell ref="GIB15:GID15"/>
    <mergeCell ref="GIE15:GIG15"/>
    <mergeCell ref="GIH15:GII15"/>
    <mergeCell ref="GIJ15:GIL15"/>
    <mergeCell ref="GHL15:GHN15"/>
    <mergeCell ref="GHO15:GHQ15"/>
    <mergeCell ref="GHR15:GHS15"/>
    <mergeCell ref="GHT15:GHV15"/>
    <mergeCell ref="GHW15:GHY15"/>
    <mergeCell ref="GGY15:GHA15"/>
    <mergeCell ref="GHB15:GHC15"/>
    <mergeCell ref="GHD15:GHF15"/>
    <mergeCell ref="GHG15:GHI15"/>
    <mergeCell ref="GHJ15:GHK15"/>
    <mergeCell ref="GGL15:GGM15"/>
    <mergeCell ref="GGN15:GGP15"/>
    <mergeCell ref="GGQ15:GGS15"/>
    <mergeCell ref="GGT15:GGU15"/>
    <mergeCell ref="GGV15:GGX15"/>
    <mergeCell ref="GFX15:GFZ15"/>
    <mergeCell ref="GGA15:GGC15"/>
    <mergeCell ref="GGD15:GGE15"/>
    <mergeCell ref="GGF15:GGH15"/>
    <mergeCell ref="GGI15:GGK15"/>
    <mergeCell ref="GFK15:GFM15"/>
    <mergeCell ref="GFN15:GFO15"/>
    <mergeCell ref="GFP15:GFR15"/>
    <mergeCell ref="GFS15:GFU15"/>
    <mergeCell ref="GFV15:GFW15"/>
    <mergeCell ref="GMB15:GMD15"/>
    <mergeCell ref="GME15:GMG15"/>
    <mergeCell ref="GMH15:GMI15"/>
    <mergeCell ref="GMJ15:GML15"/>
    <mergeCell ref="GMM15:GMO15"/>
    <mergeCell ref="GLO15:GLQ15"/>
    <mergeCell ref="GLR15:GLS15"/>
    <mergeCell ref="GLT15:GLV15"/>
    <mergeCell ref="GLW15:GLY15"/>
    <mergeCell ref="GLZ15:GMA15"/>
    <mergeCell ref="GLB15:GLC15"/>
    <mergeCell ref="GLD15:GLF15"/>
    <mergeCell ref="GLG15:GLI15"/>
    <mergeCell ref="GLJ15:GLK15"/>
    <mergeCell ref="GLL15:GLN15"/>
    <mergeCell ref="GKN15:GKP15"/>
    <mergeCell ref="GKQ15:GKS15"/>
    <mergeCell ref="GKT15:GKU15"/>
    <mergeCell ref="GKV15:GKX15"/>
    <mergeCell ref="GKY15:GLA15"/>
    <mergeCell ref="GKA15:GKC15"/>
    <mergeCell ref="GKD15:GKE15"/>
    <mergeCell ref="GKF15:GKH15"/>
    <mergeCell ref="GKI15:GKK15"/>
    <mergeCell ref="GKL15:GKM15"/>
    <mergeCell ref="GJN15:GJO15"/>
    <mergeCell ref="GJP15:GJR15"/>
    <mergeCell ref="GJS15:GJU15"/>
    <mergeCell ref="GJV15:GJW15"/>
    <mergeCell ref="GJX15:GJZ15"/>
    <mergeCell ref="GIZ15:GJB15"/>
    <mergeCell ref="GJC15:GJE15"/>
    <mergeCell ref="GJF15:GJG15"/>
    <mergeCell ref="GJH15:GJJ15"/>
    <mergeCell ref="GJK15:GJM15"/>
    <mergeCell ref="GPR15:GPS15"/>
    <mergeCell ref="GPT15:GPV15"/>
    <mergeCell ref="GPW15:GPY15"/>
    <mergeCell ref="GPZ15:GQA15"/>
    <mergeCell ref="GQB15:GQD15"/>
    <mergeCell ref="GPD15:GPF15"/>
    <mergeCell ref="GPG15:GPI15"/>
    <mergeCell ref="GPJ15:GPK15"/>
    <mergeCell ref="GPL15:GPN15"/>
    <mergeCell ref="GPO15:GPQ15"/>
    <mergeCell ref="GOQ15:GOS15"/>
    <mergeCell ref="GOT15:GOU15"/>
    <mergeCell ref="GOV15:GOX15"/>
    <mergeCell ref="GOY15:GPA15"/>
    <mergeCell ref="GPB15:GPC15"/>
    <mergeCell ref="GOD15:GOE15"/>
    <mergeCell ref="GOF15:GOH15"/>
    <mergeCell ref="GOI15:GOK15"/>
    <mergeCell ref="GOL15:GOM15"/>
    <mergeCell ref="GON15:GOP15"/>
    <mergeCell ref="GNP15:GNR15"/>
    <mergeCell ref="GNS15:GNU15"/>
    <mergeCell ref="GNV15:GNW15"/>
    <mergeCell ref="GNX15:GNZ15"/>
    <mergeCell ref="GOA15:GOC15"/>
    <mergeCell ref="GNC15:GNE15"/>
    <mergeCell ref="GNF15:GNG15"/>
    <mergeCell ref="GNH15:GNJ15"/>
    <mergeCell ref="GNK15:GNM15"/>
    <mergeCell ref="GNN15:GNO15"/>
    <mergeCell ref="GMP15:GMQ15"/>
    <mergeCell ref="GMR15:GMT15"/>
    <mergeCell ref="GMU15:GMW15"/>
    <mergeCell ref="GMX15:GMY15"/>
    <mergeCell ref="GMZ15:GNB15"/>
    <mergeCell ref="GTG15:GTI15"/>
    <mergeCell ref="GTJ15:GTK15"/>
    <mergeCell ref="GTL15:GTN15"/>
    <mergeCell ref="GTO15:GTQ15"/>
    <mergeCell ref="GTR15:GTS15"/>
    <mergeCell ref="GST15:GSU15"/>
    <mergeCell ref="GSV15:GSX15"/>
    <mergeCell ref="GSY15:GTA15"/>
    <mergeCell ref="GTB15:GTC15"/>
    <mergeCell ref="GTD15:GTF15"/>
    <mergeCell ref="GSF15:GSH15"/>
    <mergeCell ref="GSI15:GSK15"/>
    <mergeCell ref="GSL15:GSM15"/>
    <mergeCell ref="GSN15:GSP15"/>
    <mergeCell ref="GSQ15:GSS15"/>
    <mergeCell ref="GRS15:GRU15"/>
    <mergeCell ref="GRV15:GRW15"/>
    <mergeCell ref="GRX15:GRZ15"/>
    <mergeCell ref="GSA15:GSC15"/>
    <mergeCell ref="GSD15:GSE15"/>
    <mergeCell ref="GRF15:GRG15"/>
    <mergeCell ref="GRH15:GRJ15"/>
    <mergeCell ref="GRK15:GRM15"/>
    <mergeCell ref="GRN15:GRO15"/>
    <mergeCell ref="GRP15:GRR15"/>
    <mergeCell ref="GQR15:GQT15"/>
    <mergeCell ref="GQU15:GQW15"/>
    <mergeCell ref="GQX15:GQY15"/>
    <mergeCell ref="GQZ15:GRB15"/>
    <mergeCell ref="GRC15:GRE15"/>
    <mergeCell ref="GQE15:GQG15"/>
    <mergeCell ref="GQH15:GQI15"/>
    <mergeCell ref="GQJ15:GQL15"/>
    <mergeCell ref="GQM15:GQO15"/>
    <mergeCell ref="GQP15:GQQ15"/>
    <mergeCell ref="GWV15:GWX15"/>
    <mergeCell ref="GWY15:GXA15"/>
    <mergeCell ref="GXB15:GXC15"/>
    <mergeCell ref="GXD15:GXF15"/>
    <mergeCell ref="GXG15:GXI15"/>
    <mergeCell ref="GWI15:GWK15"/>
    <mergeCell ref="GWL15:GWM15"/>
    <mergeCell ref="GWN15:GWP15"/>
    <mergeCell ref="GWQ15:GWS15"/>
    <mergeCell ref="GWT15:GWU15"/>
    <mergeCell ref="GVV15:GVW15"/>
    <mergeCell ref="GVX15:GVZ15"/>
    <mergeCell ref="GWA15:GWC15"/>
    <mergeCell ref="GWD15:GWE15"/>
    <mergeCell ref="GWF15:GWH15"/>
    <mergeCell ref="GVH15:GVJ15"/>
    <mergeCell ref="GVK15:GVM15"/>
    <mergeCell ref="GVN15:GVO15"/>
    <mergeCell ref="GVP15:GVR15"/>
    <mergeCell ref="GVS15:GVU15"/>
    <mergeCell ref="GUU15:GUW15"/>
    <mergeCell ref="GUX15:GUY15"/>
    <mergeCell ref="GUZ15:GVB15"/>
    <mergeCell ref="GVC15:GVE15"/>
    <mergeCell ref="GVF15:GVG15"/>
    <mergeCell ref="GUH15:GUI15"/>
    <mergeCell ref="GUJ15:GUL15"/>
    <mergeCell ref="GUM15:GUO15"/>
    <mergeCell ref="GUP15:GUQ15"/>
    <mergeCell ref="GUR15:GUT15"/>
    <mergeCell ref="GTT15:GTV15"/>
    <mergeCell ref="GTW15:GTY15"/>
    <mergeCell ref="GTZ15:GUA15"/>
    <mergeCell ref="GUB15:GUD15"/>
    <mergeCell ref="GUE15:GUG15"/>
    <mergeCell ref="HAL15:HAM15"/>
    <mergeCell ref="HAN15:HAP15"/>
    <mergeCell ref="HAQ15:HAS15"/>
    <mergeCell ref="HAT15:HAU15"/>
    <mergeCell ref="HAV15:HAX15"/>
    <mergeCell ref="GZX15:GZZ15"/>
    <mergeCell ref="HAA15:HAC15"/>
    <mergeCell ref="HAD15:HAE15"/>
    <mergeCell ref="HAF15:HAH15"/>
    <mergeCell ref="HAI15:HAK15"/>
    <mergeCell ref="GZK15:GZM15"/>
    <mergeCell ref="GZN15:GZO15"/>
    <mergeCell ref="GZP15:GZR15"/>
    <mergeCell ref="GZS15:GZU15"/>
    <mergeCell ref="GZV15:GZW15"/>
    <mergeCell ref="GYX15:GYY15"/>
    <mergeCell ref="GYZ15:GZB15"/>
    <mergeCell ref="GZC15:GZE15"/>
    <mergeCell ref="GZF15:GZG15"/>
    <mergeCell ref="GZH15:GZJ15"/>
    <mergeCell ref="GYJ15:GYL15"/>
    <mergeCell ref="GYM15:GYO15"/>
    <mergeCell ref="GYP15:GYQ15"/>
    <mergeCell ref="GYR15:GYT15"/>
    <mergeCell ref="GYU15:GYW15"/>
    <mergeCell ref="GXW15:GXY15"/>
    <mergeCell ref="GXZ15:GYA15"/>
    <mergeCell ref="GYB15:GYD15"/>
    <mergeCell ref="GYE15:GYG15"/>
    <mergeCell ref="GYH15:GYI15"/>
    <mergeCell ref="GXJ15:GXK15"/>
    <mergeCell ref="GXL15:GXN15"/>
    <mergeCell ref="GXO15:GXQ15"/>
    <mergeCell ref="GXR15:GXS15"/>
    <mergeCell ref="GXT15:GXV15"/>
    <mergeCell ref="HEA15:HEC15"/>
    <mergeCell ref="HED15:HEE15"/>
    <mergeCell ref="HEF15:HEH15"/>
    <mergeCell ref="HEI15:HEK15"/>
    <mergeCell ref="HEL15:HEM15"/>
    <mergeCell ref="HDN15:HDO15"/>
    <mergeCell ref="HDP15:HDR15"/>
    <mergeCell ref="HDS15:HDU15"/>
    <mergeCell ref="HDV15:HDW15"/>
    <mergeCell ref="HDX15:HDZ15"/>
    <mergeCell ref="HCZ15:HDB15"/>
    <mergeCell ref="HDC15:HDE15"/>
    <mergeCell ref="HDF15:HDG15"/>
    <mergeCell ref="HDH15:HDJ15"/>
    <mergeCell ref="HDK15:HDM15"/>
    <mergeCell ref="HCM15:HCO15"/>
    <mergeCell ref="HCP15:HCQ15"/>
    <mergeCell ref="HCR15:HCT15"/>
    <mergeCell ref="HCU15:HCW15"/>
    <mergeCell ref="HCX15:HCY15"/>
    <mergeCell ref="HBZ15:HCA15"/>
    <mergeCell ref="HCB15:HCD15"/>
    <mergeCell ref="HCE15:HCG15"/>
    <mergeCell ref="HCH15:HCI15"/>
    <mergeCell ref="HCJ15:HCL15"/>
    <mergeCell ref="HBL15:HBN15"/>
    <mergeCell ref="HBO15:HBQ15"/>
    <mergeCell ref="HBR15:HBS15"/>
    <mergeCell ref="HBT15:HBV15"/>
    <mergeCell ref="HBW15:HBY15"/>
    <mergeCell ref="HAY15:HBA15"/>
    <mergeCell ref="HBB15:HBC15"/>
    <mergeCell ref="HBD15:HBF15"/>
    <mergeCell ref="HBG15:HBI15"/>
    <mergeCell ref="HBJ15:HBK15"/>
    <mergeCell ref="HHP15:HHR15"/>
    <mergeCell ref="HHS15:HHU15"/>
    <mergeCell ref="HHV15:HHW15"/>
    <mergeCell ref="HHX15:HHZ15"/>
    <mergeCell ref="HIA15:HIC15"/>
    <mergeCell ref="HHC15:HHE15"/>
    <mergeCell ref="HHF15:HHG15"/>
    <mergeCell ref="HHH15:HHJ15"/>
    <mergeCell ref="HHK15:HHM15"/>
    <mergeCell ref="HHN15:HHO15"/>
    <mergeCell ref="HGP15:HGQ15"/>
    <mergeCell ref="HGR15:HGT15"/>
    <mergeCell ref="HGU15:HGW15"/>
    <mergeCell ref="HGX15:HGY15"/>
    <mergeCell ref="HGZ15:HHB15"/>
    <mergeCell ref="HGB15:HGD15"/>
    <mergeCell ref="HGE15:HGG15"/>
    <mergeCell ref="HGH15:HGI15"/>
    <mergeCell ref="HGJ15:HGL15"/>
    <mergeCell ref="HGM15:HGO15"/>
    <mergeCell ref="HFO15:HFQ15"/>
    <mergeCell ref="HFR15:HFS15"/>
    <mergeCell ref="HFT15:HFV15"/>
    <mergeCell ref="HFW15:HFY15"/>
    <mergeCell ref="HFZ15:HGA15"/>
    <mergeCell ref="HFB15:HFC15"/>
    <mergeCell ref="HFD15:HFF15"/>
    <mergeCell ref="HFG15:HFI15"/>
    <mergeCell ref="HFJ15:HFK15"/>
    <mergeCell ref="HFL15:HFN15"/>
    <mergeCell ref="HEN15:HEP15"/>
    <mergeCell ref="HEQ15:HES15"/>
    <mergeCell ref="HET15:HEU15"/>
    <mergeCell ref="HEV15:HEX15"/>
    <mergeCell ref="HEY15:HFA15"/>
    <mergeCell ref="HLF15:HLG15"/>
    <mergeCell ref="HLH15:HLJ15"/>
    <mergeCell ref="HLK15:HLM15"/>
    <mergeCell ref="HLN15:HLO15"/>
    <mergeCell ref="HLP15:HLR15"/>
    <mergeCell ref="HKR15:HKT15"/>
    <mergeCell ref="HKU15:HKW15"/>
    <mergeCell ref="HKX15:HKY15"/>
    <mergeCell ref="HKZ15:HLB15"/>
    <mergeCell ref="HLC15:HLE15"/>
    <mergeCell ref="HKE15:HKG15"/>
    <mergeCell ref="HKH15:HKI15"/>
    <mergeCell ref="HKJ15:HKL15"/>
    <mergeCell ref="HKM15:HKO15"/>
    <mergeCell ref="HKP15:HKQ15"/>
    <mergeCell ref="HJR15:HJS15"/>
    <mergeCell ref="HJT15:HJV15"/>
    <mergeCell ref="HJW15:HJY15"/>
    <mergeCell ref="HJZ15:HKA15"/>
    <mergeCell ref="HKB15:HKD15"/>
    <mergeCell ref="HJD15:HJF15"/>
    <mergeCell ref="HJG15:HJI15"/>
    <mergeCell ref="HJJ15:HJK15"/>
    <mergeCell ref="HJL15:HJN15"/>
    <mergeCell ref="HJO15:HJQ15"/>
    <mergeCell ref="HIQ15:HIS15"/>
    <mergeCell ref="HIT15:HIU15"/>
    <mergeCell ref="HIV15:HIX15"/>
    <mergeCell ref="HIY15:HJA15"/>
    <mergeCell ref="HJB15:HJC15"/>
    <mergeCell ref="HID15:HIE15"/>
    <mergeCell ref="HIF15:HIH15"/>
    <mergeCell ref="HII15:HIK15"/>
    <mergeCell ref="HIL15:HIM15"/>
    <mergeCell ref="HIN15:HIP15"/>
    <mergeCell ref="HOU15:HOW15"/>
    <mergeCell ref="HOX15:HOY15"/>
    <mergeCell ref="HOZ15:HPB15"/>
    <mergeCell ref="HPC15:HPE15"/>
    <mergeCell ref="HPF15:HPG15"/>
    <mergeCell ref="HOH15:HOI15"/>
    <mergeCell ref="HOJ15:HOL15"/>
    <mergeCell ref="HOM15:HOO15"/>
    <mergeCell ref="HOP15:HOQ15"/>
    <mergeCell ref="HOR15:HOT15"/>
    <mergeCell ref="HNT15:HNV15"/>
    <mergeCell ref="HNW15:HNY15"/>
    <mergeCell ref="HNZ15:HOA15"/>
    <mergeCell ref="HOB15:HOD15"/>
    <mergeCell ref="HOE15:HOG15"/>
    <mergeCell ref="HNG15:HNI15"/>
    <mergeCell ref="HNJ15:HNK15"/>
    <mergeCell ref="HNL15:HNN15"/>
    <mergeCell ref="HNO15:HNQ15"/>
    <mergeCell ref="HNR15:HNS15"/>
    <mergeCell ref="HMT15:HMU15"/>
    <mergeCell ref="HMV15:HMX15"/>
    <mergeCell ref="HMY15:HNA15"/>
    <mergeCell ref="HNB15:HNC15"/>
    <mergeCell ref="HND15:HNF15"/>
    <mergeCell ref="HMF15:HMH15"/>
    <mergeCell ref="HMI15:HMK15"/>
    <mergeCell ref="HML15:HMM15"/>
    <mergeCell ref="HMN15:HMP15"/>
    <mergeCell ref="HMQ15:HMS15"/>
    <mergeCell ref="HLS15:HLU15"/>
    <mergeCell ref="HLV15:HLW15"/>
    <mergeCell ref="HLX15:HLZ15"/>
    <mergeCell ref="HMA15:HMC15"/>
    <mergeCell ref="HMD15:HME15"/>
    <mergeCell ref="HSJ15:HSL15"/>
    <mergeCell ref="HSM15:HSO15"/>
    <mergeCell ref="HSP15:HSQ15"/>
    <mergeCell ref="HSR15:HST15"/>
    <mergeCell ref="HSU15:HSW15"/>
    <mergeCell ref="HRW15:HRY15"/>
    <mergeCell ref="HRZ15:HSA15"/>
    <mergeCell ref="HSB15:HSD15"/>
    <mergeCell ref="HSE15:HSG15"/>
    <mergeCell ref="HSH15:HSI15"/>
    <mergeCell ref="HRJ15:HRK15"/>
    <mergeCell ref="HRL15:HRN15"/>
    <mergeCell ref="HRO15:HRQ15"/>
    <mergeCell ref="HRR15:HRS15"/>
    <mergeCell ref="HRT15:HRV15"/>
    <mergeCell ref="HQV15:HQX15"/>
    <mergeCell ref="HQY15:HRA15"/>
    <mergeCell ref="HRB15:HRC15"/>
    <mergeCell ref="HRD15:HRF15"/>
    <mergeCell ref="HRG15:HRI15"/>
    <mergeCell ref="HQI15:HQK15"/>
    <mergeCell ref="HQL15:HQM15"/>
    <mergeCell ref="HQN15:HQP15"/>
    <mergeCell ref="HQQ15:HQS15"/>
    <mergeCell ref="HQT15:HQU15"/>
    <mergeCell ref="HPV15:HPW15"/>
    <mergeCell ref="HPX15:HPZ15"/>
    <mergeCell ref="HQA15:HQC15"/>
    <mergeCell ref="HQD15:HQE15"/>
    <mergeCell ref="HQF15:HQH15"/>
    <mergeCell ref="HPH15:HPJ15"/>
    <mergeCell ref="HPK15:HPM15"/>
    <mergeCell ref="HPN15:HPO15"/>
    <mergeCell ref="HPP15:HPR15"/>
    <mergeCell ref="HPS15:HPU15"/>
    <mergeCell ref="HVZ15:HWA15"/>
    <mergeCell ref="HWB15:HWD15"/>
    <mergeCell ref="HWE15:HWG15"/>
    <mergeCell ref="HWH15:HWI15"/>
    <mergeCell ref="HWJ15:HWL15"/>
    <mergeCell ref="HVL15:HVN15"/>
    <mergeCell ref="HVO15:HVQ15"/>
    <mergeCell ref="HVR15:HVS15"/>
    <mergeCell ref="HVT15:HVV15"/>
    <mergeCell ref="HVW15:HVY15"/>
    <mergeCell ref="HUY15:HVA15"/>
    <mergeCell ref="HVB15:HVC15"/>
    <mergeCell ref="HVD15:HVF15"/>
    <mergeCell ref="HVG15:HVI15"/>
    <mergeCell ref="HVJ15:HVK15"/>
    <mergeCell ref="HUL15:HUM15"/>
    <mergeCell ref="HUN15:HUP15"/>
    <mergeCell ref="HUQ15:HUS15"/>
    <mergeCell ref="HUT15:HUU15"/>
    <mergeCell ref="HUV15:HUX15"/>
    <mergeCell ref="HTX15:HTZ15"/>
    <mergeCell ref="HUA15:HUC15"/>
    <mergeCell ref="HUD15:HUE15"/>
    <mergeCell ref="HUF15:HUH15"/>
    <mergeCell ref="HUI15:HUK15"/>
    <mergeCell ref="HTK15:HTM15"/>
    <mergeCell ref="HTN15:HTO15"/>
    <mergeCell ref="HTP15:HTR15"/>
    <mergeCell ref="HTS15:HTU15"/>
    <mergeCell ref="HTV15:HTW15"/>
    <mergeCell ref="HSX15:HSY15"/>
    <mergeCell ref="HSZ15:HTB15"/>
    <mergeCell ref="HTC15:HTE15"/>
    <mergeCell ref="HTF15:HTG15"/>
    <mergeCell ref="HTH15:HTJ15"/>
    <mergeCell ref="HZO15:HZQ15"/>
    <mergeCell ref="HZR15:HZS15"/>
    <mergeCell ref="HZT15:HZV15"/>
    <mergeCell ref="HZW15:HZY15"/>
    <mergeCell ref="HZZ15:IAA15"/>
    <mergeCell ref="HZB15:HZC15"/>
    <mergeCell ref="HZD15:HZF15"/>
    <mergeCell ref="HZG15:HZI15"/>
    <mergeCell ref="HZJ15:HZK15"/>
    <mergeCell ref="HZL15:HZN15"/>
    <mergeCell ref="HYN15:HYP15"/>
    <mergeCell ref="HYQ15:HYS15"/>
    <mergeCell ref="HYT15:HYU15"/>
    <mergeCell ref="HYV15:HYX15"/>
    <mergeCell ref="HYY15:HZA15"/>
    <mergeCell ref="HYA15:HYC15"/>
    <mergeCell ref="HYD15:HYE15"/>
    <mergeCell ref="HYF15:HYH15"/>
    <mergeCell ref="HYI15:HYK15"/>
    <mergeCell ref="HYL15:HYM15"/>
    <mergeCell ref="HXN15:HXO15"/>
    <mergeCell ref="HXP15:HXR15"/>
    <mergeCell ref="HXS15:HXU15"/>
    <mergeCell ref="HXV15:HXW15"/>
    <mergeCell ref="HXX15:HXZ15"/>
    <mergeCell ref="HWZ15:HXB15"/>
    <mergeCell ref="HXC15:HXE15"/>
    <mergeCell ref="HXF15:HXG15"/>
    <mergeCell ref="HXH15:HXJ15"/>
    <mergeCell ref="HXK15:HXM15"/>
    <mergeCell ref="HWM15:HWO15"/>
    <mergeCell ref="HWP15:HWQ15"/>
    <mergeCell ref="HWR15:HWT15"/>
    <mergeCell ref="HWU15:HWW15"/>
    <mergeCell ref="HWX15:HWY15"/>
    <mergeCell ref="IDD15:IDF15"/>
    <mergeCell ref="IDG15:IDI15"/>
    <mergeCell ref="IDJ15:IDK15"/>
    <mergeCell ref="IDL15:IDN15"/>
    <mergeCell ref="IDO15:IDQ15"/>
    <mergeCell ref="ICQ15:ICS15"/>
    <mergeCell ref="ICT15:ICU15"/>
    <mergeCell ref="ICV15:ICX15"/>
    <mergeCell ref="ICY15:IDA15"/>
    <mergeCell ref="IDB15:IDC15"/>
    <mergeCell ref="ICD15:ICE15"/>
    <mergeCell ref="ICF15:ICH15"/>
    <mergeCell ref="ICI15:ICK15"/>
    <mergeCell ref="ICL15:ICM15"/>
    <mergeCell ref="ICN15:ICP15"/>
    <mergeCell ref="IBP15:IBR15"/>
    <mergeCell ref="IBS15:IBU15"/>
    <mergeCell ref="IBV15:IBW15"/>
    <mergeCell ref="IBX15:IBZ15"/>
    <mergeCell ref="ICA15:ICC15"/>
    <mergeCell ref="IBC15:IBE15"/>
    <mergeCell ref="IBF15:IBG15"/>
    <mergeCell ref="IBH15:IBJ15"/>
    <mergeCell ref="IBK15:IBM15"/>
    <mergeCell ref="IBN15:IBO15"/>
    <mergeCell ref="IAP15:IAQ15"/>
    <mergeCell ref="IAR15:IAT15"/>
    <mergeCell ref="IAU15:IAW15"/>
    <mergeCell ref="IAX15:IAY15"/>
    <mergeCell ref="IAZ15:IBB15"/>
    <mergeCell ref="IAB15:IAD15"/>
    <mergeCell ref="IAE15:IAG15"/>
    <mergeCell ref="IAH15:IAI15"/>
    <mergeCell ref="IAJ15:IAL15"/>
    <mergeCell ref="IAM15:IAO15"/>
    <mergeCell ref="IGT15:IGU15"/>
    <mergeCell ref="IGV15:IGX15"/>
    <mergeCell ref="IGY15:IHA15"/>
    <mergeCell ref="IHB15:IHC15"/>
    <mergeCell ref="IHD15:IHF15"/>
    <mergeCell ref="IGF15:IGH15"/>
    <mergeCell ref="IGI15:IGK15"/>
    <mergeCell ref="IGL15:IGM15"/>
    <mergeCell ref="IGN15:IGP15"/>
    <mergeCell ref="IGQ15:IGS15"/>
    <mergeCell ref="IFS15:IFU15"/>
    <mergeCell ref="IFV15:IFW15"/>
    <mergeCell ref="IFX15:IFZ15"/>
    <mergeCell ref="IGA15:IGC15"/>
    <mergeCell ref="IGD15:IGE15"/>
    <mergeCell ref="IFF15:IFG15"/>
    <mergeCell ref="IFH15:IFJ15"/>
    <mergeCell ref="IFK15:IFM15"/>
    <mergeCell ref="IFN15:IFO15"/>
    <mergeCell ref="IFP15:IFR15"/>
    <mergeCell ref="IER15:IET15"/>
    <mergeCell ref="IEU15:IEW15"/>
    <mergeCell ref="IEX15:IEY15"/>
    <mergeCell ref="IEZ15:IFB15"/>
    <mergeCell ref="IFC15:IFE15"/>
    <mergeCell ref="IEE15:IEG15"/>
    <mergeCell ref="IEH15:IEI15"/>
    <mergeCell ref="IEJ15:IEL15"/>
    <mergeCell ref="IEM15:IEO15"/>
    <mergeCell ref="IEP15:IEQ15"/>
    <mergeCell ref="IDR15:IDS15"/>
    <mergeCell ref="IDT15:IDV15"/>
    <mergeCell ref="IDW15:IDY15"/>
    <mergeCell ref="IDZ15:IEA15"/>
    <mergeCell ref="IEB15:IED15"/>
    <mergeCell ref="IKI15:IKK15"/>
    <mergeCell ref="IKL15:IKM15"/>
    <mergeCell ref="IKN15:IKP15"/>
    <mergeCell ref="IKQ15:IKS15"/>
    <mergeCell ref="IKT15:IKU15"/>
    <mergeCell ref="IJV15:IJW15"/>
    <mergeCell ref="IJX15:IJZ15"/>
    <mergeCell ref="IKA15:IKC15"/>
    <mergeCell ref="IKD15:IKE15"/>
    <mergeCell ref="IKF15:IKH15"/>
    <mergeCell ref="IJH15:IJJ15"/>
    <mergeCell ref="IJK15:IJM15"/>
    <mergeCell ref="IJN15:IJO15"/>
    <mergeCell ref="IJP15:IJR15"/>
    <mergeCell ref="IJS15:IJU15"/>
    <mergeCell ref="IIU15:IIW15"/>
    <mergeCell ref="IIX15:IIY15"/>
    <mergeCell ref="IIZ15:IJB15"/>
    <mergeCell ref="IJC15:IJE15"/>
    <mergeCell ref="IJF15:IJG15"/>
    <mergeCell ref="IIH15:III15"/>
    <mergeCell ref="IIJ15:IIL15"/>
    <mergeCell ref="IIM15:IIO15"/>
    <mergeCell ref="IIP15:IIQ15"/>
    <mergeCell ref="IIR15:IIT15"/>
    <mergeCell ref="IHT15:IHV15"/>
    <mergeCell ref="IHW15:IHY15"/>
    <mergeCell ref="IHZ15:IIA15"/>
    <mergeCell ref="IIB15:IID15"/>
    <mergeCell ref="IIE15:IIG15"/>
    <mergeCell ref="IHG15:IHI15"/>
    <mergeCell ref="IHJ15:IHK15"/>
    <mergeCell ref="IHL15:IHN15"/>
    <mergeCell ref="IHO15:IHQ15"/>
    <mergeCell ref="IHR15:IHS15"/>
    <mergeCell ref="INX15:INZ15"/>
    <mergeCell ref="IOA15:IOC15"/>
    <mergeCell ref="IOD15:IOE15"/>
    <mergeCell ref="IOF15:IOH15"/>
    <mergeCell ref="IOI15:IOK15"/>
    <mergeCell ref="INK15:INM15"/>
    <mergeCell ref="INN15:INO15"/>
    <mergeCell ref="INP15:INR15"/>
    <mergeCell ref="INS15:INU15"/>
    <mergeCell ref="INV15:INW15"/>
    <mergeCell ref="IMX15:IMY15"/>
    <mergeCell ref="IMZ15:INB15"/>
    <mergeCell ref="INC15:INE15"/>
    <mergeCell ref="INF15:ING15"/>
    <mergeCell ref="INH15:INJ15"/>
    <mergeCell ref="IMJ15:IML15"/>
    <mergeCell ref="IMM15:IMO15"/>
    <mergeCell ref="IMP15:IMQ15"/>
    <mergeCell ref="IMR15:IMT15"/>
    <mergeCell ref="IMU15:IMW15"/>
    <mergeCell ref="ILW15:ILY15"/>
    <mergeCell ref="ILZ15:IMA15"/>
    <mergeCell ref="IMB15:IMD15"/>
    <mergeCell ref="IME15:IMG15"/>
    <mergeCell ref="IMH15:IMI15"/>
    <mergeCell ref="ILJ15:ILK15"/>
    <mergeCell ref="ILL15:ILN15"/>
    <mergeCell ref="ILO15:ILQ15"/>
    <mergeCell ref="ILR15:ILS15"/>
    <mergeCell ref="ILT15:ILV15"/>
    <mergeCell ref="IKV15:IKX15"/>
    <mergeCell ref="IKY15:ILA15"/>
    <mergeCell ref="ILB15:ILC15"/>
    <mergeCell ref="ILD15:ILF15"/>
    <mergeCell ref="ILG15:ILI15"/>
    <mergeCell ref="IRN15:IRO15"/>
    <mergeCell ref="IRP15:IRR15"/>
    <mergeCell ref="IRS15:IRU15"/>
    <mergeCell ref="IRV15:IRW15"/>
    <mergeCell ref="IRX15:IRZ15"/>
    <mergeCell ref="IQZ15:IRB15"/>
    <mergeCell ref="IRC15:IRE15"/>
    <mergeCell ref="IRF15:IRG15"/>
    <mergeCell ref="IRH15:IRJ15"/>
    <mergeCell ref="IRK15:IRM15"/>
    <mergeCell ref="IQM15:IQO15"/>
    <mergeCell ref="IQP15:IQQ15"/>
    <mergeCell ref="IQR15:IQT15"/>
    <mergeCell ref="IQU15:IQW15"/>
    <mergeCell ref="IQX15:IQY15"/>
    <mergeCell ref="IPZ15:IQA15"/>
    <mergeCell ref="IQB15:IQD15"/>
    <mergeCell ref="IQE15:IQG15"/>
    <mergeCell ref="IQH15:IQI15"/>
    <mergeCell ref="IQJ15:IQL15"/>
    <mergeCell ref="IPL15:IPN15"/>
    <mergeCell ref="IPO15:IPQ15"/>
    <mergeCell ref="IPR15:IPS15"/>
    <mergeCell ref="IPT15:IPV15"/>
    <mergeCell ref="IPW15:IPY15"/>
    <mergeCell ref="IOY15:IPA15"/>
    <mergeCell ref="IPB15:IPC15"/>
    <mergeCell ref="IPD15:IPF15"/>
    <mergeCell ref="IPG15:IPI15"/>
    <mergeCell ref="IPJ15:IPK15"/>
    <mergeCell ref="IOL15:IOM15"/>
    <mergeCell ref="ION15:IOP15"/>
    <mergeCell ref="IOQ15:IOS15"/>
    <mergeCell ref="IOT15:IOU15"/>
    <mergeCell ref="IOV15:IOX15"/>
    <mergeCell ref="IVC15:IVE15"/>
    <mergeCell ref="IVF15:IVG15"/>
    <mergeCell ref="IVH15:IVJ15"/>
    <mergeCell ref="IVK15:IVM15"/>
    <mergeCell ref="IVN15:IVO15"/>
    <mergeCell ref="IUP15:IUQ15"/>
    <mergeCell ref="IUR15:IUT15"/>
    <mergeCell ref="IUU15:IUW15"/>
    <mergeCell ref="IUX15:IUY15"/>
    <mergeCell ref="IUZ15:IVB15"/>
    <mergeCell ref="IUB15:IUD15"/>
    <mergeCell ref="IUE15:IUG15"/>
    <mergeCell ref="IUH15:IUI15"/>
    <mergeCell ref="IUJ15:IUL15"/>
    <mergeCell ref="IUM15:IUO15"/>
    <mergeCell ref="ITO15:ITQ15"/>
    <mergeCell ref="ITR15:ITS15"/>
    <mergeCell ref="ITT15:ITV15"/>
    <mergeCell ref="ITW15:ITY15"/>
    <mergeCell ref="ITZ15:IUA15"/>
    <mergeCell ref="ITB15:ITC15"/>
    <mergeCell ref="ITD15:ITF15"/>
    <mergeCell ref="ITG15:ITI15"/>
    <mergeCell ref="ITJ15:ITK15"/>
    <mergeCell ref="ITL15:ITN15"/>
    <mergeCell ref="ISN15:ISP15"/>
    <mergeCell ref="ISQ15:ISS15"/>
    <mergeCell ref="IST15:ISU15"/>
    <mergeCell ref="ISV15:ISX15"/>
    <mergeCell ref="ISY15:ITA15"/>
    <mergeCell ref="ISA15:ISC15"/>
    <mergeCell ref="ISD15:ISE15"/>
    <mergeCell ref="ISF15:ISH15"/>
    <mergeCell ref="ISI15:ISK15"/>
    <mergeCell ref="ISL15:ISM15"/>
    <mergeCell ref="IYR15:IYT15"/>
    <mergeCell ref="IYU15:IYW15"/>
    <mergeCell ref="IYX15:IYY15"/>
    <mergeCell ref="IYZ15:IZB15"/>
    <mergeCell ref="IZC15:IZE15"/>
    <mergeCell ref="IYE15:IYG15"/>
    <mergeCell ref="IYH15:IYI15"/>
    <mergeCell ref="IYJ15:IYL15"/>
    <mergeCell ref="IYM15:IYO15"/>
    <mergeCell ref="IYP15:IYQ15"/>
    <mergeCell ref="IXR15:IXS15"/>
    <mergeCell ref="IXT15:IXV15"/>
    <mergeCell ref="IXW15:IXY15"/>
    <mergeCell ref="IXZ15:IYA15"/>
    <mergeCell ref="IYB15:IYD15"/>
    <mergeCell ref="IXD15:IXF15"/>
    <mergeCell ref="IXG15:IXI15"/>
    <mergeCell ref="IXJ15:IXK15"/>
    <mergeCell ref="IXL15:IXN15"/>
    <mergeCell ref="IXO15:IXQ15"/>
    <mergeCell ref="IWQ15:IWS15"/>
    <mergeCell ref="IWT15:IWU15"/>
    <mergeCell ref="IWV15:IWX15"/>
    <mergeCell ref="IWY15:IXA15"/>
    <mergeCell ref="IXB15:IXC15"/>
    <mergeCell ref="IWD15:IWE15"/>
    <mergeCell ref="IWF15:IWH15"/>
    <mergeCell ref="IWI15:IWK15"/>
    <mergeCell ref="IWL15:IWM15"/>
    <mergeCell ref="IWN15:IWP15"/>
    <mergeCell ref="IVP15:IVR15"/>
    <mergeCell ref="IVS15:IVU15"/>
    <mergeCell ref="IVV15:IVW15"/>
    <mergeCell ref="IVX15:IVZ15"/>
    <mergeCell ref="IWA15:IWC15"/>
    <mergeCell ref="JCH15:JCI15"/>
    <mergeCell ref="JCJ15:JCL15"/>
    <mergeCell ref="JCM15:JCO15"/>
    <mergeCell ref="JCP15:JCQ15"/>
    <mergeCell ref="JCR15:JCT15"/>
    <mergeCell ref="JBT15:JBV15"/>
    <mergeCell ref="JBW15:JBY15"/>
    <mergeCell ref="JBZ15:JCA15"/>
    <mergeCell ref="JCB15:JCD15"/>
    <mergeCell ref="JCE15:JCG15"/>
    <mergeCell ref="JBG15:JBI15"/>
    <mergeCell ref="JBJ15:JBK15"/>
    <mergeCell ref="JBL15:JBN15"/>
    <mergeCell ref="JBO15:JBQ15"/>
    <mergeCell ref="JBR15:JBS15"/>
    <mergeCell ref="JAT15:JAU15"/>
    <mergeCell ref="JAV15:JAX15"/>
    <mergeCell ref="JAY15:JBA15"/>
    <mergeCell ref="JBB15:JBC15"/>
    <mergeCell ref="JBD15:JBF15"/>
    <mergeCell ref="JAF15:JAH15"/>
    <mergeCell ref="JAI15:JAK15"/>
    <mergeCell ref="JAL15:JAM15"/>
    <mergeCell ref="JAN15:JAP15"/>
    <mergeCell ref="JAQ15:JAS15"/>
    <mergeCell ref="IZS15:IZU15"/>
    <mergeCell ref="IZV15:IZW15"/>
    <mergeCell ref="IZX15:IZZ15"/>
    <mergeCell ref="JAA15:JAC15"/>
    <mergeCell ref="JAD15:JAE15"/>
    <mergeCell ref="IZF15:IZG15"/>
    <mergeCell ref="IZH15:IZJ15"/>
    <mergeCell ref="IZK15:IZM15"/>
    <mergeCell ref="IZN15:IZO15"/>
    <mergeCell ref="IZP15:IZR15"/>
    <mergeCell ref="JFW15:JFY15"/>
    <mergeCell ref="JFZ15:JGA15"/>
    <mergeCell ref="JGB15:JGD15"/>
    <mergeCell ref="JGE15:JGG15"/>
    <mergeCell ref="JGH15:JGI15"/>
    <mergeCell ref="JFJ15:JFK15"/>
    <mergeCell ref="JFL15:JFN15"/>
    <mergeCell ref="JFO15:JFQ15"/>
    <mergeCell ref="JFR15:JFS15"/>
    <mergeCell ref="JFT15:JFV15"/>
    <mergeCell ref="JEV15:JEX15"/>
    <mergeCell ref="JEY15:JFA15"/>
    <mergeCell ref="JFB15:JFC15"/>
    <mergeCell ref="JFD15:JFF15"/>
    <mergeCell ref="JFG15:JFI15"/>
    <mergeCell ref="JEI15:JEK15"/>
    <mergeCell ref="JEL15:JEM15"/>
    <mergeCell ref="JEN15:JEP15"/>
    <mergeCell ref="JEQ15:JES15"/>
    <mergeCell ref="JET15:JEU15"/>
    <mergeCell ref="JDV15:JDW15"/>
    <mergeCell ref="JDX15:JDZ15"/>
    <mergeCell ref="JEA15:JEC15"/>
    <mergeCell ref="JED15:JEE15"/>
    <mergeCell ref="JEF15:JEH15"/>
    <mergeCell ref="JDH15:JDJ15"/>
    <mergeCell ref="JDK15:JDM15"/>
    <mergeCell ref="JDN15:JDO15"/>
    <mergeCell ref="JDP15:JDR15"/>
    <mergeCell ref="JDS15:JDU15"/>
    <mergeCell ref="JCU15:JCW15"/>
    <mergeCell ref="JCX15:JCY15"/>
    <mergeCell ref="JCZ15:JDB15"/>
    <mergeCell ref="JDC15:JDE15"/>
    <mergeCell ref="JDF15:JDG15"/>
    <mergeCell ref="JJL15:JJN15"/>
    <mergeCell ref="JJO15:JJQ15"/>
    <mergeCell ref="JJR15:JJS15"/>
    <mergeCell ref="JJT15:JJV15"/>
    <mergeCell ref="JJW15:JJY15"/>
    <mergeCell ref="JIY15:JJA15"/>
    <mergeCell ref="JJB15:JJC15"/>
    <mergeCell ref="JJD15:JJF15"/>
    <mergeCell ref="JJG15:JJI15"/>
    <mergeCell ref="JJJ15:JJK15"/>
    <mergeCell ref="JIL15:JIM15"/>
    <mergeCell ref="JIN15:JIP15"/>
    <mergeCell ref="JIQ15:JIS15"/>
    <mergeCell ref="JIT15:JIU15"/>
    <mergeCell ref="JIV15:JIX15"/>
    <mergeCell ref="JHX15:JHZ15"/>
    <mergeCell ref="JIA15:JIC15"/>
    <mergeCell ref="JID15:JIE15"/>
    <mergeCell ref="JIF15:JIH15"/>
    <mergeCell ref="JII15:JIK15"/>
    <mergeCell ref="JHK15:JHM15"/>
    <mergeCell ref="JHN15:JHO15"/>
    <mergeCell ref="JHP15:JHR15"/>
    <mergeCell ref="JHS15:JHU15"/>
    <mergeCell ref="JHV15:JHW15"/>
    <mergeCell ref="JGX15:JGY15"/>
    <mergeCell ref="JGZ15:JHB15"/>
    <mergeCell ref="JHC15:JHE15"/>
    <mergeCell ref="JHF15:JHG15"/>
    <mergeCell ref="JHH15:JHJ15"/>
    <mergeCell ref="JGJ15:JGL15"/>
    <mergeCell ref="JGM15:JGO15"/>
    <mergeCell ref="JGP15:JGQ15"/>
    <mergeCell ref="JGR15:JGT15"/>
    <mergeCell ref="JGU15:JGW15"/>
    <mergeCell ref="JNB15:JNC15"/>
    <mergeCell ref="JND15:JNF15"/>
    <mergeCell ref="JNG15:JNI15"/>
    <mergeCell ref="JNJ15:JNK15"/>
    <mergeCell ref="JNL15:JNN15"/>
    <mergeCell ref="JMN15:JMP15"/>
    <mergeCell ref="JMQ15:JMS15"/>
    <mergeCell ref="JMT15:JMU15"/>
    <mergeCell ref="JMV15:JMX15"/>
    <mergeCell ref="JMY15:JNA15"/>
    <mergeCell ref="JMA15:JMC15"/>
    <mergeCell ref="JMD15:JME15"/>
    <mergeCell ref="JMF15:JMH15"/>
    <mergeCell ref="JMI15:JMK15"/>
    <mergeCell ref="JML15:JMM15"/>
    <mergeCell ref="JLN15:JLO15"/>
    <mergeCell ref="JLP15:JLR15"/>
    <mergeCell ref="JLS15:JLU15"/>
    <mergeCell ref="JLV15:JLW15"/>
    <mergeCell ref="JLX15:JLZ15"/>
    <mergeCell ref="JKZ15:JLB15"/>
    <mergeCell ref="JLC15:JLE15"/>
    <mergeCell ref="JLF15:JLG15"/>
    <mergeCell ref="JLH15:JLJ15"/>
    <mergeCell ref="JLK15:JLM15"/>
    <mergeCell ref="JKM15:JKO15"/>
    <mergeCell ref="JKP15:JKQ15"/>
    <mergeCell ref="JKR15:JKT15"/>
    <mergeCell ref="JKU15:JKW15"/>
    <mergeCell ref="JKX15:JKY15"/>
    <mergeCell ref="JJZ15:JKA15"/>
    <mergeCell ref="JKB15:JKD15"/>
    <mergeCell ref="JKE15:JKG15"/>
    <mergeCell ref="JKH15:JKI15"/>
    <mergeCell ref="JKJ15:JKL15"/>
    <mergeCell ref="JQQ15:JQS15"/>
    <mergeCell ref="JQT15:JQU15"/>
    <mergeCell ref="JQV15:JQX15"/>
    <mergeCell ref="JQY15:JRA15"/>
    <mergeCell ref="JRB15:JRC15"/>
    <mergeCell ref="JQD15:JQE15"/>
    <mergeCell ref="JQF15:JQH15"/>
    <mergeCell ref="JQI15:JQK15"/>
    <mergeCell ref="JQL15:JQM15"/>
    <mergeCell ref="JQN15:JQP15"/>
    <mergeCell ref="JPP15:JPR15"/>
    <mergeCell ref="JPS15:JPU15"/>
    <mergeCell ref="JPV15:JPW15"/>
    <mergeCell ref="JPX15:JPZ15"/>
    <mergeCell ref="JQA15:JQC15"/>
    <mergeCell ref="JPC15:JPE15"/>
    <mergeCell ref="JPF15:JPG15"/>
    <mergeCell ref="JPH15:JPJ15"/>
    <mergeCell ref="JPK15:JPM15"/>
    <mergeCell ref="JPN15:JPO15"/>
    <mergeCell ref="JOP15:JOQ15"/>
    <mergeCell ref="JOR15:JOT15"/>
    <mergeCell ref="JOU15:JOW15"/>
    <mergeCell ref="JOX15:JOY15"/>
    <mergeCell ref="JOZ15:JPB15"/>
    <mergeCell ref="JOB15:JOD15"/>
    <mergeCell ref="JOE15:JOG15"/>
    <mergeCell ref="JOH15:JOI15"/>
    <mergeCell ref="JOJ15:JOL15"/>
    <mergeCell ref="JOM15:JOO15"/>
    <mergeCell ref="JNO15:JNQ15"/>
    <mergeCell ref="JNR15:JNS15"/>
    <mergeCell ref="JNT15:JNV15"/>
    <mergeCell ref="JNW15:JNY15"/>
    <mergeCell ref="JNZ15:JOA15"/>
    <mergeCell ref="JUF15:JUH15"/>
    <mergeCell ref="JUI15:JUK15"/>
    <mergeCell ref="JUL15:JUM15"/>
    <mergeCell ref="JUN15:JUP15"/>
    <mergeCell ref="JUQ15:JUS15"/>
    <mergeCell ref="JTS15:JTU15"/>
    <mergeCell ref="JTV15:JTW15"/>
    <mergeCell ref="JTX15:JTZ15"/>
    <mergeCell ref="JUA15:JUC15"/>
    <mergeCell ref="JUD15:JUE15"/>
    <mergeCell ref="JTF15:JTG15"/>
    <mergeCell ref="JTH15:JTJ15"/>
    <mergeCell ref="JTK15:JTM15"/>
    <mergeCell ref="JTN15:JTO15"/>
    <mergeCell ref="JTP15:JTR15"/>
    <mergeCell ref="JSR15:JST15"/>
    <mergeCell ref="JSU15:JSW15"/>
    <mergeCell ref="JSX15:JSY15"/>
    <mergeCell ref="JSZ15:JTB15"/>
    <mergeCell ref="JTC15:JTE15"/>
    <mergeCell ref="JSE15:JSG15"/>
    <mergeCell ref="JSH15:JSI15"/>
    <mergeCell ref="JSJ15:JSL15"/>
    <mergeCell ref="JSM15:JSO15"/>
    <mergeCell ref="JSP15:JSQ15"/>
    <mergeCell ref="JRR15:JRS15"/>
    <mergeCell ref="JRT15:JRV15"/>
    <mergeCell ref="JRW15:JRY15"/>
    <mergeCell ref="JRZ15:JSA15"/>
    <mergeCell ref="JSB15:JSD15"/>
    <mergeCell ref="JRD15:JRF15"/>
    <mergeCell ref="JRG15:JRI15"/>
    <mergeCell ref="JRJ15:JRK15"/>
    <mergeCell ref="JRL15:JRN15"/>
    <mergeCell ref="JRO15:JRQ15"/>
    <mergeCell ref="JXV15:JXW15"/>
    <mergeCell ref="JXX15:JXZ15"/>
    <mergeCell ref="JYA15:JYC15"/>
    <mergeCell ref="JYD15:JYE15"/>
    <mergeCell ref="JYF15:JYH15"/>
    <mergeCell ref="JXH15:JXJ15"/>
    <mergeCell ref="JXK15:JXM15"/>
    <mergeCell ref="JXN15:JXO15"/>
    <mergeCell ref="JXP15:JXR15"/>
    <mergeCell ref="JXS15:JXU15"/>
    <mergeCell ref="JWU15:JWW15"/>
    <mergeCell ref="JWX15:JWY15"/>
    <mergeCell ref="JWZ15:JXB15"/>
    <mergeCell ref="JXC15:JXE15"/>
    <mergeCell ref="JXF15:JXG15"/>
    <mergeCell ref="JWH15:JWI15"/>
    <mergeCell ref="JWJ15:JWL15"/>
    <mergeCell ref="JWM15:JWO15"/>
    <mergeCell ref="JWP15:JWQ15"/>
    <mergeCell ref="JWR15:JWT15"/>
    <mergeCell ref="JVT15:JVV15"/>
    <mergeCell ref="JVW15:JVY15"/>
    <mergeCell ref="JVZ15:JWA15"/>
    <mergeCell ref="JWB15:JWD15"/>
    <mergeCell ref="JWE15:JWG15"/>
    <mergeCell ref="JVG15:JVI15"/>
    <mergeCell ref="JVJ15:JVK15"/>
    <mergeCell ref="JVL15:JVN15"/>
    <mergeCell ref="JVO15:JVQ15"/>
    <mergeCell ref="JVR15:JVS15"/>
    <mergeCell ref="JUT15:JUU15"/>
    <mergeCell ref="JUV15:JUX15"/>
    <mergeCell ref="JUY15:JVA15"/>
    <mergeCell ref="JVB15:JVC15"/>
    <mergeCell ref="JVD15:JVF15"/>
    <mergeCell ref="KBK15:KBM15"/>
    <mergeCell ref="KBN15:KBO15"/>
    <mergeCell ref="KBP15:KBR15"/>
    <mergeCell ref="KBS15:KBU15"/>
    <mergeCell ref="KBV15:KBW15"/>
    <mergeCell ref="KAX15:KAY15"/>
    <mergeCell ref="KAZ15:KBB15"/>
    <mergeCell ref="KBC15:KBE15"/>
    <mergeCell ref="KBF15:KBG15"/>
    <mergeCell ref="KBH15:KBJ15"/>
    <mergeCell ref="KAJ15:KAL15"/>
    <mergeCell ref="KAM15:KAO15"/>
    <mergeCell ref="KAP15:KAQ15"/>
    <mergeCell ref="KAR15:KAT15"/>
    <mergeCell ref="KAU15:KAW15"/>
    <mergeCell ref="JZW15:JZY15"/>
    <mergeCell ref="JZZ15:KAA15"/>
    <mergeCell ref="KAB15:KAD15"/>
    <mergeCell ref="KAE15:KAG15"/>
    <mergeCell ref="KAH15:KAI15"/>
    <mergeCell ref="JZJ15:JZK15"/>
    <mergeCell ref="JZL15:JZN15"/>
    <mergeCell ref="JZO15:JZQ15"/>
    <mergeCell ref="JZR15:JZS15"/>
    <mergeCell ref="JZT15:JZV15"/>
    <mergeCell ref="JYV15:JYX15"/>
    <mergeCell ref="JYY15:JZA15"/>
    <mergeCell ref="JZB15:JZC15"/>
    <mergeCell ref="JZD15:JZF15"/>
    <mergeCell ref="JZG15:JZI15"/>
    <mergeCell ref="JYI15:JYK15"/>
    <mergeCell ref="JYL15:JYM15"/>
    <mergeCell ref="JYN15:JYP15"/>
    <mergeCell ref="JYQ15:JYS15"/>
    <mergeCell ref="JYT15:JYU15"/>
    <mergeCell ref="KEZ15:KFB15"/>
    <mergeCell ref="KFC15:KFE15"/>
    <mergeCell ref="KFF15:KFG15"/>
    <mergeCell ref="KFH15:KFJ15"/>
    <mergeCell ref="KFK15:KFM15"/>
    <mergeCell ref="KEM15:KEO15"/>
    <mergeCell ref="KEP15:KEQ15"/>
    <mergeCell ref="KER15:KET15"/>
    <mergeCell ref="KEU15:KEW15"/>
    <mergeCell ref="KEX15:KEY15"/>
    <mergeCell ref="KDZ15:KEA15"/>
    <mergeCell ref="KEB15:KED15"/>
    <mergeCell ref="KEE15:KEG15"/>
    <mergeCell ref="KEH15:KEI15"/>
    <mergeCell ref="KEJ15:KEL15"/>
    <mergeCell ref="KDL15:KDN15"/>
    <mergeCell ref="KDO15:KDQ15"/>
    <mergeCell ref="KDR15:KDS15"/>
    <mergeCell ref="KDT15:KDV15"/>
    <mergeCell ref="KDW15:KDY15"/>
    <mergeCell ref="KCY15:KDA15"/>
    <mergeCell ref="KDB15:KDC15"/>
    <mergeCell ref="KDD15:KDF15"/>
    <mergeCell ref="KDG15:KDI15"/>
    <mergeCell ref="KDJ15:KDK15"/>
    <mergeCell ref="KCL15:KCM15"/>
    <mergeCell ref="KCN15:KCP15"/>
    <mergeCell ref="KCQ15:KCS15"/>
    <mergeCell ref="KCT15:KCU15"/>
    <mergeCell ref="KCV15:KCX15"/>
    <mergeCell ref="KBX15:KBZ15"/>
    <mergeCell ref="KCA15:KCC15"/>
    <mergeCell ref="KCD15:KCE15"/>
    <mergeCell ref="KCF15:KCH15"/>
    <mergeCell ref="KCI15:KCK15"/>
    <mergeCell ref="KIP15:KIQ15"/>
    <mergeCell ref="KIR15:KIT15"/>
    <mergeCell ref="KIU15:KIW15"/>
    <mergeCell ref="KIX15:KIY15"/>
    <mergeCell ref="KIZ15:KJB15"/>
    <mergeCell ref="KIB15:KID15"/>
    <mergeCell ref="KIE15:KIG15"/>
    <mergeCell ref="KIH15:KII15"/>
    <mergeCell ref="KIJ15:KIL15"/>
    <mergeCell ref="KIM15:KIO15"/>
    <mergeCell ref="KHO15:KHQ15"/>
    <mergeCell ref="KHR15:KHS15"/>
    <mergeCell ref="KHT15:KHV15"/>
    <mergeCell ref="KHW15:KHY15"/>
    <mergeCell ref="KHZ15:KIA15"/>
    <mergeCell ref="KHB15:KHC15"/>
    <mergeCell ref="KHD15:KHF15"/>
    <mergeCell ref="KHG15:KHI15"/>
    <mergeCell ref="KHJ15:KHK15"/>
    <mergeCell ref="KHL15:KHN15"/>
    <mergeCell ref="KGN15:KGP15"/>
    <mergeCell ref="KGQ15:KGS15"/>
    <mergeCell ref="KGT15:KGU15"/>
    <mergeCell ref="KGV15:KGX15"/>
    <mergeCell ref="KGY15:KHA15"/>
    <mergeCell ref="KGA15:KGC15"/>
    <mergeCell ref="KGD15:KGE15"/>
    <mergeCell ref="KGF15:KGH15"/>
    <mergeCell ref="KGI15:KGK15"/>
    <mergeCell ref="KGL15:KGM15"/>
    <mergeCell ref="KFN15:KFO15"/>
    <mergeCell ref="KFP15:KFR15"/>
    <mergeCell ref="KFS15:KFU15"/>
    <mergeCell ref="KFV15:KFW15"/>
    <mergeCell ref="KFX15:KFZ15"/>
    <mergeCell ref="KME15:KMG15"/>
    <mergeCell ref="KMH15:KMI15"/>
    <mergeCell ref="KMJ15:KML15"/>
    <mergeCell ref="KMM15:KMO15"/>
    <mergeCell ref="KMP15:KMQ15"/>
    <mergeCell ref="KLR15:KLS15"/>
    <mergeCell ref="KLT15:KLV15"/>
    <mergeCell ref="KLW15:KLY15"/>
    <mergeCell ref="KLZ15:KMA15"/>
    <mergeCell ref="KMB15:KMD15"/>
    <mergeCell ref="KLD15:KLF15"/>
    <mergeCell ref="KLG15:KLI15"/>
    <mergeCell ref="KLJ15:KLK15"/>
    <mergeCell ref="KLL15:KLN15"/>
    <mergeCell ref="KLO15:KLQ15"/>
    <mergeCell ref="KKQ15:KKS15"/>
    <mergeCell ref="KKT15:KKU15"/>
    <mergeCell ref="KKV15:KKX15"/>
    <mergeCell ref="KKY15:KLA15"/>
    <mergeCell ref="KLB15:KLC15"/>
    <mergeCell ref="KKD15:KKE15"/>
    <mergeCell ref="KKF15:KKH15"/>
    <mergeCell ref="KKI15:KKK15"/>
    <mergeCell ref="KKL15:KKM15"/>
    <mergeCell ref="KKN15:KKP15"/>
    <mergeCell ref="KJP15:KJR15"/>
    <mergeCell ref="KJS15:KJU15"/>
    <mergeCell ref="KJV15:KJW15"/>
    <mergeCell ref="KJX15:KJZ15"/>
    <mergeCell ref="KKA15:KKC15"/>
    <mergeCell ref="KJC15:KJE15"/>
    <mergeCell ref="KJF15:KJG15"/>
    <mergeCell ref="KJH15:KJJ15"/>
    <mergeCell ref="KJK15:KJM15"/>
    <mergeCell ref="KJN15:KJO15"/>
    <mergeCell ref="KPT15:KPV15"/>
    <mergeCell ref="KPW15:KPY15"/>
    <mergeCell ref="KPZ15:KQA15"/>
    <mergeCell ref="KQB15:KQD15"/>
    <mergeCell ref="KQE15:KQG15"/>
    <mergeCell ref="KPG15:KPI15"/>
    <mergeCell ref="KPJ15:KPK15"/>
    <mergeCell ref="KPL15:KPN15"/>
    <mergeCell ref="KPO15:KPQ15"/>
    <mergeCell ref="KPR15:KPS15"/>
    <mergeCell ref="KOT15:KOU15"/>
    <mergeCell ref="KOV15:KOX15"/>
    <mergeCell ref="KOY15:KPA15"/>
    <mergeCell ref="KPB15:KPC15"/>
    <mergeCell ref="KPD15:KPF15"/>
    <mergeCell ref="KOF15:KOH15"/>
    <mergeCell ref="KOI15:KOK15"/>
    <mergeCell ref="KOL15:KOM15"/>
    <mergeCell ref="KON15:KOP15"/>
    <mergeCell ref="KOQ15:KOS15"/>
    <mergeCell ref="KNS15:KNU15"/>
    <mergeCell ref="KNV15:KNW15"/>
    <mergeCell ref="KNX15:KNZ15"/>
    <mergeCell ref="KOA15:KOC15"/>
    <mergeCell ref="KOD15:KOE15"/>
    <mergeCell ref="KNF15:KNG15"/>
    <mergeCell ref="KNH15:KNJ15"/>
    <mergeCell ref="KNK15:KNM15"/>
    <mergeCell ref="KNN15:KNO15"/>
    <mergeCell ref="KNP15:KNR15"/>
    <mergeCell ref="KMR15:KMT15"/>
    <mergeCell ref="KMU15:KMW15"/>
    <mergeCell ref="KMX15:KMY15"/>
    <mergeCell ref="KMZ15:KNB15"/>
    <mergeCell ref="KNC15:KNE15"/>
    <mergeCell ref="KTJ15:KTK15"/>
    <mergeCell ref="KTL15:KTN15"/>
    <mergeCell ref="KTO15:KTQ15"/>
    <mergeCell ref="KTR15:KTS15"/>
    <mergeCell ref="KTT15:KTV15"/>
    <mergeCell ref="KSV15:KSX15"/>
    <mergeCell ref="KSY15:KTA15"/>
    <mergeCell ref="KTB15:KTC15"/>
    <mergeCell ref="KTD15:KTF15"/>
    <mergeCell ref="KTG15:KTI15"/>
    <mergeCell ref="KSI15:KSK15"/>
    <mergeCell ref="KSL15:KSM15"/>
    <mergeCell ref="KSN15:KSP15"/>
    <mergeCell ref="KSQ15:KSS15"/>
    <mergeCell ref="KST15:KSU15"/>
    <mergeCell ref="KRV15:KRW15"/>
    <mergeCell ref="KRX15:KRZ15"/>
    <mergeCell ref="KSA15:KSC15"/>
    <mergeCell ref="KSD15:KSE15"/>
    <mergeCell ref="KSF15:KSH15"/>
    <mergeCell ref="KRH15:KRJ15"/>
    <mergeCell ref="KRK15:KRM15"/>
    <mergeCell ref="KRN15:KRO15"/>
    <mergeCell ref="KRP15:KRR15"/>
    <mergeCell ref="KRS15:KRU15"/>
    <mergeCell ref="KQU15:KQW15"/>
    <mergeCell ref="KQX15:KQY15"/>
    <mergeCell ref="KQZ15:KRB15"/>
    <mergeCell ref="KRC15:KRE15"/>
    <mergeCell ref="KRF15:KRG15"/>
    <mergeCell ref="KQH15:KQI15"/>
    <mergeCell ref="KQJ15:KQL15"/>
    <mergeCell ref="KQM15:KQO15"/>
    <mergeCell ref="KQP15:KQQ15"/>
    <mergeCell ref="KQR15:KQT15"/>
    <mergeCell ref="KWY15:KXA15"/>
    <mergeCell ref="KXB15:KXC15"/>
    <mergeCell ref="KXD15:KXF15"/>
    <mergeCell ref="KXG15:KXI15"/>
    <mergeCell ref="KXJ15:KXK15"/>
    <mergeCell ref="KWL15:KWM15"/>
    <mergeCell ref="KWN15:KWP15"/>
    <mergeCell ref="KWQ15:KWS15"/>
    <mergeCell ref="KWT15:KWU15"/>
    <mergeCell ref="KWV15:KWX15"/>
    <mergeCell ref="KVX15:KVZ15"/>
    <mergeCell ref="KWA15:KWC15"/>
    <mergeCell ref="KWD15:KWE15"/>
    <mergeCell ref="KWF15:KWH15"/>
    <mergeCell ref="KWI15:KWK15"/>
    <mergeCell ref="KVK15:KVM15"/>
    <mergeCell ref="KVN15:KVO15"/>
    <mergeCell ref="KVP15:KVR15"/>
    <mergeCell ref="KVS15:KVU15"/>
    <mergeCell ref="KVV15:KVW15"/>
    <mergeCell ref="KUX15:KUY15"/>
    <mergeCell ref="KUZ15:KVB15"/>
    <mergeCell ref="KVC15:KVE15"/>
    <mergeCell ref="KVF15:KVG15"/>
    <mergeCell ref="KVH15:KVJ15"/>
    <mergeCell ref="KUJ15:KUL15"/>
    <mergeCell ref="KUM15:KUO15"/>
    <mergeCell ref="KUP15:KUQ15"/>
    <mergeCell ref="KUR15:KUT15"/>
    <mergeCell ref="KUU15:KUW15"/>
    <mergeCell ref="KTW15:KTY15"/>
    <mergeCell ref="KTZ15:KUA15"/>
    <mergeCell ref="KUB15:KUD15"/>
    <mergeCell ref="KUE15:KUG15"/>
    <mergeCell ref="KUH15:KUI15"/>
    <mergeCell ref="LAN15:LAP15"/>
    <mergeCell ref="LAQ15:LAS15"/>
    <mergeCell ref="LAT15:LAU15"/>
    <mergeCell ref="LAV15:LAX15"/>
    <mergeCell ref="LAY15:LBA15"/>
    <mergeCell ref="LAA15:LAC15"/>
    <mergeCell ref="LAD15:LAE15"/>
    <mergeCell ref="LAF15:LAH15"/>
    <mergeCell ref="LAI15:LAK15"/>
    <mergeCell ref="LAL15:LAM15"/>
    <mergeCell ref="KZN15:KZO15"/>
    <mergeCell ref="KZP15:KZR15"/>
    <mergeCell ref="KZS15:KZU15"/>
    <mergeCell ref="KZV15:KZW15"/>
    <mergeCell ref="KZX15:KZZ15"/>
    <mergeCell ref="KYZ15:KZB15"/>
    <mergeCell ref="KZC15:KZE15"/>
    <mergeCell ref="KZF15:KZG15"/>
    <mergeCell ref="KZH15:KZJ15"/>
    <mergeCell ref="KZK15:KZM15"/>
    <mergeCell ref="KYM15:KYO15"/>
    <mergeCell ref="KYP15:KYQ15"/>
    <mergeCell ref="KYR15:KYT15"/>
    <mergeCell ref="KYU15:KYW15"/>
    <mergeCell ref="KYX15:KYY15"/>
    <mergeCell ref="KXZ15:KYA15"/>
    <mergeCell ref="KYB15:KYD15"/>
    <mergeCell ref="KYE15:KYG15"/>
    <mergeCell ref="KYH15:KYI15"/>
    <mergeCell ref="KYJ15:KYL15"/>
    <mergeCell ref="KXL15:KXN15"/>
    <mergeCell ref="KXO15:KXQ15"/>
    <mergeCell ref="KXR15:KXS15"/>
    <mergeCell ref="KXT15:KXV15"/>
    <mergeCell ref="KXW15:KXY15"/>
    <mergeCell ref="LED15:LEE15"/>
    <mergeCell ref="LEF15:LEH15"/>
    <mergeCell ref="LEI15:LEK15"/>
    <mergeCell ref="LEL15:LEM15"/>
    <mergeCell ref="LEN15:LEP15"/>
    <mergeCell ref="LDP15:LDR15"/>
    <mergeCell ref="LDS15:LDU15"/>
    <mergeCell ref="LDV15:LDW15"/>
    <mergeCell ref="LDX15:LDZ15"/>
    <mergeCell ref="LEA15:LEC15"/>
    <mergeCell ref="LDC15:LDE15"/>
    <mergeCell ref="LDF15:LDG15"/>
    <mergeCell ref="LDH15:LDJ15"/>
    <mergeCell ref="LDK15:LDM15"/>
    <mergeCell ref="LDN15:LDO15"/>
    <mergeCell ref="LCP15:LCQ15"/>
    <mergeCell ref="LCR15:LCT15"/>
    <mergeCell ref="LCU15:LCW15"/>
    <mergeCell ref="LCX15:LCY15"/>
    <mergeCell ref="LCZ15:LDB15"/>
    <mergeCell ref="LCB15:LCD15"/>
    <mergeCell ref="LCE15:LCG15"/>
    <mergeCell ref="LCH15:LCI15"/>
    <mergeCell ref="LCJ15:LCL15"/>
    <mergeCell ref="LCM15:LCO15"/>
    <mergeCell ref="LBO15:LBQ15"/>
    <mergeCell ref="LBR15:LBS15"/>
    <mergeCell ref="LBT15:LBV15"/>
    <mergeCell ref="LBW15:LBY15"/>
    <mergeCell ref="LBZ15:LCA15"/>
    <mergeCell ref="LBB15:LBC15"/>
    <mergeCell ref="LBD15:LBF15"/>
    <mergeCell ref="LBG15:LBI15"/>
    <mergeCell ref="LBJ15:LBK15"/>
    <mergeCell ref="LBL15:LBN15"/>
    <mergeCell ref="LHS15:LHU15"/>
    <mergeCell ref="LHV15:LHW15"/>
    <mergeCell ref="LHX15:LHZ15"/>
    <mergeCell ref="LIA15:LIC15"/>
    <mergeCell ref="LID15:LIE15"/>
    <mergeCell ref="LHF15:LHG15"/>
    <mergeCell ref="LHH15:LHJ15"/>
    <mergeCell ref="LHK15:LHM15"/>
    <mergeCell ref="LHN15:LHO15"/>
    <mergeCell ref="LHP15:LHR15"/>
    <mergeCell ref="LGR15:LGT15"/>
    <mergeCell ref="LGU15:LGW15"/>
    <mergeCell ref="LGX15:LGY15"/>
    <mergeCell ref="LGZ15:LHB15"/>
    <mergeCell ref="LHC15:LHE15"/>
    <mergeCell ref="LGE15:LGG15"/>
    <mergeCell ref="LGH15:LGI15"/>
    <mergeCell ref="LGJ15:LGL15"/>
    <mergeCell ref="LGM15:LGO15"/>
    <mergeCell ref="LGP15:LGQ15"/>
    <mergeCell ref="LFR15:LFS15"/>
    <mergeCell ref="LFT15:LFV15"/>
    <mergeCell ref="LFW15:LFY15"/>
    <mergeCell ref="LFZ15:LGA15"/>
    <mergeCell ref="LGB15:LGD15"/>
    <mergeCell ref="LFD15:LFF15"/>
    <mergeCell ref="LFG15:LFI15"/>
    <mergeCell ref="LFJ15:LFK15"/>
    <mergeCell ref="LFL15:LFN15"/>
    <mergeCell ref="LFO15:LFQ15"/>
    <mergeCell ref="LEQ15:LES15"/>
    <mergeCell ref="LET15:LEU15"/>
    <mergeCell ref="LEV15:LEX15"/>
    <mergeCell ref="LEY15:LFA15"/>
    <mergeCell ref="LFB15:LFC15"/>
    <mergeCell ref="LLH15:LLJ15"/>
    <mergeCell ref="LLK15:LLM15"/>
    <mergeCell ref="LLN15:LLO15"/>
    <mergeCell ref="LLP15:LLR15"/>
    <mergeCell ref="LLS15:LLU15"/>
    <mergeCell ref="LKU15:LKW15"/>
    <mergeCell ref="LKX15:LKY15"/>
    <mergeCell ref="LKZ15:LLB15"/>
    <mergeCell ref="LLC15:LLE15"/>
    <mergeCell ref="LLF15:LLG15"/>
    <mergeCell ref="LKH15:LKI15"/>
    <mergeCell ref="LKJ15:LKL15"/>
    <mergeCell ref="LKM15:LKO15"/>
    <mergeCell ref="LKP15:LKQ15"/>
    <mergeCell ref="LKR15:LKT15"/>
    <mergeCell ref="LJT15:LJV15"/>
    <mergeCell ref="LJW15:LJY15"/>
    <mergeCell ref="LJZ15:LKA15"/>
    <mergeCell ref="LKB15:LKD15"/>
    <mergeCell ref="LKE15:LKG15"/>
    <mergeCell ref="LJG15:LJI15"/>
    <mergeCell ref="LJJ15:LJK15"/>
    <mergeCell ref="LJL15:LJN15"/>
    <mergeCell ref="LJO15:LJQ15"/>
    <mergeCell ref="LJR15:LJS15"/>
    <mergeCell ref="LIT15:LIU15"/>
    <mergeCell ref="LIV15:LIX15"/>
    <mergeCell ref="LIY15:LJA15"/>
    <mergeCell ref="LJB15:LJC15"/>
    <mergeCell ref="LJD15:LJF15"/>
    <mergeCell ref="LIF15:LIH15"/>
    <mergeCell ref="LII15:LIK15"/>
    <mergeCell ref="LIL15:LIM15"/>
    <mergeCell ref="LIN15:LIP15"/>
    <mergeCell ref="LIQ15:LIS15"/>
    <mergeCell ref="LOX15:LOY15"/>
    <mergeCell ref="LOZ15:LPB15"/>
    <mergeCell ref="LPC15:LPE15"/>
    <mergeCell ref="LPF15:LPG15"/>
    <mergeCell ref="LPH15:LPJ15"/>
    <mergeCell ref="LOJ15:LOL15"/>
    <mergeCell ref="LOM15:LOO15"/>
    <mergeCell ref="LOP15:LOQ15"/>
    <mergeCell ref="LOR15:LOT15"/>
    <mergeCell ref="LOU15:LOW15"/>
    <mergeCell ref="LNW15:LNY15"/>
    <mergeCell ref="LNZ15:LOA15"/>
    <mergeCell ref="LOB15:LOD15"/>
    <mergeCell ref="LOE15:LOG15"/>
    <mergeCell ref="LOH15:LOI15"/>
    <mergeCell ref="LNJ15:LNK15"/>
    <mergeCell ref="LNL15:LNN15"/>
    <mergeCell ref="LNO15:LNQ15"/>
    <mergeCell ref="LNR15:LNS15"/>
    <mergeCell ref="LNT15:LNV15"/>
    <mergeCell ref="LMV15:LMX15"/>
    <mergeCell ref="LMY15:LNA15"/>
    <mergeCell ref="LNB15:LNC15"/>
    <mergeCell ref="LND15:LNF15"/>
    <mergeCell ref="LNG15:LNI15"/>
    <mergeCell ref="LMI15:LMK15"/>
    <mergeCell ref="LML15:LMM15"/>
    <mergeCell ref="LMN15:LMP15"/>
    <mergeCell ref="LMQ15:LMS15"/>
    <mergeCell ref="LMT15:LMU15"/>
    <mergeCell ref="LLV15:LLW15"/>
    <mergeCell ref="LLX15:LLZ15"/>
    <mergeCell ref="LMA15:LMC15"/>
    <mergeCell ref="LMD15:LME15"/>
    <mergeCell ref="LMF15:LMH15"/>
    <mergeCell ref="LSM15:LSO15"/>
    <mergeCell ref="LSP15:LSQ15"/>
    <mergeCell ref="LSR15:LST15"/>
    <mergeCell ref="LSU15:LSW15"/>
    <mergeCell ref="LSX15:LSY15"/>
    <mergeCell ref="LRZ15:LSA15"/>
    <mergeCell ref="LSB15:LSD15"/>
    <mergeCell ref="LSE15:LSG15"/>
    <mergeCell ref="LSH15:LSI15"/>
    <mergeCell ref="LSJ15:LSL15"/>
    <mergeCell ref="LRL15:LRN15"/>
    <mergeCell ref="LRO15:LRQ15"/>
    <mergeCell ref="LRR15:LRS15"/>
    <mergeCell ref="LRT15:LRV15"/>
    <mergeCell ref="LRW15:LRY15"/>
    <mergeCell ref="LQY15:LRA15"/>
    <mergeCell ref="LRB15:LRC15"/>
    <mergeCell ref="LRD15:LRF15"/>
    <mergeCell ref="LRG15:LRI15"/>
    <mergeCell ref="LRJ15:LRK15"/>
    <mergeCell ref="LQL15:LQM15"/>
    <mergeCell ref="LQN15:LQP15"/>
    <mergeCell ref="LQQ15:LQS15"/>
    <mergeCell ref="LQT15:LQU15"/>
    <mergeCell ref="LQV15:LQX15"/>
    <mergeCell ref="LPX15:LPZ15"/>
    <mergeCell ref="LQA15:LQC15"/>
    <mergeCell ref="LQD15:LQE15"/>
    <mergeCell ref="LQF15:LQH15"/>
    <mergeCell ref="LQI15:LQK15"/>
    <mergeCell ref="LPK15:LPM15"/>
    <mergeCell ref="LPN15:LPO15"/>
    <mergeCell ref="LPP15:LPR15"/>
    <mergeCell ref="LPS15:LPU15"/>
    <mergeCell ref="LPV15:LPW15"/>
    <mergeCell ref="LWB15:LWD15"/>
    <mergeCell ref="LWE15:LWG15"/>
    <mergeCell ref="LWH15:LWI15"/>
    <mergeCell ref="LWJ15:LWL15"/>
    <mergeCell ref="LWM15:LWO15"/>
    <mergeCell ref="LVO15:LVQ15"/>
    <mergeCell ref="LVR15:LVS15"/>
    <mergeCell ref="LVT15:LVV15"/>
    <mergeCell ref="LVW15:LVY15"/>
    <mergeCell ref="LVZ15:LWA15"/>
    <mergeCell ref="LVB15:LVC15"/>
    <mergeCell ref="LVD15:LVF15"/>
    <mergeCell ref="LVG15:LVI15"/>
    <mergeCell ref="LVJ15:LVK15"/>
    <mergeCell ref="LVL15:LVN15"/>
    <mergeCell ref="LUN15:LUP15"/>
    <mergeCell ref="LUQ15:LUS15"/>
    <mergeCell ref="LUT15:LUU15"/>
    <mergeCell ref="LUV15:LUX15"/>
    <mergeCell ref="LUY15:LVA15"/>
    <mergeCell ref="LUA15:LUC15"/>
    <mergeCell ref="LUD15:LUE15"/>
    <mergeCell ref="LUF15:LUH15"/>
    <mergeCell ref="LUI15:LUK15"/>
    <mergeCell ref="LUL15:LUM15"/>
    <mergeCell ref="LTN15:LTO15"/>
    <mergeCell ref="LTP15:LTR15"/>
    <mergeCell ref="LTS15:LTU15"/>
    <mergeCell ref="LTV15:LTW15"/>
    <mergeCell ref="LTX15:LTZ15"/>
    <mergeCell ref="LSZ15:LTB15"/>
    <mergeCell ref="LTC15:LTE15"/>
    <mergeCell ref="LTF15:LTG15"/>
    <mergeCell ref="LTH15:LTJ15"/>
    <mergeCell ref="LTK15:LTM15"/>
    <mergeCell ref="LZR15:LZS15"/>
    <mergeCell ref="LZT15:LZV15"/>
    <mergeCell ref="LZW15:LZY15"/>
    <mergeCell ref="LZZ15:MAA15"/>
    <mergeCell ref="MAB15:MAD15"/>
    <mergeCell ref="LZD15:LZF15"/>
    <mergeCell ref="LZG15:LZI15"/>
    <mergeCell ref="LZJ15:LZK15"/>
    <mergeCell ref="LZL15:LZN15"/>
    <mergeCell ref="LZO15:LZQ15"/>
    <mergeCell ref="LYQ15:LYS15"/>
    <mergeCell ref="LYT15:LYU15"/>
    <mergeCell ref="LYV15:LYX15"/>
    <mergeCell ref="LYY15:LZA15"/>
    <mergeCell ref="LZB15:LZC15"/>
    <mergeCell ref="LYD15:LYE15"/>
    <mergeCell ref="LYF15:LYH15"/>
    <mergeCell ref="LYI15:LYK15"/>
    <mergeCell ref="LYL15:LYM15"/>
    <mergeCell ref="LYN15:LYP15"/>
    <mergeCell ref="LXP15:LXR15"/>
    <mergeCell ref="LXS15:LXU15"/>
    <mergeCell ref="LXV15:LXW15"/>
    <mergeCell ref="LXX15:LXZ15"/>
    <mergeCell ref="LYA15:LYC15"/>
    <mergeCell ref="LXC15:LXE15"/>
    <mergeCell ref="LXF15:LXG15"/>
    <mergeCell ref="LXH15:LXJ15"/>
    <mergeCell ref="LXK15:LXM15"/>
    <mergeCell ref="LXN15:LXO15"/>
    <mergeCell ref="LWP15:LWQ15"/>
    <mergeCell ref="LWR15:LWT15"/>
    <mergeCell ref="LWU15:LWW15"/>
    <mergeCell ref="LWX15:LWY15"/>
    <mergeCell ref="LWZ15:LXB15"/>
    <mergeCell ref="MDG15:MDI15"/>
    <mergeCell ref="MDJ15:MDK15"/>
    <mergeCell ref="MDL15:MDN15"/>
    <mergeCell ref="MDO15:MDQ15"/>
    <mergeCell ref="MDR15:MDS15"/>
    <mergeCell ref="MCT15:MCU15"/>
    <mergeCell ref="MCV15:MCX15"/>
    <mergeCell ref="MCY15:MDA15"/>
    <mergeCell ref="MDB15:MDC15"/>
    <mergeCell ref="MDD15:MDF15"/>
    <mergeCell ref="MCF15:MCH15"/>
    <mergeCell ref="MCI15:MCK15"/>
    <mergeCell ref="MCL15:MCM15"/>
    <mergeCell ref="MCN15:MCP15"/>
    <mergeCell ref="MCQ15:MCS15"/>
    <mergeCell ref="MBS15:MBU15"/>
    <mergeCell ref="MBV15:MBW15"/>
    <mergeCell ref="MBX15:MBZ15"/>
    <mergeCell ref="MCA15:MCC15"/>
    <mergeCell ref="MCD15:MCE15"/>
    <mergeCell ref="MBF15:MBG15"/>
    <mergeCell ref="MBH15:MBJ15"/>
    <mergeCell ref="MBK15:MBM15"/>
    <mergeCell ref="MBN15:MBO15"/>
    <mergeCell ref="MBP15:MBR15"/>
    <mergeCell ref="MAR15:MAT15"/>
    <mergeCell ref="MAU15:MAW15"/>
    <mergeCell ref="MAX15:MAY15"/>
    <mergeCell ref="MAZ15:MBB15"/>
    <mergeCell ref="MBC15:MBE15"/>
    <mergeCell ref="MAE15:MAG15"/>
    <mergeCell ref="MAH15:MAI15"/>
    <mergeCell ref="MAJ15:MAL15"/>
    <mergeCell ref="MAM15:MAO15"/>
    <mergeCell ref="MAP15:MAQ15"/>
    <mergeCell ref="MGV15:MGX15"/>
    <mergeCell ref="MGY15:MHA15"/>
    <mergeCell ref="MHB15:MHC15"/>
    <mergeCell ref="MHD15:MHF15"/>
    <mergeCell ref="MHG15:MHI15"/>
    <mergeCell ref="MGI15:MGK15"/>
    <mergeCell ref="MGL15:MGM15"/>
    <mergeCell ref="MGN15:MGP15"/>
    <mergeCell ref="MGQ15:MGS15"/>
    <mergeCell ref="MGT15:MGU15"/>
    <mergeCell ref="MFV15:MFW15"/>
    <mergeCell ref="MFX15:MFZ15"/>
    <mergeCell ref="MGA15:MGC15"/>
    <mergeCell ref="MGD15:MGE15"/>
    <mergeCell ref="MGF15:MGH15"/>
    <mergeCell ref="MFH15:MFJ15"/>
    <mergeCell ref="MFK15:MFM15"/>
    <mergeCell ref="MFN15:MFO15"/>
    <mergeCell ref="MFP15:MFR15"/>
    <mergeCell ref="MFS15:MFU15"/>
    <mergeCell ref="MEU15:MEW15"/>
    <mergeCell ref="MEX15:MEY15"/>
    <mergeCell ref="MEZ15:MFB15"/>
    <mergeCell ref="MFC15:MFE15"/>
    <mergeCell ref="MFF15:MFG15"/>
    <mergeCell ref="MEH15:MEI15"/>
    <mergeCell ref="MEJ15:MEL15"/>
    <mergeCell ref="MEM15:MEO15"/>
    <mergeCell ref="MEP15:MEQ15"/>
    <mergeCell ref="MER15:MET15"/>
    <mergeCell ref="MDT15:MDV15"/>
    <mergeCell ref="MDW15:MDY15"/>
    <mergeCell ref="MDZ15:MEA15"/>
    <mergeCell ref="MEB15:MED15"/>
    <mergeCell ref="MEE15:MEG15"/>
    <mergeCell ref="MKL15:MKM15"/>
    <mergeCell ref="MKN15:MKP15"/>
    <mergeCell ref="MKQ15:MKS15"/>
    <mergeCell ref="MKT15:MKU15"/>
    <mergeCell ref="MKV15:MKX15"/>
    <mergeCell ref="MJX15:MJZ15"/>
    <mergeCell ref="MKA15:MKC15"/>
    <mergeCell ref="MKD15:MKE15"/>
    <mergeCell ref="MKF15:MKH15"/>
    <mergeCell ref="MKI15:MKK15"/>
    <mergeCell ref="MJK15:MJM15"/>
    <mergeCell ref="MJN15:MJO15"/>
    <mergeCell ref="MJP15:MJR15"/>
    <mergeCell ref="MJS15:MJU15"/>
    <mergeCell ref="MJV15:MJW15"/>
    <mergeCell ref="MIX15:MIY15"/>
    <mergeCell ref="MIZ15:MJB15"/>
    <mergeCell ref="MJC15:MJE15"/>
    <mergeCell ref="MJF15:MJG15"/>
    <mergeCell ref="MJH15:MJJ15"/>
    <mergeCell ref="MIJ15:MIL15"/>
    <mergeCell ref="MIM15:MIO15"/>
    <mergeCell ref="MIP15:MIQ15"/>
    <mergeCell ref="MIR15:MIT15"/>
    <mergeCell ref="MIU15:MIW15"/>
    <mergeCell ref="MHW15:MHY15"/>
    <mergeCell ref="MHZ15:MIA15"/>
    <mergeCell ref="MIB15:MID15"/>
    <mergeCell ref="MIE15:MIG15"/>
    <mergeCell ref="MIH15:MII15"/>
    <mergeCell ref="MHJ15:MHK15"/>
    <mergeCell ref="MHL15:MHN15"/>
    <mergeCell ref="MHO15:MHQ15"/>
    <mergeCell ref="MHR15:MHS15"/>
    <mergeCell ref="MHT15:MHV15"/>
    <mergeCell ref="MOA15:MOC15"/>
    <mergeCell ref="MOD15:MOE15"/>
    <mergeCell ref="MOF15:MOH15"/>
    <mergeCell ref="MOI15:MOK15"/>
    <mergeCell ref="MOL15:MOM15"/>
    <mergeCell ref="MNN15:MNO15"/>
    <mergeCell ref="MNP15:MNR15"/>
    <mergeCell ref="MNS15:MNU15"/>
    <mergeCell ref="MNV15:MNW15"/>
    <mergeCell ref="MNX15:MNZ15"/>
    <mergeCell ref="MMZ15:MNB15"/>
    <mergeCell ref="MNC15:MNE15"/>
    <mergeCell ref="MNF15:MNG15"/>
    <mergeCell ref="MNH15:MNJ15"/>
    <mergeCell ref="MNK15:MNM15"/>
    <mergeCell ref="MMM15:MMO15"/>
    <mergeCell ref="MMP15:MMQ15"/>
    <mergeCell ref="MMR15:MMT15"/>
    <mergeCell ref="MMU15:MMW15"/>
    <mergeCell ref="MMX15:MMY15"/>
    <mergeCell ref="MLZ15:MMA15"/>
    <mergeCell ref="MMB15:MMD15"/>
    <mergeCell ref="MME15:MMG15"/>
    <mergeCell ref="MMH15:MMI15"/>
    <mergeCell ref="MMJ15:MML15"/>
    <mergeCell ref="MLL15:MLN15"/>
    <mergeCell ref="MLO15:MLQ15"/>
    <mergeCell ref="MLR15:MLS15"/>
    <mergeCell ref="MLT15:MLV15"/>
    <mergeCell ref="MLW15:MLY15"/>
    <mergeCell ref="MKY15:MLA15"/>
    <mergeCell ref="MLB15:MLC15"/>
    <mergeCell ref="MLD15:MLF15"/>
    <mergeCell ref="MLG15:MLI15"/>
    <mergeCell ref="MLJ15:MLK15"/>
    <mergeCell ref="MRP15:MRR15"/>
    <mergeCell ref="MRS15:MRU15"/>
    <mergeCell ref="MRV15:MRW15"/>
    <mergeCell ref="MRX15:MRZ15"/>
    <mergeCell ref="MSA15:MSC15"/>
    <mergeCell ref="MRC15:MRE15"/>
    <mergeCell ref="MRF15:MRG15"/>
    <mergeCell ref="MRH15:MRJ15"/>
    <mergeCell ref="MRK15:MRM15"/>
    <mergeCell ref="MRN15:MRO15"/>
    <mergeCell ref="MQP15:MQQ15"/>
    <mergeCell ref="MQR15:MQT15"/>
    <mergeCell ref="MQU15:MQW15"/>
    <mergeCell ref="MQX15:MQY15"/>
    <mergeCell ref="MQZ15:MRB15"/>
    <mergeCell ref="MQB15:MQD15"/>
    <mergeCell ref="MQE15:MQG15"/>
    <mergeCell ref="MQH15:MQI15"/>
    <mergeCell ref="MQJ15:MQL15"/>
    <mergeCell ref="MQM15:MQO15"/>
    <mergeCell ref="MPO15:MPQ15"/>
    <mergeCell ref="MPR15:MPS15"/>
    <mergeCell ref="MPT15:MPV15"/>
    <mergeCell ref="MPW15:MPY15"/>
    <mergeCell ref="MPZ15:MQA15"/>
    <mergeCell ref="MPB15:MPC15"/>
    <mergeCell ref="MPD15:MPF15"/>
    <mergeCell ref="MPG15:MPI15"/>
    <mergeCell ref="MPJ15:MPK15"/>
    <mergeCell ref="MPL15:MPN15"/>
    <mergeCell ref="MON15:MOP15"/>
    <mergeCell ref="MOQ15:MOS15"/>
    <mergeCell ref="MOT15:MOU15"/>
    <mergeCell ref="MOV15:MOX15"/>
    <mergeCell ref="MOY15:MPA15"/>
    <mergeCell ref="MVF15:MVG15"/>
    <mergeCell ref="MVH15:MVJ15"/>
    <mergeCell ref="MVK15:MVM15"/>
    <mergeCell ref="MVN15:MVO15"/>
    <mergeCell ref="MVP15:MVR15"/>
    <mergeCell ref="MUR15:MUT15"/>
    <mergeCell ref="MUU15:MUW15"/>
    <mergeCell ref="MUX15:MUY15"/>
    <mergeCell ref="MUZ15:MVB15"/>
    <mergeCell ref="MVC15:MVE15"/>
    <mergeCell ref="MUE15:MUG15"/>
    <mergeCell ref="MUH15:MUI15"/>
    <mergeCell ref="MUJ15:MUL15"/>
    <mergeCell ref="MUM15:MUO15"/>
    <mergeCell ref="MUP15:MUQ15"/>
    <mergeCell ref="MTR15:MTS15"/>
    <mergeCell ref="MTT15:MTV15"/>
    <mergeCell ref="MTW15:MTY15"/>
    <mergeCell ref="MTZ15:MUA15"/>
    <mergeCell ref="MUB15:MUD15"/>
    <mergeCell ref="MTD15:MTF15"/>
    <mergeCell ref="MTG15:MTI15"/>
    <mergeCell ref="MTJ15:MTK15"/>
    <mergeCell ref="MTL15:MTN15"/>
    <mergeCell ref="MTO15:MTQ15"/>
    <mergeCell ref="MSQ15:MSS15"/>
    <mergeCell ref="MST15:MSU15"/>
    <mergeCell ref="MSV15:MSX15"/>
    <mergeCell ref="MSY15:MTA15"/>
    <mergeCell ref="MTB15:MTC15"/>
    <mergeCell ref="MSD15:MSE15"/>
    <mergeCell ref="MSF15:MSH15"/>
    <mergeCell ref="MSI15:MSK15"/>
    <mergeCell ref="MSL15:MSM15"/>
    <mergeCell ref="MSN15:MSP15"/>
    <mergeCell ref="MYU15:MYW15"/>
    <mergeCell ref="MYX15:MYY15"/>
    <mergeCell ref="MYZ15:MZB15"/>
    <mergeCell ref="MZC15:MZE15"/>
    <mergeCell ref="MZF15:MZG15"/>
    <mergeCell ref="MYH15:MYI15"/>
    <mergeCell ref="MYJ15:MYL15"/>
    <mergeCell ref="MYM15:MYO15"/>
    <mergeCell ref="MYP15:MYQ15"/>
    <mergeCell ref="MYR15:MYT15"/>
    <mergeCell ref="MXT15:MXV15"/>
    <mergeCell ref="MXW15:MXY15"/>
    <mergeCell ref="MXZ15:MYA15"/>
    <mergeCell ref="MYB15:MYD15"/>
    <mergeCell ref="MYE15:MYG15"/>
    <mergeCell ref="MXG15:MXI15"/>
    <mergeCell ref="MXJ15:MXK15"/>
    <mergeCell ref="MXL15:MXN15"/>
    <mergeCell ref="MXO15:MXQ15"/>
    <mergeCell ref="MXR15:MXS15"/>
    <mergeCell ref="MWT15:MWU15"/>
    <mergeCell ref="MWV15:MWX15"/>
    <mergeCell ref="MWY15:MXA15"/>
    <mergeCell ref="MXB15:MXC15"/>
    <mergeCell ref="MXD15:MXF15"/>
    <mergeCell ref="MWF15:MWH15"/>
    <mergeCell ref="MWI15:MWK15"/>
    <mergeCell ref="MWL15:MWM15"/>
    <mergeCell ref="MWN15:MWP15"/>
    <mergeCell ref="MWQ15:MWS15"/>
    <mergeCell ref="MVS15:MVU15"/>
    <mergeCell ref="MVV15:MVW15"/>
    <mergeCell ref="MVX15:MVZ15"/>
    <mergeCell ref="MWA15:MWC15"/>
    <mergeCell ref="MWD15:MWE15"/>
    <mergeCell ref="NCJ15:NCL15"/>
    <mergeCell ref="NCM15:NCO15"/>
    <mergeCell ref="NCP15:NCQ15"/>
    <mergeCell ref="NCR15:NCT15"/>
    <mergeCell ref="NCU15:NCW15"/>
    <mergeCell ref="NBW15:NBY15"/>
    <mergeCell ref="NBZ15:NCA15"/>
    <mergeCell ref="NCB15:NCD15"/>
    <mergeCell ref="NCE15:NCG15"/>
    <mergeCell ref="NCH15:NCI15"/>
    <mergeCell ref="NBJ15:NBK15"/>
    <mergeCell ref="NBL15:NBN15"/>
    <mergeCell ref="NBO15:NBQ15"/>
    <mergeCell ref="NBR15:NBS15"/>
    <mergeCell ref="NBT15:NBV15"/>
    <mergeCell ref="NAV15:NAX15"/>
    <mergeCell ref="NAY15:NBA15"/>
    <mergeCell ref="NBB15:NBC15"/>
    <mergeCell ref="NBD15:NBF15"/>
    <mergeCell ref="NBG15:NBI15"/>
    <mergeCell ref="NAI15:NAK15"/>
    <mergeCell ref="NAL15:NAM15"/>
    <mergeCell ref="NAN15:NAP15"/>
    <mergeCell ref="NAQ15:NAS15"/>
    <mergeCell ref="NAT15:NAU15"/>
    <mergeCell ref="MZV15:MZW15"/>
    <mergeCell ref="MZX15:MZZ15"/>
    <mergeCell ref="NAA15:NAC15"/>
    <mergeCell ref="NAD15:NAE15"/>
    <mergeCell ref="NAF15:NAH15"/>
    <mergeCell ref="MZH15:MZJ15"/>
    <mergeCell ref="MZK15:MZM15"/>
    <mergeCell ref="MZN15:MZO15"/>
    <mergeCell ref="MZP15:MZR15"/>
    <mergeCell ref="MZS15:MZU15"/>
    <mergeCell ref="NFZ15:NGA15"/>
    <mergeCell ref="NGB15:NGD15"/>
    <mergeCell ref="NGE15:NGG15"/>
    <mergeCell ref="NGH15:NGI15"/>
    <mergeCell ref="NGJ15:NGL15"/>
    <mergeCell ref="NFL15:NFN15"/>
    <mergeCell ref="NFO15:NFQ15"/>
    <mergeCell ref="NFR15:NFS15"/>
    <mergeCell ref="NFT15:NFV15"/>
    <mergeCell ref="NFW15:NFY15"/>
    <mergeCell ref="NEY15:NFA15"/>
    <mergeCell ref="NFB15:NFC15"/>
    <mergeCell ref="NFD15:NFF15"/>
    <mergeCell ref="NFG15:NFI15"/>
    <mergeCell ref="NFJ15:NFK15"/>
    <mergeCell ref="NEL15:NEM15"/>
    <mergeCell ref="NEN15:NEP15"/>
    <mergeCell ref="NEQ15:NES15"/>
    <mergeCell ref="NET15:NEU15"/>
    <mergeCell ref="NEV15:NEX15"/>
    <mergeCell ref="NDX15:NDZ15"/>
    <mergeCell ref="NEA15:NEC15"/>
    <mergeCell ref="NED15:NEE15"/>
    <mergeCell ref="NEF15:NEH15"/>
    <mergeCell ref="NEI15:NEK15"/>
    <mergeCell ref="NDK15:NDM15"/>
    <mergeCell ref="NDN15:NDO15"/>
    <mergeCell ref="NDP15:NDR15"/>
    <mergeCell ref="NDS15:NDU15"/>
    <mergeCell ref="NDV15:NDW15"/>
    <mergeCell ref="NCX15:NCY15"/>
    <mergeCell ref="NCZ15:NDB15"/>
    <mergeCell ref="NDC15:NDE15"/>
    <mergeCell ref="NDF15:NDG15"/>
    <mergeCell ref="NDH15:NDJ15"/>
    <mergeCell ref="NJO15:NJQ15"/>
    <mergeCell ref="NJR15:NJS15"/>
    <mergeCell ref="NJT15:NJV15"/>
    <mergeCell ref="NJW15:NJY15"/>
    <mergeCell ref="NJZ15:NKA15"/>
    <mergeCell ref="NJB15:NJC15"/>
    <mergeCell ref="NJD15:NJF15"/>
    <mergeCell ref="NJG15:NJI15"/>
    <mergeCell ref="NJJ15:NJK15"/>
    <mergeCell ref="NJL15:NJN15"/>
    <mergeCell ref="NIN15:NIP15"/>
    <mergeCell ref="NIQ15:NIS15"/>
    <mergeCell ref="NIT15:NIU15"/>
    <mergeCell ref="NIV15:NIX15"/>
    <mergeCell ref="NIY15:NJA15"/>
    <mergeCell ref="NIA15:NIC15"/>
    <mergeCell ref="NID15:NIE15"/>
    <mergeCell ref="NIF15:NIH15"/>
    <mergeCell ref="NII15:NIK15"/>
    <mergeCell ref="NIL15:NIM15"/>
    <mergeCell ref="NHN15:NHO15"/>
    <mergeCell ref="NHP15:NHR15"/>
    <mergeCell ref="NHS15:NHU15"/>
    <mergeCell ref="NHV15:NHW15"/>
    <mergeCell ref="NHX15:NHZ15"/>
    <mergeCell ref="NGZ15:NHB15"/>
    <mergeCell ref="NHC15:NHE15"/>
    <mergeCell ref="NHF15:NHG15"/>
    <mergeCell ref="NHH15:NHJ15"/>
    <mergeCell ref="NHK15:NHM15"/>
    <mergeCell ref="NGM15:NGO15"/>
    <mergeCell ref="NGP15:NGQ15"/>
    <mergeCell ref="NGR15:NGT15"/>
    <mergeCell ref="NGU15:NGW15"/>
    <mergeCell ref="NGX15:NGY15"/>
    <mergeCell ref="NND15:NNF15"/>
    <mergeCell ref="NNG15:NNI15"/>
    <mergeCell ref="NNJ15:NNK15"/>
    <mergeCell ref="NNL15:NNN15"/>
    <mergeCell ref="NNO15:NNQ15"/>
    <mergeCell ref="NMQ15:NMS15"/>
    <mergeCell ref="NMT15:NMU15"/>
    <mergeCell ref="NMV15:NMX15"/>
    <mergeCell ref="NMY15:NNA15"/>
    <mergeCell ref="NNB15:NNC15"/>
    <mergeCell ref="NMD15:NME15"/>
    <mergeCell ref="NMF15:NMH15"/>
    <mergeCell ref="NMI15:NMK15"/>
    <mergeCell ref="NML15:NMM15"/>
    <mergeCell ref="NMN15:NMP15"/>
    <mergeCell ref="NLP15:NLR15"/>
    <mergeCell ref="NLS15:NLU15"/>
    <mergeCell ref="NLV15:NLW15"/>
    <mergeCell ref="NLX15:NLZ15"/>
    <mergeCell ref="NMA15:NMC15"/>
    <mergeCell ref="NLC15:NLE15"/>
    <mergeCell ref="NLF15:NLG15"/>
    <mergeCell ref="NLH15:NLJ15"/>
    <mergeCell ref="NLK15:NLM15"/>
    <mergeCell ref="NLN15:NLO15"/>
    <mergeCell ref="NKP15:NKQ15"/>
    <mergeCell ref="NKR15:NKT15"/>
    <mergeCell ref="NKU15:NKW15"/>
    <mergeCell ref="NKX15:NKY15"/>
    <mergeCell ref="NKZ15:NLB15"/>
    <mergeCell ref="NKB15:NKD15"/>
    <mergeCell ref="NKE15:NKG15"/>
    <mergeCell ref="NKH15:NKI15"/>
    <mergeCell ref="NKJ15:NKL15"/>
    <mergeCell ref="NKM15:NKO15"/>
    <mergeCell ref="NQT15:NQU15"/>
    <mergeCell ref="NQV15:NQX15"/>
    <mergeCell ref="NQY15:NRA15"/>
    <mergeCell ref="NRB15:NRC15"/>
    <mergeCell ref="NRD15:NRF15"/>
    <mergeCell ref="NQF15:NQH15"/>
    <mergeCell ref="NQI15:NQK15"/>
    <mergeCell ref="NQL15:NQM15"/>
    <mergeCell ref="NQN15:NQP15"/>
    <mergeCell ref="NQQ15:NQS15"/>
    <mergeCell ref="NPS15:NPU15"/>
    <mergeCell ref="NPV15:NPW15"/>
    <mergeCell ref="NPX15:NPZ15"/>
    <mergeCell ref="NQA15:NQC15"/>
    <mergeCell ref="NQD15:NQE15"/>
    <mergeCell ref="NPF15:NPG15"/>
    <mergeCell ref="NPH15:NPJ15"/>
    <mergeCell ref="NPK15:NPM15"/>
    <mergeCell ref="NPN15:NPO15"/>
    <mergeCell ref="NPP15:NPR15"/>
    <mergeCell ref="NOR15:NOT15"/>
    <mergeCell ref="NOU15:NOW15"/>
    <mergeCell ref="NOX15:NOY15"/>
    <mergeCell ref="NOZ15:NPB15"/>
    <mergeCell ref="NPC15:NPE15"/>
    <mergeCell ref="NOE15:NOG15"/>
    <mergeCell ref="NOH15:NOI15"/>
    <mergeCell ref="NOJ15:NOL15"/>
    <mergeCell ref="NOM15:NOO15"/>
    <mergeCell ref="NOP15:NOQ15"/>
    <mergeCell ref="NNR15:NNS15"/>
    <mergeCell ref="NNT15:NNV15"/>
    <mergeCell ref="NNW15:NNY15"/>
    <mergeCell ref="NNZ15:NOA15"/>
    <mergeCell ref="NOB15:NOD15"/>
    <mergeCell ref="NUI15:NUK15"/>
    <mergeCell ref="NUL15:NUM15"/>
    <mergeCell ref="NUN15:NUP15"/>
    <mergeCell ref="NUQ15:NUS15"/>
    <mergeCell ref="NUT15:NUU15"/>
    <mergeCell ref="NTV15:NTW15"/>
    <mergeCell ref="NTX15:NTZ15"/>
    <mergeCell ref="NUA15:NUC15"/>
    <mergeCell ref="NUD15:NUE15"/>
    <mergeCell ref="NUF15:NUH15"/>
    <mergeCell ref="NTH15:NTJ15"/>
    <mergeCell ref="NTK15:NTM15"/>
    <mergeCell ref="NTN15:NTO15"/>
    <mergeCell ref="NTP15:NTR15"/>
    <mergeCell ref="NTS15:NTU15"/>
    <mergeCell ref="NSU15:NSW15"/>
    <mergeCell ref="NSX15:NSY15"/>
    <mergeCell ref="NSZ15:NTB15"/>
    <mergeCell ref="NTC15:NTE15"/>
    <mergeCell ref="NTF15:NTG15"/>
    <mergeCell ref="NSH15:NSI15"/>
    <mergeCell ref="NSJ15:NSL15"/>
    <mergeCell ref="NSM15:NSO15"/>
    <mergeCell ref="NSP15:NSQ15"/>
    <mergeCell ref="NSR15:NST15"/>
    <mergeCell ref="NRT15:NRV15"/>
    <mergeCell ref="NRW15:NRY15"/>
    <mergeCell ref="NRZ15:NSA15"/>
    <mergeCell ref="NSB15:NSD15"/>
    <mergeCell ref="NSE15:NSG15"/>
    <mergeCell ref="NRG15:NRI15"/>
    <mergeCell ref="NRJ15:NRK15"/>
    <mergeCell ref="NRL15:NRN15"/>
    <mergeCell ref="NRO15:NRQ15"/>
    <mergeCell ref="NRR15:NRS15"/>
    <mergeCell ref="NXX15:NXZ15"/>
    <mergeCell ref="NYA15:NYC15"/>
    <mergeCell ref="NYD15:NYE15"/>
    <mergeCell ref="NYF15:NYH15"/>
    <mergeCell ref="NYI15:NYK15"/>
    <mergeCell ref="NXK15:NXM15"/>
    <mergeCell ref="NXN15:NXO15"/>
    <mergeCell ref="NXP15:NXR15"/>
    <mergeCell ref="NXS15:NXU15"/>
    <mergeCell ref="NXV15:NXW15"/>
    <mergeCell ref="NWX15:NWY15"/>
    <mergeCell ref="NWZ15:NXB15"/>
    <mergeCell ref="NXC15:NXE15"/>
    <mergeCell ref="NXF15:NXG15"/>
    <mergeCell ref="NXH15:NXJ15"/>
    <mergeCell ref="NWJ15:NWL15"/>
    <mergeCell ref="NWM15:NWO15"/>
    <mergeCell ref="NWP15:NWQ15"/>
    <mergeCell ref="NWR15:NWT15"/>
    <mergeCell ref="NWU15:NWW15"/>
    <mergeCell ref="NVW15:NVY15"/>
    <mergeCell ref="NVZ15:NWA15"/>
    <mergeCell ref="NWB15:NWD15"/>
    <mergeCell ref="NWE15:NWG15"/>
    <mergeCell ref="NWH15:NWI15"/>
    <mergeCell ref="NVJ15:NVK15"/>
    <mergeCell ref="NVL15:NVN15"/>
    <mergeCell ref="NVO15:NVQ15"/>
    <mergeCell ref="NVR15:NVS15"/>
    <mergeCell ref="NVT15:NVV15"/>
    <mergeCell ref="NUV15:NUX15"/>
    <mergeCell ref="NUY15:NVA15"/>
    <mergeCell ref="NVB15:NVC15"/>
    <mergeCell ref="NVD15:NVF15"/>
    <mergeCell ref="NVG15:NVI15"/>
    <mergeCell ref="OBN15:OBO15"/>
    <mergeCell ref="OBP15:OBR15"/>
    <mergeCell ref="OBS15:OBU15"/>
    <mergeCell ref="OBV15:OBW15"/>
    <mergeCell ref="OBX15:OBZ15"/>
    <mergeCell ref="OAZ15:OBB15"/>
    <mergeCell ref="OBC15:OBE15"/>
    <mergeCell ref="OBF15:OBG15"/>
    <mergeCell ref="OBH15:OBJ15"/>
    <mergeCell ref="OBK15:OBM15"/>
    <mergeCell ref="OAM15:OAO15"/>
    <mergeCell ref="OAP15:OAQ15"/>
    <mergeCell ref="OAR15:OAT15"/>
    <mergeCell ref="OAU15:OAW15"/>
    <mergeCell ref="OAX15:OAY15"/>
    <mergeCell ref="NZZ15:OAA15"/>
    <mergeCell ref="OAB15:OAD15"/>
    <mergeCell ref="OAE15:OAG15"/>
    <mergeCell ref="OAH15:OAI15"/>
    <mergeCell ref="OAJ15:OAL15"/>
    <mergeCell ref="NZL15:NZN15"/>
    <mergeCell ref="NZO15:NZQ15"/>
    <mergeCell ref="NZR15:NZS15"/>
    <mergeCell ref="NZT15:NZV15"/>
    <mergeCell ref="NZW15:NZY15"/>
    <mergeCell ref="NYY15:NZA15"/>
    <mergeCell ref="NZB15:NZC15"/>
    <mergeCell ref="NZD15:NZF15"/>
    <mergeCell ref="NZG15:NZI15"/>
    <mergeCell ref="NZJ15:NZK15"/>
    <mergeCell ref="NYL15:NYM15"/>
    <mergeCell ref="NYN15:NYP15"/>
    <mergeCell ref="NYQ15:NYS15"/>
    <mergeCell ref="NYT15:NYU15"/>
    <mergeCell ref="NYV15:NYX15"/>
    <mergeCell ref="OFC15:OFE15"/>
    <mergeCell ref="OFF15:OFG15"/>
    <mergeCell ref="OFH15:OFJ15"/>
    <mergeCell ref="OFK15:OFM15"/>
    <mergeCell ref="OFN15:OFO15"/>
    <mergeCell ref="OEP15:OEQ15"/>
    <mergeCell ref="OER15:OET15"/>
    <mergeCell ref="OEU15:OEW15"/>
    <mergeCell ref="OEX15:OEY15"/>
    <mergeCell ref="OEZ15:OFB15"/>
    <mergeCell ref="OEB15:OED15"/>
    <mergeCell ref="OEE15:OEG15"/>
    <mergeCell ref="OEH15:OEI15"/>
    <mergeCell ref="OEJ15:OEL15"/>
    <mergeCell ref="OEM15:OEO15"/>
    <mergeCell ref="ODO15:ODQ15"/>
    <mergeCell ref="ODR15:ODS15"/>
    <mergeCell ref="ODT15:ODV15"/>
    <mergeCell ref="ODW15:ODY15"/>
    <mergeCell ref="ODZ15:OEA15"/>
    <mergeCell ref="ODB15:ODC15"/>
    <mergeCell ref="ODD15:ODF15"/>
    <mergeCell ref="ODG15:ODI15"/>
    <mergeCell ref="ODJ15:ODK15"/>
    <mergeCell ref="ODL15:ODN15"/>
    <mergeCell ref="OCN15:OCP15"/>
    <mergeCell ref="OCQ15:OCS15"/>
    <mergeCell ref="OCT15:OCU15"/>
    <mergeCell ref="OCV15:OCX15"/>
    <mergeCell ref="OCY15:ODA15"/>
    <mergeCell ref="OCA15:OCC15"/>
    <mergeCell ref="OCD15:OCE15"/>
    <mergeCell ref="OCF15:OCH15"/>
    <mergeCell ref="OCI15:OCK15"/>
    <mergeCell ref="OCL15:OCM15"/>
    <mergeCell ref="OIR15:OIT15"/>
    <mergeCell ref="OIU15:OIW15"/>
    <mergeCell ref="OIX15:OIY15"/>
    <mergeCell ref="OIZ15:OJB15"/>
    <mergeCell ref="OJC15:OJE15"/>
    <mergeCell ref="OIE15:OIG15"/>
    <mergeCell ref="OIH15:OII15"/>
    <mergeCell ref="OIJ15:OIL15"/>
    <mergeCell ref="OIM15:OIO15"/>
    <mergeCell ref="OIP15:OIQ15"/>
    <mergeCell ref="OHR15:OHS15"/>
    <mergeCell ref="OHT15:OHV15"/>
    <mergeCell ref="OHW15:OHY15"/>
    <mergeCell ref="OHZ15:OIA15"/>
    <mergeCell ref="OIB15:OID15"/>
    <mergeCell ref="OHD15:OHF15"/>
    <mergeCell ref="OHG15:OHI15"/>
    <mergeCell ref="OHJ15:OHK15"/>
    <mergeCell ref="OHL15:OHN15"/>
    <mergeCell ref="OHO15:OHQ15"/>
    <mergeCell ref="OGQ15:OGS15"/>
    <mergeCell ref="OGT15:OGU15"/>
    <mergeCell ref="OGV15:OGX15"/>
    <mergeCell ref="OGY15:OHA15"/>
    <mergeCell ref="OHB15:OHC15"/>
    <mergeCell ref="OGD15:OGE15"/>
    <mergeCell ref="OGF15:OGH15"/>
    <mergeCell ref="OGI15:OGK15"/>
    <mergeCell ref="OGL15:OGM15"/>
    <mergeCell ref="OGN15:OGP15"/>
    <mergeCell ref="OFP15:OFR15"/>
    <mergeCell ref="OFS15:OFU15"/>
    <mergeCell ref="OFV15:OFW15"/>
    <mergeCell ref="OFX15:OFZ15"/>
    <mergeCell ref="OGA15:OGC15"/>
    <mergeCell ref="OMH15:OMI15"/>
    <mergeCell ref="OMJ15:OML15"/>
    <mergeCell ref="OMM15:OMO15"/>
    <mergeCell ref="OMP15:OMQ15"/>
    <mergeCell ref="OMR15:OMT15"/>
    <mergeCell ref="OLT15:OLV15"/>
    <mergeCell ref="OLW15:OLY15"/>
    <mergeCell ref="OLZ15:OMA15"/>
    <mergeCell ref="OMB15:OMD15"/>
    <mergeCell ref="OME15:OMG15"/>
    <mergeCell ref="OLG15:OLI15"/>
    <mergeCell ref="OLJ15:OLK15"/>
    <mergeCell ref="OLL15:OLN15"/>
    <mergeCell ref="OLO15:OLQ15"/>
    <mergeCell ref="OLR15:OLS15"/>
    <mergeCell ref="OKT15:OKU15"/>
    <mergeCell ref="OKV15:OKX15"/>
    <mergeCell ref="OKY15:OLA15"/>
    <mergeCell ref="OLB15:OLC15"/>
    <mergeCell ref="OLD15:OLF15"/>
    <mergeCell ref="OKF15:OKH15"/>
    <mergeCell ref="OKI15:OKK15"/>
    <mergeCell ref="OKL15:OKM15"/>
    <mergeCell ref="OKN15:OKP15"/>
    <mergeCell ref="OKQ15:OKS15"/>
    <mergeCell ref="OJS15:OJU15"/>
    <mergeCell ref="OJV15:OJW15"/>
    <mergeCell ref="OJX15:OJZ15"/>
    <mergeCell ref="OKA15:OKC15"/>
    <mergeCell ref="OKD15:OKE15"/>
    <mergeCell ref="OJF15:OJG15"/>
    <mergeCell ref="OJH15:OJJ15"/>
    <mergeCell ref="OJK15:OJM15"/>
    <mergeCell ref="OJN15:OJO15"/>
    <mergeCell ref="OJP15:OJR15"/>
    <mergeCell ref="OPW15:OPY15"/>
    <mergeCell ref="OPZ15:OQA15"/>
    <mergeCell ref="OQB15:OQD15"/>
    <mergeCell ref="OQE15:OQG15"/>
    <mergeCell ref="OQH15:OQI15"/>
    <mergeCell ref="OPJ15:OPK15"/>
    <mergeCell ref="OPL15:OPN15"/>
    <mergeCell ref="OPO15:OPQ15"/>
    <mergeCell ref="OPR15:OPS15"/>
    <mergeCell ref="OPT15:OPV15"/>
    <mergeCell ref="OOV15:OOX15"/>
    <mergeCell ref="OOY15:OPA15"/>
    <mergeCell ref="OPB15:OPC15"/>
    <mergeCell ref="OPD15:OPF15"/>
    <mergeCell ref="OPG15:OPI15"/>
    <mergeCell ref="OOI15:OOK15"/>
    <mergeCell ref="OOL15:OOM15"/>
    <mergeCell ref="OON15:OOP15"/>
    <mergeCell ref="OOQ15:OOS15"/>
    <mergeCell ref="OOT15:OOU15"/>
    <mergeCell ref="ONV15:ONW15"/>
    <mergeCell ref="ONX15:ONZ15"/>
    <mergeCell ref="OOA15:OOC15"/>
    <mergeCell ref="OOD15:OOE15"/>
    <mergeCell ref="OOF15:OOH15"/>
    <mergeCell ref="ONH15:ONJ15"/>
    <mergeCell ref="ONK15:ONM15"/>
    <mergeCell ref="ONN15:ONO15"/>
    <mergeCell ref="ONP15:ONR15"/>
    <mergeCell ref="ONS15:ONU15"/>
    <mergeCell ref="OMU15:OMW15"/>
    <mergeCell ref="OMX15:OMY15"/>
    <mergeCell ref="OMZ15:ONB15"/>
    <mergeCell ref="ONC15:ONE15"/>
    <mergeCell ref="ONF15:ONG15"/>
    <mergeCell ref="OTL15:OTN15"/>
    <mergeCell ref="OTO15:OTQ15"/>
    <mergeCell ref="OTR15:OTS15"/>
    <mergeCell ref="OTT15:OTV15"/>
    <mergeCell ref="OTW15:OTY15"/>
    <mergeCell ref="OSY15:OTA15"/>
    <mergeCell ref="OTB15:OTC15"/>
    <mergeCell ref="OTD15:OTF15"/>
    <mergeCell ref="OTG15:OTI15"/>
    <mergeCell ref="OTJ15:OTK15"/>
    <mergeCell ref="OSL15:OSM15"/>
    <mergeCell ref="OSN15:OSP15"/>
    <mergeCell ref="OSQ15:OSS15"/>
    <mergeCell ref="OST15:OSU15"/>
    <mergeCell ref="OSV15:OSX15"/>
    <mergeCell ref="ORX15:ORZ15"/>
    <mergeCell ref="OSA15:OSC15"/>
    <mergeCell ref="OSD15:OSE15"/>
    <mergeCell ref="OSF15:OSH15"/>
    <mergeCell ref="OSI15:OSK15"/>
    <mergeCell ref="ORK15:ORM15"/>
    <mergeCell ref="ORN15:ORO15"/>
    <mergeCell ref="ORP15:ORR15"/>
    <mergeCell ref="ORS15:ORU15"/>
    <mergeCell ref="ORV15:ORW15"/>
    <mergeCell ref="OQX15:OQY15"/>
    <mergeCell ref="OQZ15:ORB15"/>
    <mergeCell ref="ORC15:ORE15"/>
    <mergeCell ref="ORF15:ORG15"/>
    <mergeCell ref="ORH15:ORJ15"/>
    <mergeCell ref="OQJ15:OQL15"/>
    <mergeCell ref="OQM15:OQO15"/>
    <mergeCell ref="OQP15:OQQ15"/>
    <mergeCell ref="OQR15:OQT15"/>
    <mergeCell ref="OQU15:OQW15"/>
    <mergeCell ref="OXB15:OXC15"/>
    <mergeCell ref="OXD15:OXF15"/>
    <mergeCell ref="OXG15:OXI15"/>
    <mergeCell ref="OXJ15:OXK15"/>
    <mergeCell ref="OXL15:OXN15"/>
    <mergeCell ref="OWN15:OWP15"/>
    <mergeCell ref="OWQ15:OWS15"/>
    <mergeCell ref="OWT15:OWU15"/>
    <mergeCell ref="OWV15:OWX15"/>
    <mergeCell ref="OWY15:OXA15"/>
    <mergeCell ref="OWA15:OWC15"/>
    <mergeCell ref="OWD15:OWE15"/>
    <mergeCell ref="OWF15:OWH15"/>
    <mergeCell ref="OWI15:OWK15"/>
    <mergeCell ref="OWL15:OWM15"/>
    <mergeCell ref="OVN15:OVO15"/>
    <mergeCell ref="OVP15:OVR15"/>
    <mergeCell ref="OVS15:OVU15"/>
    <mergeCell ref="OVV15:OVW15"/>
    <mergeCell ref="OVX15:OVZ15"/>
    <mergeCell ref="OUZ15:OVB15"/>
    <mergeCell ref="OVC15:OVE15"/>
    <mergeCell ref="OVF15:OVG15"/>
    <mergeCell ref="OVH15:OVJ15"/>
    <mergeCell ref="OVK15:OVM15"/>
    <mergeCell ref="OUM15:OUO15"/>
    <mergeCell ref="OUP15:OUQ15"/>
    <mergeCell ref="OUR15:OUT15"/>
    <mergeCell ref="OUU15:OUW15"/>
    <mergeCell ref="OUX15:OUY15"/>
    <mergeCell ref="OTZ15:OUA15"/>
    <mergeCell ref="OUB15:OUD15"/>
    <mergeCell ref="OUE15:OUG15"/>
    <mergeCell ref="OUH15:OUI15"/>
    <mergeCell ref="OUJ15:OUL15"/>
    <mergeCell ref="PAQ15:PAS15"/>
    <mergeCell ref="PAT15:PAU15"/>
    <mergeCell ref="PAV15:PAX15"/>
    <mergeCell ref="PAY15:PBA15"/>
    <mergeCell ref="PBB15:PBC15"/>
    <mergeCell ref="PAD15:PAE15"/>
    <mergeCell ref="PAF15:PAH15"/>
    <mergeCell ref="PAI15:PAK15"/>
    <mergeCell ref="PAL15:PAM15"/>
    <mergeCell ref="PAN15:PAP15"/>
    <mergeCell ref="OZP15:OZR15"/>
    <mergeCell ref="OZS15:OZU15"/>
    <mergeCell ref="OZV15:OZW15"/>
    <mergeCell ref="OZX15:OZZ15"/>
    <mergeCell ref="PAA15:PAC15"/>
    <mergeCell ref="OZC15:OZE15"/>
    <mergeCell ref="OZF15:OZG15"/>
    <mergeCell ref="OZH15:OZJ15"/>
    <mergeCell ref="OZK15:OZM15"/>
    <mergeCell ref="OZN15:OZO15"/>
    <mergeCell ref="OYP15:OYQ15"/>
    <mergeCell ref="OYR15:OYT15"/>
    <mergeCell ref="OYU15:OYW15"/>
    <mergeCell ref="OYX15:OYY15"/>
    <mergeCell ref="OYZ15:OZB15"/>
    <mergeCell ref="OYB15:OYD15"/>
    <mergeCell ref="OYE15:OYG15"/>
    <mergeCell ref="OYH15:OYI15"/>
    <mergeCell ref="OYJ15:OYL15"/>
    <mergeCell ref="OYM15:OYO15"/>
    <mergeCell ref="OXO15:OXQ15"/>
    <mergeCell ref="OXR15:OXS15"/>
    <mergeCell ref="OXT15:OXV15"/>
    <mergeCell ref="OXW15:OXY15"/>
    <mergeCell ref="OXZ15:OYA15"/>
    <mergeCell ref="PEF15:PEH15"/>
    <mergeCell ref="PEI15:PEK15"/>
    <mergeCell ref="PEL15:PEM15"/>
    <mergeCell ref="PEN15:PEP15"/>
    <mergeCell ref="PEQ15:PES15"/>
    <mergeCell ref="PDS15:PDU15"/>
    <mergeCell ref="PDV15:PDW15"/>
    <mergeCell ref="PDX15:PDZ15"/>
    <mergeCell ref="PEA15:PEC15"/>
    <mergeCell ref="PED15:PEE15"/>
    <mergeCell ref="PDF15:PDG15"/>
    <mergeCell ref="PDH15:PDJ15"/>
    <mergeCell ref="PDK15:PDM15"/>
    <mergeCell ref="PDN15:PDO15"/>
    <mergeCell ref="PDP15:PDR15"/>
    <mergeCell ref="PCR15:PCT15"/>
    <mergeCell ref="PCU15:PCW15"/>
    <mergeCell ref="PCX15:PCY15"/>
    <mergeCell ref="PCZ15:PDB15"/>
    <mergeCell ref="PDC15:PDE15"/>
    <mergeCell ref="PCE15:PCG15"/>
    <mergeCell ref="PCH15:PCI15"/>
    <mergeCell ref="PCJ15:PCL15"/>
    <mergeCell ref="PCM15:PCO15"/>
    <mergeCell ref="PCP15:PCQ15"/>
    <mergeCell ref="PBR15:PBS15"/>
    <mergeCell ref="PBT15:PBV15"/>
    <mergeCell ref="PBW15:PBY15"/>
    <mergeCell ref="PBZ15:PCA15"/>
    <mergeCell ref="PCB15:PCD15"/>
    <mergeCell ref="PBD15:PBF15"/>
    <mergeCell ref="PBG15:PBI15"/>
    <mergeCell ref="PBJ15:PBK15"/>
    <mergeCell ref="PBL15:PBN15"/>
    <mergeCell ref="PBO15:PBQ15"/>
    <mergeCell ref="PHV15:PHW15"/>
    <mergeCell ref="PHX15:PHZ15"/>
    <mergeCell ref="PIA15:PIC15"/>
    <mergeCell ref="PID15:PIE15"/>
    <mergeCell ref="PIF15:PIH15"/>
    <mergeCell ref="PHH15:PHJ15"/>
    <mergeCell ref="PHK15:PHM15"/>
    <mergeCell ref="PHN15:PHO15"/>
    <mergeCell ref="PHP15:PHR15"/>
    <mergeCell ref="PHS15:PHU15"/>
    <mergeCell ref="PGU15:PGW15"/>
    <mergeCell ref="PGX15:PGY15"/>
    <mergeCell ref="PGZ15:PHB15"/>
    <mergeCell ref="PHC15:PHE15"/>
    <mergeCell ref="PHF15:PHG15"/>
    <mergeCell ref="PGH15:PGI15"/>
    <mergeCell ref="PGJ15:PGL15"/>
    <mergeCell ref="PGM15:PGO15"/>
    <mergeCell ref="PGP15:PGQ15"/>
    <mergeCell ref="PGR15:PGT15"/>
    <mergeCell ref="PFT15:PFV15"/>
    <mergeCell ref="PFW15:PFY15"/>
    <mergeCell ref="PFZ15:PGA15"/>
    <mergeCell ref="PGB15:PGD15"/>
    <mergeCell ref="PGE15:PGG15"/>
    <mergeCell ref="PFG15:PFI15"/>
    <mergeCell ref="PFJ15:PFK15"/>
    <mergeCell ref="PFL15:PFN15"/>
    <mergeCell ref="PFO15:PFQ15"/>
    <mergeCell ref="PFR15:PFS15"/>
    <mergeCell ref="PET15:PEU15"/>
    <mergeCell ref="PEV15:PEX15"/>
    <mergeCell ref="PEY15:PFA15"/>
    <mergeCell ref="PFB15:PFC15"/>
    <mergeCell ref="PFD15:PFF15"/>
    <mergeCell ref="PLK15:PLM15"/>
    <mergeCell ref="PLN15:PLO15"/>
    <mergeCell ref="PLP15:PLR15"/>
    <mergeCell ref="PLS15:PLU15"/>
    <mergeCell ref="PLV15:PLW15"/>
    <mergeCell ref="PKX15:PKY15"/>
    <mergeCell ref="PKZ15:PLB15"/>
    <mergeCell ref="PLC15:PLE15"/>
    <mergeCell ref="PLF15:PLG15"/>
    <mergeCell ref="PLH15:PLJ15"/>
    <mergeCell ref="PKJ15:PKL15"/>
    <mergeCell ref="PKM15:PKO15"/>
    <mergeCell ref="PKP15:PKQ15"/>
    <mergeCell ref="PKR15:PKT15"/>
    <mergeCell ref="PKU15:PKW15"/>
    <mergeCell ref="PJW15:PJY15"/>
    <mergeCell ref="PJZ15:PKA15"/>
    <mergeCell ref="PKB15:PKD15"/>
    <mergeCell ref="PKE15:PKG15"/>
    <mergeCell ref="PKH15:PKI15"/>
    <mergeCell ref="PJJ15:PJK15"/>
    <mergeCell ref="PJL15:PJN15"/>
    <mergeCell ref="PJO15:PJQ15"/>
    <mergeCell ref="PJR15:PJS15"/>
    <mergeCell ref="PJT15:PJV15"/>
    <mergeCell ref="PIV15:PIX15"/>
    <mergeCell ref="PIY15:PJA15"/>
    <mergeCell ref="PJB15:PJC15"/>
    <mergeCell ref="PJD15:PJF15"/>
    <mergeCell ref="PJG15:PJI15"/>
    <mergeCell ref="PII15:PIK15"/>
    <mergeCell ref="PIL15:PIM15"/>
    <mergeCell ref="PIN15:PIP15"/>
    <mergeCell ref="PIQ15:PIS15"/>
    <mergeCell ref="PIT15:PIU15"/>
    <mergeCell ref="POZ15:PPB15"/>
    <mergeCell ref="PPC15:PPE15"/>
    <mergeCell ref="PPF15:PPG15"/>
    <mergeCell ref="PPH15:PPJ15"/>
    <mergeCell ref="PPK15:PPM15"/>
    <mergeCell ref="POM15:POO15"/>
    <mergeCell ref="POP15:POQ15"/>
    <mergeCell ref="POR15:POT15"/>
    <mergeCell ref="POU15:POW15"/>
    <mergeCell ref="POX15:POY15"/>
    <mergeCell ref="PNZ15:POA15"/>
    <mergeCell ref="POB15:POD15"/>
    <mergeCell ref="POE15:POG15"/>
    <mergeCell ref="POH15:POI15"/>
    <mergeCell ref="POJ15:POL15"/>
    <mergeCell ref="PNL15:PNN15"/>
    <mergeCell ref="PNO15:PNQ15"/>
    <mergeCell ref="PNR15:PNS15"/>
    <mergeCell ref="PNT15:PNV15"/>
    <mergeCell ref="PNW15:PNY15"/>
    <mergeCell ref="PMY15:PNA15"/>
    <mergeCell ref="PNB15:PNC15"/>
    <mergeCell ref="PND15:PNF15"/>
    <mergeCell ref="PNG15:PNI15"/>
    <mergeCell ref="PNJ15:PNK15"/>
    <mergeCell ref="PML15:PMM15"/>
    <mergeCell ref="PMN15:PMP15"/>
    <mergeCell ref="PMQ15:PMS15"/>
    <mergeCell ref="PMT15:PMU15"/>
    <mergeCell ref="PMV15:PMX15"/>
    <mergeCell ref="PLX15:PLZ15"/>
    <mergeCell ref="PMA15:PMC15"/>
    <mergeCell ref="PMD15:PME15"/>
    <mergeCell ref="PMF15:PMH15"/>
    <mergeCell ref="PMI15:PMK15"/>
    <mergeCell ref="PSP15:PSQ15"/>
    <mergeCell ref="PSR15:PST15"/>
    <mergeCell ref="PSU15:PSW15"/>
    <mergeCell ref="PSX15:PSY15"/>
    <mergeCell ref="PSZ15:PTB15"/>
    <mergeCell ref="PSB15:PSD15"/>
    <mergeCell ref="PSE15:PSG15"/>
    <mergeCell ref="PSH15:PSI15"/>
    <mergeCell ref="PSJ15:PSL15"/>
    <mergeCell ref="PSM15:PSO15"/>
    <mergeCell ref="PRO15:PRQ15"/>
    <mergeCell ref="PRR15:PRS15"/>
    <mergeCell ref="PRT15:PRV15"/>
    <mergeCell ref="PRW15:PRY15"/>
    <mergeCell ref="PRZ15:PSA15"/>
    <mergeCell ref="PRB15:PRC15"/>
    <mergeCell ref="PRD15:PRF15"/>
    <mergeCell ref="PRG15:PRI15"/>
    <mergeCell ref="PRJ15:PRK15"/>
    <mergeCell ref="PRL15:PRN15"/>
    <mergeCell ref="PQN15:PQP15"/>
    <mergeCell ref="PQQ15:PQS15"/>
    <mergeCell ref="PQT15:PQU15"/>
    <mergeCell ref="PQV15:PQX15"/>
    <mergeCell ref="PQY15:PRA15"/>
    <mergeCell ref="PQA15:PQC15"/>
    <mergeCell ref="PQD15:PQE15"/>
    <mergeCell ref="PQF15:PQH15"/>
    <mergeCell ref="PQI15:PQK15"/>
    <mergeCell ref="PQL15:PQM15"/>
    <mergeCell ref="PPN15:PPO15"/>
    <mergeCell ref="PPP15:PPR15"/>
    <mergeCell ref="PPS15:PPU15"/>
    <mergeCell ref="PPV15:PPW15"/>
    <mergeCell ref="PPX15:PPZ15"/>
    <mergeCell ref="PWE15:PWG15"/>
    <mergeCell ref="PWH15:PWI15"/>
    <mergeCell ref="PWJ15:PWL15"/>
    <mergeCell ref="PWM15:PWO15"/>
    <mergeCell ref="PWP15:PWQ15"/>
    <mergeCell ref="PVR15:PVS15"/>
    <mergeCell ref="PVT15:PVV15"/>
    <mergeCell ref="PVW15:PVY15"/>
    <mergeCell ref="PVZ15:PWA15"/>
    <mergeCell ref="PWB15:PWD15"/>
    <mergeCell ref="PVD15:PVF15"/>
    <mergeCell ref="PVG15:PVI15"/>
    <mergeCell ref="PVJ15:PVK15"/>
    <mergeCell ref="PVL15:PVN15"/>
    <mergeCell ref="PVO15:PVQ15"/>
    <mergeCell ref="PUQ15:PUS15"/>
    <mergeCell ref="PUT15:PUU15"/>
    <mergeCell ref="PUV15:PUX15"/>
    <mergeCell ref="PUY15:PVA15"/>
    <mergeCell ref="PVB15:PVC15"/>
    <mergeCell ref="PUD15:PUE15"/>
    <mergeCell ref="PUF15:PUH15"/>
    <mergeCell ref="PUI15:PUK15"/>
    <mergeCell ref="PUL15:PUM15"/>
    <mergeCell ref="PUN15:PUP15"/>
    <mergeCell ref="PTP15:PTR15"/>
    <mergeCell ref="PTS15:PTU15"/>
    <mergeCell ref="PTV15:PTW15"/>
    <mergeCell ref="PTX15:PTZ15"/>
    <mergeCell ref="PUA15:PUC15"/>
    <mergeCell ref="PTC15:PTE15"/>
    <mergeCell ref="PTF15:PTG15"/>
    <mergeCell ref="PTH15:PTJ15"/>
    <mergeCell ref="PTK15:PTM15"/>
    <mergeCell ref="PTN15:PTO15"/>
    <mergeCell ref="PZT15:PZV15"/>
    <mergeCell ref="PZW15:PZY15"/>
    <mergeCell ref="PZZ15:QAA15"/>
    <mergeCell ref="QAB15:QAD15"/>
    <mergeCell ref="QAE15:QAG15"/>
    <mergeCell ref="PZG15:PZI15"/>
    <mergeCell ref="PZJ15:PZK15"/>
    <mergeCell ref="PZL15:PZN15"/>
    <mergeCell ref="PZO15:PZQ15"/>
    <mergeCell ref="PZR15:PZS15"/>
    <mergeCell ref="PYT15:PYU15"/>
    <mergeCell ref="PYV15:PYX15"/>
    <mergeCell ref="PYY15:PZA15"/>
    <mergeCell ref="PZB15:PZC15"/>
    <mergeCell ref="PZD15:PZF15"/>
    <mergeCell ref="PYF15:PYH15"/>
    <mergeCell ref="PYI15:PYK15"/>
    <mergeCell ref="PYL15:PYM15"/>
    <mergeCell ref="PYN15:PYP15"/>
    <mergeCell ref="PYQ15:PYS15"/>
    <mergeCell ref="PXS15:PXU15"/>
    <mergeCell ref="PXV15:PXW15"/>
    <mergeCell ref="PXX15:PXZ15"/>
    <mergeCell ref="PYA15:PYC15"/>
    <mergeCell ref="PYD15:PYE15"/>
    <mergeCell ref="PXF15:PXG15"/>
    <mergeCell ref="PXH15:PXJ15"/>
    <mergeCell ref="PXK15:PXM15"/>
    <mergeCell ref="PXN15:PXO15"/>
    <mergeCell ref="PXP15:PXR15"/>
    <mergeCell ref="PWR15:PWT15"/>
    <mergeCell ref="PWU15:PWW15"/>
    <mergeCell ref="PWX15:PWY15"/>
    <mergeCell ref="PWZ15:PXB15"/>
    <mergeCell ref="PXC15:PXE15"/>
    <mergeCell ref="QDJ15:QDK15"/>
    <mergeCell ref="QDL15:QDN15"/>
    <mergeCell ref="QDO15:QDQ15"/>
    <mergeCell ref="QDR15:QDS15"/>
    <mergeCell ref="QDT15:QDV15"/>
    <mergeCell ref="QCV15:QCX15"/>
    <mergeCell ref="QCY15:QDA15"/>
    <mergeCell ref="QDB15:QDC15"/>
    <mergeCell ref="QDD15:QDF15"/>
    <mergeCell ref="QDG15:QDI15"/>
    <mergeCell ref="QCI15:QCK15"/>
    <mergeCell ref="QCL15:QCM15"/>
    <mergeCell ref="QCN15:QCP15"/>
    <mergeCell ref="QCQ15:QCS15"/>
    <mergeCell ref="QCT15:QCU15"/>
    <mergeCell ref="QBV15:QBW15"/>
    <mergeCell ref="QBX15:QBZ15"/>
    <mergeCell ref="QCA15:QCC15"/>
    <mergeCell ref="QCD15:QCE15"/>
    <mergeCell ref="QCF15:QCH15"/>
    <mergeCell ref="QBH15:QBJ15"/>
    <mergeCell ref="QBK15:QBM15"/>
    <mergeCell ref="QBN15:QBO15"/>
    <mergeCell ref="QBP15:QBR15"/>
    <mergeCell ref="QBS15:QBU15"/>
    <mergeCell ref="QAU15:QAW15"/>
    <mergeCell ref="QAX15:QAY15"/>
    <mergeCell ref="QAZ15:QBB15"/>
    <mergeCell ref="QBC15:QBE15"/>
    <mergeCell ref="QBF15:QBG15"/>
    <mergeCell ref="QAH15:QAI15"/>
    <mergeCell ref="QAJ15:QAL15"/>
    <mergeCell ref="QAM15:QAO15"/>
    <mergeCell ref="QAP15:QAQ15"/>
    <mergeCell ref="QAR15:QAT15"/>
    <mergeCell ref="QGY15:QHA15"/>
    <mergeCell ref="QHB15:QHC15"/>
    <mergeCell ref="QHD15:QHF15"/>
    <mergeCell ref="QHG15:QHI15"/>
    <mergeCell ref="QHJ15:QHK15"/>
    <mergeCell ref="QGL15:QGM15"/>
    <mergeCell ref="QGN15:QGP15"/>
    <mergeCell ref="QGQ15:QGS15"/>
    <mergeCell ref="QGT15:QGU15"/>
    <mergeCell ref="QGV15:QGX15"/>
    <mergeCell ref="QFX15:QFZ15"/>
    <mergeCell ref="QGA15:QGC15"/>
    <mergeCell ref="QGD15:QGE15"/>
    <mergeCell ref="QGF15:QGH15"/>
    <mergeCell ref="QGI15:QGK15"/>
    <mergeCell ref="QFK15:QFM15"/>
    <mergeCell ref="QFN15:QFO15"/>
    <mergeCell ref="QFP15:QFR15"/>
    <mergeCell ref="QFS15:QFU15"/>
    <mergeCell ref="QFV15:QFW15"/>
    <mergeCell ref="QEX15:QEY15"/>
    <mergeCell ref="QEZ15:QFB15"/>
    <mergeCell ref="QFC15:QFE15"/>
    <mergeCell ref="QFF15:QFG15"/>
    <mergeCell ref="QFH15:QFJ15"/>
    <mergeCell ref="QEJ15:QEL15"/>
    <mergeCell ref="QEM15:QEO15"/>
    <mergeCell ref="QEP15:QEQ15"/>
    <mergeCell ref="QER15:QET15"/>
    <mergeCell ref="QEU15:QEW15"/>
    <mergeCell ref="QDW15:QDY15"/>
    <mergeCell ref="QDZ15:QEA15"/>
    <mergeCell ref="QEB15:QED15"/>
    <mergeCell ref="QEE15:QEG15"/>
    <mergeCell ref="QEH15:QEI15"/>
    <mergeCell ref="QKN15:QKP15"/>
    <mergeCell ref="QKQ15:QKS15"/>
    <mergeCell ref="QKT15:QKU15"/>
    <mergeCell ref="QKV15:QKX15"/>
    <mergeCell ref="QKY15:QLA15"/>
    <mergeCell ref="QKA15:QKC15"/>
    <mergeCell ref="QKD15:QKE15"/>
    <mergeCell ref="QKF15:QKH15"/>
    <mergeCell ref="QKI15:QKK15"/>
    <mergeCell ref="QKL15:QKM15"/>
    <mergeCell ref="QJN15:QJO15"/>
    <mergeCell ref="QJP15:QJR15"/>
    <mergeCell ref="QJS15:QJU15"/>
    <mergeCell ref="QJV15:QJW15"/>
    <mergeCell ref="QJX15:QJZ15"/>
    <mergeCell ref="QIZ15:QJB15"/>
    <mergeCell ref="QJC15:QJE15"/>
    <mergeCell ref="QJF15:QJG15"/>
    <mergeCell ref="QJH15:QJJ15"/>
    <mergeCell ref="QJK15:QJM15"/>
    <mergeCell ref="QIM15:QIO15"/>
    <mergeCell ref="QIP15:QIQ15"/>
    <mergeCell ref="QIR15:QIT15"/>
    <mergeCell ref="QIU15:QIW15"/>
    <mergeCell ref="QIX15:QIY15"/>
    <mergeCell ref="QHZ15:QIA15"/>
    <mergeCell ref="QIB15:QID15"/>
    <mergeCell ref="QIE15:QIG15"/>
    <mergeCell ref="QIH15:QII15"/>
    <mergeCell ref="QIJ15:QIL15"/>
    <mergeCell ref="QHL15:QHN15"/>
    <mergeCell ref="QHO15:QHQ15"/>
    <mergeCell ref="QHR15:QHS15"/>
    <mergeCell ref="QHT15:QHV15"/>
    <mergeCell ref="QHW15:QHY15"/>
    <mergeCell ref="QOD15:QOE15"/>
    <mergeCell ref="QOF15:QOH15"/>
    <mergeCell ref="QOI15:QOK15"/>
    <mergeCell ref="QOL15:QOM15"/>
    <mergeCell ref="QON15:QOP15"/>
    <mergeCell ref="QNP15:QNR15"/>
    <mergeCell ref="QNS15:QNU15"/>
    <mergeCell ref="QNV15:QNW15"/>
    <mergeCell ref="QNX15:QNZ15"/>
    <mergeCell ref="QOA15:QOC15"/>
    <mergeCell ref="QNC15:QNE15"/>
    <mergeCell ref="QNF15:QNG15"/>
    <mergeCell ref="QNH15:QNJ15"/>
    <mergeCell ref="QNK15:QNM15"/>
    <mergeCell ref="QNN15:QNO15"/>
    <mergeCell ref="QMP15:QMQ15"/>
    <mergeCell ref="QMR15:QMT15"/>
    <mergeCell ref="QMU15:QMW15"/>
    <mergeCell ref="QMX15:QMY15"/>
    <mergeCell ref="QMZ15:QNB15"/>
    <mergeCell ref="QMB15:QMD15"/>
    <mergeCell ref="QME15:QMG15"/>
    <mergeCell ref="QMH15:QMI15"/>
    <mergeCell ref="QMJ15:QML15"/>
    <mergeCell ref="QMM15:QMO15"/>
    <mergeCell ref="QLO15:QLQ15"/>
    <mergeCell ref="QLR15:QLS15"/>
    <mergeCell ref="QLT15:QLV15"/>
    <mergeCell ref="QLW15:QLY15"/>
    <mergeCell ref="QLZ15:QMA15"/>
    <mergeCell ref="QLB15:QLC15"/>
    <mergeCell ref="QLD15:QLF15"/>
    <mergeCell ref="QLG15:QLI15"/>
    <mergeCell ref="QLJ15:QLK15"/>
    <mergeCell ref="QLL15:QLN15"/>
    <mergeCell ref="QRS15:QRU15"/>
    <mergeCell ref="QRV15:QRW15"/>
    <mergeCell ref="QRX15:QRZ15"/>
    <mergeCell ref="QSA15:QSC15"/>
    <mergeCell ref="QSD15:QSE15"/>
    <mergeCell ref="QRF15:QRG15"/>
    <mergeCell ref="QRH15:QRJ15"/>
    <mergeCell ref="QRK15:QRM15"/>
    <mergeCell ref="QRN15:QRO15"/>
    <mergeCell ref="QRP15:QRR15"/>
    <mergeCell ref="QQR15:QQT15"/>
    <mergeCell ref="QQU15:QQW15"/>
    <mergeCell ref="QQX15:QQY15"/>
    <mergeCell ref="QQZ15:QRB15"/>
    <mergeCell ref="QRC15:QRE15"/>
    <mergeCell ref="QQE15:QQG15"/>
    <mergeCell ref="QQH15:QQI15"/>
    <mergeCell ref="QQJ15:QQL15"/>
    <mergeCell ref="QQM15:QQO15"/>
    <mergeCell ref="QQP15:QQQ15"/>
    <mergeCell ref="QPR15:QPS15"/>
    <mergeCell ref="QPT15:QPV15"/>
    <mergeCell ref="QPW15:QPY15"/>
    <mergeCell ref="QPZ15:QQA15"/>
    <mergeCell ref="QQB15:QQD15"/>
    <mergeCell ref="QPD15:QPF15"/>
    <mergeCell ref="QPG15:QPI15"/>
    <mergeCell ref="QPJ15:QPK15"/>
    <mergeCell ref="QPL15:QPN15"/>
    <mergeCell ref="QPO15:QPQ15"/>
    <mergeCell ref="QOQ15:QOS15"/>
    <mergeCell ref="QOT15:QOU15"/>
    <mergeCell ref="QOV15:QOX15"/>
    <mergeCell ref="QOY15:QPA15"/>
    <mergeCell ref="QPB15:QPC15"/>
    <mergeCell ref="QVH15:QVJ15"/>
    <mergeCell ref="QVK15:QVM15"/>
    <mergeCell ref="QVN15:QVO15"/>
    <mergeCell ref="QVP15:QVR15"/>
    <mergeCell ref="QVS15:QVU15"/>
    <mergeCell ref="QUU15:QUW15"/>
    <mergeCell ref="QUX15:QUY15"/>
    <mergeCell ref="QUZ15:QVB15"/>
    <mergeCell ref="QVC15:QVE15"/>
    <mergeCell ref="QVF15:QVG15"/>
    <mergeCell ref="QUH15:QUI15"/>
    <mergeCell ref="QUJ15:QUL15"/>
    <mergeCell ref="QUM15:QUO15"/>
    <mergeCell ref="QUP15:QUQ15"/>
    <mergeCell ref="QUR15:QUT15"/>
    <mergeCell ref="QTT15:QTV15"/>
    <mergeCell ref="QTW15:QTY15"/>
    <mergeCell ref="QTZ15:QUA15"/>
    <mergeCell ref="QUB15:QUD15"/>
    <mergeCell ref="QUE15:QUG15"/>
    <mergeCell ref="QTG15:QTI15"/>
    <mergeCell ref="QTJ15:QTK15"/>
    <mergeCell ref="QTL15:QTN15"/>
    <mergeCell ref="QTO15:QTQ15"/>
    <mergeCell ref="QTR15:QTS15"/>
    <mergeCell ref="QST15:QSU15"/>
    <mergeCell ref="QSV15:QSX15"/>
    <mergeCell ref="QSY15:QTA15"/>
    <mergeCell ref="QTB15:QTC15"/>
    <mergeCell ref="QTD15:QTF15"/>
    <mergeCell ref="QSF15:QSH15"/>
    <mergeCell ref="QSI15:QSK15"/>
    <mergeCell ref="QSL15:QSM15"/>
    <mergeCell ref="QSN15:QSP15"/>
    <mergeCell ref="QSQ15:QSS15"/>
    <mergeCell ref="QYX15:QYY15"/>
    <mergeCell ref="QYZ15:QZB15"/>
    <mergeCell ref="QZC15:QZE15"/>
    <mergeCell ref="QZF15:QZG15"/>
    <mergeCell ref="QZH15:QZJ15"/>
    <mergeCell ref="QYJ15:QYL15"/>
    <mergeCell ref="QYM15:QYO15"/>
    <mergeCell ref="QYP15:QYQ15"/>
    <mergeCell ref="QYR15:QYT15"/>
    <mergeCell ref="QYU15:QYW15"/>
    <mergeCell ref="QXW15:QXY15"/>
    <mergeCell ref="QXZ15:QYA15"/>
    <mergeCell ref="QYB15:QYD15"/>
    <mergeCell ref="QYE15:QYG15"/>
    <mergeCell ref="QYH15:QYI15"/>
    <mergeCell ref="QXJ15:QXK15"/>
    <mergeCell ref="QXL15:QXN15"/>
    <mergeCell ref="QXO15:QXQ15"/>
    <mergeCell ref="QXR15:QXS15"/>
    <mergeCell ref="QXT15:QXV15"/>
    <mergeCell ref="QWV15:QWX15"/>
    <mergeCell ref="QWY15:QXA15"/>
    <mergeCell ref="QXB15:QXC15"/>
    <mergeCell ref="QXD15:QXF15"/>
    <mergeCell ref="QXG15:QXI15"/>
    <mergeCell ref="QWI15:QWK15"/>
    <mergeCell ref="QWL15:QWM15"/>
    <mergeCell ref="QWN15:QWP15"/>
    <mergeCell ref="QWQ15:QWS15"/>
    <mergeCell ref="QWT15:QWU15"/>
    <mergeCell ref="QVV15:QVW15"/>
    <mergeCell ref="QVX15:QVZ15"/>
    <mergeCell ref="QWA15:QWC15"/>
    <mergeCell ref="QWD15:QWE15"/>
    <mergeCell ref="QWF15:QWH15"/>
    <mergeCell ref="RCM15:RCO15"/>
    <mergeCell ref="RCP15:RCQ15"/>
    <mergeCell ref="RCR15:RCT15"/>
    <mergeCell ref="RCU15:RCW15"/>
    <mergeCell ref="RCX15:RCY15"/>
    <mergeCell ref="RBZ15:RCA15"/>
    <mergeCell ref="RCB15:RCD15"/>
    <mergeCell ref="RCE15:RCG15"/>
    <mergeCell ref="RCH15:RCI15"/>
    <mergeCell ref="RCJ15:RCL15"/>
    <mergeCell ref="RBL15:RBN15"/>
    <mergeCell ref="RBO15:RBQ15"/>
    <mergeCell ref="RBR15:RBS15"/>
    <mergeCell ref="RBT15:RBV15"/>
    <mergeCell ref="RBW15:RBY15"/>
    <mergeCell ref="RAY15:RBA15"/>
    <mergeCell ref="RBB15:RBC15"/>
    <mergeCell ref="RBD15:RBF15"/>
    <mergeCell ref="RBG15:RBI15"/>
    <mergeCell ref="RBJ15:RBK15"/>
    <mergeCell ref="RAL15:RAM15"/>
    <mergeCell ref="RAN15:RAP15"/>
    <mergeCell ref="RAQ15:RAS15"/>
    <mergeCell ref="RAT15:RAU15"/>
    <mergeCell ref="RAV15:RAX15"/>
    <mergeCell ref="QZX15:QZZ15"/>
    <mergeCell ref="RAA15:RAC15"/>
    <mergeCell ref="RAD15:RAE15"/>
    <mergeCell ref="RAF15:RAH15"/>
    <mergeCell ref="RAI15:RAK15"/>
    <mergeCell ref="QZK15:QZM15"/>
    <mergeCell ref="QZN15:QZO15"/>
    <mergeCell ref="QZP15:QZR15"/>
    <mergeCell ref="QZS15:QZU15"/>
    <mergeCell ref="QZV15:QZW15"/>
    <mergeCell ref="RGB15:RGD15"/>
    <mergeCell ref="RGE15:RGG15"/>
    <mergeCell ref="RGH15:RGI15"/>
    <mergeCell ref="RGJ15:RGL15"/>
    <mergeCell ref="RGM15:RGO15"/>
    <mergeCell ref="RFO15:RFQ15"/>
    <mergeCell ref="RFR15:RFS15"/>
    <mergeCell ref="RFT15:RFV15"/>
    <mergeCell ref="RFW15:RFY15"/>
    <mergeCell ref="RFZ15:RGA15"/>
    <mergeCell ref="RFB15:RFC15"/>
    <mergeCell ref="RFD15:RFF15"/>
    <mergeCell ref="RFG15:RFI15"/>
    <mergeCell ref="RFJ15:RFK15"/>
    <mergeCell ref="RFL15:RFN15"/>
    <mergeCell ref="REN15:REP15"/>
    <mergeCell ref="REQ15:RES15"/>
    <mergeCell ref="RET15:REU15"/>
    <mergeCell ref="REV15:REX15"/>
    <mergeCell ref="REY15:RFA15"/>
    <mergeCell ref="REA15:REC15"/>
    <mergeCell ref="RED15:REE15"/>
    <mergeCell ref="REF15:REH15"/>
    <mergeCell ref="REI15:REK15"/>
    <mergeCell ref="REL15:REM15"/>
    <mergeCell ref="RDN15:RDO15"/>
    <mergeCell ref="RDP15:RDR15"/>
    <mergeCell ref="RDS15:RDU15"/>
    <mergeCell ref="RDV15:RDW15"/>
    <mergeCell ref="RDX15:RDZ15"/>
    <mergeCell ref="RCZ15:RDB15"/>
    <mergeCell ref="RDC15:RDE15"/>
    <mergeCell ref="RDF15:RDG15"/>
    <mergeCell ref="RDH15:RDJ15"/>
    <mergeCell ref="RDK15:RDM15"/>
    <mergeCell ref="RJR15:RJS15"/>
    <mergeCell ref="RJT15:RJV15"/>
    <mergeCell ref="RJW15:RJY15"/>
    <mergeCell ref="RJZ15:RKA15"/>
    <mergeCell ref="RKB15:RKD15"/>
    <mergeCell ref="RJD15:RJF15"/>
    <mergeCell ref="RJG15:RJI15"/>
    <mergeCell ref="RJJ15:RJK15"/>
    <mergeCell ref="RJL15:RJN15"/>
    <mergeCell ref="RJO15:RJQ15"/>
    <mergeCell ref="RIQ15:RIS15"/>
    <mergeCell ref="RIT15:RIU15"/>
    <mergeCell ref="RIV15:RIX15"/>
    <mergeCell ref="RIY15:RJA15"/>
    <mergeCell ref="RJB15:RJC15"/>
    <mergeCell ref="RID15:RIE15"/>
    <mergeCell ref="RIF15:RIH15"/>
    <mergeCell ref="RII15:RIK15"/>
    <mergeCell ref="RIL15:RIM15"/>
    <mergeCell ref="RIN15:RIP15"/>
    <mergeCell ref="RHP15:RHR15"/>
    <mergeCell ref="RHS15:RHU15"/>
    <mergeCell ref="RHV15:RHW15"/>
    <mergeCell ref="RHX15:RHZ15"/>
    <mergeCell ref="RIA15:RIC15"/>
    <mergeCell ref="RHC15:RHE15"/>
    <mergeCell ref="RHF15:RHG15"/>
    <mergeCell ref="RHH15:RHJ15"/>
    <mergeCell ref="RHK15:RHM15"/>
    <mergeCell ref="RHN15:RHO15"/>
    <mergeCell ref="RGP15:RGQ15"/>
    <mergeCell ref="RGR15:RGT15"/>
    <mergeCell ref="RGU15:RGW15"/>
    <mergeCell ref="RGX15:RGY15"/>
    <mergeCell ref="RGZ15:RHB15"/>
    <mergeCell ref="RNG15:RNI15"/>
    <mergeCell ref="RNJ15:RNK15"/>
    <mergeCell ref="RNL15:RNN15"/>
    <mergeCell ref="RNO15:RNQ15"/>
    <mergeCell ref="RNR15:RNS15"/>
    <mergeCell ref="RMT15:RMU15"/>
    <mergeCell ref="RMV15:RMX15"/>
    <mergeCell ref="RMY15:RNA15"/>
    <mergeCell ref="RNB15:RNC15"/>
    <mergeCell ref="RND15:RNF15"/>
    <mergeCell ref="RMF15:RMH15"/>
    <mergeCell ref="RMI15:RMK15"/>
    <mergeCell ref="RML15:RMM15"/>
    <mergeCell ref="RMN15:RMP15"/>
    <mergeCell ref="RMQ15:RMS15"/>
    <mergeCell ref="RLS15:RLU15"/>
    <mergeCell ref="RLV15:RLW15"/>
    <mergeCell ref="RLX15:RLZ15"/>
    <mergeCell ref="RMA15:RMC15"/>
    <mergeCell ref="RMD15:RME15"/>
    <mergeCell ref="RLF15:RLG15"/>
    <mergeCell ref="RLH15:RLJ15"/>
    <mergeCell ref="RLK15:RLM15"/>
    <mergeCell ref="RLN15:RLO15"/>
    <mergeCell ref="RLP15:RLR15"/>
    <mergeCell ref="RKR15:RKT15"/>
    <mergeCell ref="RKU15:RKW15"/>
    <mergeCell ref="RKX15:RKY15"/>
    <mergeCell ref="RKZ15:RLB15"/>
    <mergeCell ref="RLC15:RLE15"/>
    <mergeCell ref="RKE15:RKG15"/>
    <mergeCell ref="RKH15:RKI15"/>
    <mergeCell ref="RKJ15:RKL15"/>
    <mergeCell ref="RKM15:RKO15"/>
    <mergeCell ref="RKP15:RKQ15"/>
    <mergeCell ref="RQV15:RQX15"/>
    <mergeCell ref="RQY15:RRA15"/>
    <mergeCell ref="RRB15:RRC15"/>
    <mergeCell ref="RRD15:RRF15"/>
    <mergeCell ref="RRG15:RRI15"/>
    <mergeCell ref="RQI15:RQK15"/>
    <mergeCell ref="RQL15:RQM15"/>
    <mergeCell ref="RQN15:RQP15"/>
    <mergeCell ref="RQQ15:RQS15"/>
    <mergeCell ref="RQT15:RQU15"/>
    <mergeCell ref="RPV15:RPW15"/>
    <mergeCell ref="RPX15:RPZ15"/>
    <mergeCell ref="RQA15:RQC15"/>
    <mergeCell ref="RQD15:RQE15"/>
    <mergeCell ref="RQF15:RQH15"/>
    <mergeCell ref="RPH15:RPJ15"/>
    <mergeCell ref="RPK15:RPM15"/>
    <mergeCell ref="RPN15:RPO15"/>
    <mergeCell ref="RPP15:RPR15"/>
    <mergeCell ref="RPS15:RPU15"/>
    <mergeCell ref="ROU15:ROW15"/>
    <mergeCell ref="ROX15:ROY15"/>
    <mergeCell ref="ROZ15:RPB15"/>
    <mergeCell ref="RPC15:RPE15"/>
    <mergeCell ref="RPF15:RPG15"/>
    <mergeCell ref="ROH15:ROI15"/>
    <mergeCell ref="ROJ15:ROL15"/>
    <mergeCell ref="ROM15:ROO15"/>
    <mergeCell ref="ROP15:ROQ15"/>
    <mergeCell ref="ROR15:ROT15"/>
    <mergeCell ref="RNT15:RNV15"/>
    <mergeCell ref="RNW15:RNY15"/>
    <mergeCell ref="RNZ15:ROA15"/>
    <mergeCell ref="ROB15:ROD15"/>
    <mergeCell ref="ROE15:ROG15"/>
    <mergeCell ref="RUL15:RUM15"/>
    <mergeCell ref="RUN15:RUP15"/>
    <mergeCell ref="RUQ15:RUS15"/>
    <mergeCell ref="RUT15:RUU15"/>
    <mergeCell ref="RUV15:RUX15"/>
    <mergeCell ref="RTX15:RTZ15"/>
    <mergeCell ref="RUA15:RUC15"/>
    <mergeCell ref="RUD15:RUE15"/>
    <mergeCell ref="RUF15:RUH15"/>
    <mergeCell ref="RUI15:RUK15"/>
    <mergeCell ref="RTK15:RTM15"/>
    <mergeCell ref="RTN15:RTO15"/>
    <mergeCell ref="RTP15:RTR15"/>
    <mergeCell ref="RTS15:RTU15"/>
    <mergeCell ref="RTV15:RTW15"/>
    <mergeCell ref="RSX15:RSY15"/>
    <mergeCell ref="RSZ15:RTB15"/>
    <mergeCell ref="RTC15:RTE15"/>
    <mergeCell ref="RTF15:RTG15"/>
    <mergeCell ref="RTH15:RTJ15"/>
    <mergeCell ref="RSJ15:RSL15"/>
    <mergeCell ref="RSM15:RSO15"/>
    <mergeCell ref="RSP15:RSQ15"/>
    <mergeCell ref="RSR15:RST15"/>
    <mergeCell ref="RSU15:RSW15"/>
    <mergeCell ref="RRW15:RRY15"/>
    <mergeCell ref="RRZ15:RSA15"/>
    <mergeCell ref="RSB15:RSD15"/>
    <mergeCell ref="RSE15:RSG15"/>
    <mergeCell ref="RSH15:RSI15"/>
    <mergeCell ref="RRJ15:RRK15"/>
    <mergeCell ref="RRL15:RRN15"/>
    <mergeCell ref="RRO15:RRQ15"/>
    <mergeCell ref="RRR15:RRS15"/>
    <mergeCell ref="RRT15:RRV15"/>
    <mergeCell ref="RYA15:RYC15"/>
    <mergeCell ref="RYD15:RYE15"/>
    <mergeCell ref="RYF15:RYH15"/>
    <mergeCell ref="RYI15:RYK15"/>
    <mergeCell ref="RYL15:RYM15"/>
    <mergeCell ref="RXN15:RXO15"/>
    <mergeCell ref="RXP15:RXR15"/>
    <mergeCell ref="RXS15:RXU15"/>
    <mergeCell ref="RXV15:RXW15"/>
    <mergeCell ref="RXX15:RXZ15"/>
    <mergeCell ref="RWZ15:RXB15"/>
    <mergeCell ref="RXC15:RXE15"/>
    <mergeCell ref="RXF15:RXG15"/>
    <mergeCell ref="RXH15:RXJ15"/>
    <mergeCell ref="RXK15:RXM15"/>
    <mergeCell ref="RWM15:RWO15"/>
    <mergeCell ref="RWP15:RWQ15"/>
    <mergeCell ref="RWR15:RWT15"/>
    <mergeCell ref="RWU15:RWW15"/>
    <mergeCell ref="RWX15:RWY15"/>
    <mergeCell ref="RVZ15:RWA15"/>
    <mergeCell ref="RWB15:RWD15"/>
    <mergeCell ref="RWE15:RWG15"/>
    <mergeCell ref="RWH15:RWI15"/>
    <mergeCell ref="RWJ15:RWL15"/>
    <mergeCell ref="RVL15:RVN15"/>
    <mergeCell ref="RVO15:RVQ15"/>
    <mergeCell ref="RVR15:RVS15"/>
    <mergeCell ref="RVT15:RVV15"/>
    <mergeCell ref="RVW15:RVY15"/>
    <mergeCell ref="RUY15:RVA15"/>
    <mergeCell ref="RVB15:RVC15"/>
    <mergeCell ref="RVD15:RVF15"/>
    <mergeCell ref="RVG15:RVI15"/>
    <mergeCell ref="RVJ15:RVK15"/>
    <mergeCell ref="SBP15:SBR15"/>
    <mergeCell ref="SBS15:SBU15"/>
    <mergeCell ref="SBV15:SBW15"/>
    <mergeCell ref="SBX15:SBZ15"/>
    <mergeCell ref="SCA15:SCC15"/>
    <mergeCell ref="SBC15:SBE15"/>
    <mergeCell ref="SBF15:SBG15"/>
    <mergeCell ref="SBH15:SBJ15"/>
    <mergeCell ref="SBK15:SBM15"/>
    <mergeCell ref="SBN15:SBO15"/>
    <mergeCell ref="SAP15:SAQ15"/>
    <mergeCell ref="SAR15:SAT15"/>
    <mergeCell ref="SAU15:SAW15"/>
    <mergeCell ref="SAX15:SAY15"/>
    <mergeCell ref="SAZ15:SBB15"/>
    <mergeCell ref="SAB15:SAD15"/>
    <mergeCell ref="SAE15:SAG15"/>
    <mergeCell ref="SAH15:SAI15"/>
    <mergeCell ref="SAJ15:SAL15"/>
    <mergeCell ref="SAM15:SAO15"/>
    <mergeCell ref="RZO15:RZQ15"/>
    <mergeCell ref="RZR15:RZS15"/>
    <mergeCell ref="RZT15:RZV15"/>
    <mergeCell ref="RZW15:RZY15"/>
    <mergeCell ref="RZZ15:SAA15"/>
    <mergeCell ref="RZB15:RZC15"/>
    <mergeCell ref="RZD15:RZF15"/>
    <mergeCell ref="RZG15:RZI15"/>
    <mergeCell ref="RZJ15:RZK15"/>
    <mergeCell ref="RZL15:RZN15"/>
    <mergeCell ref="RYN15:RYP15"/>
    <mergeCell ref="RYQ15:RYS15"/>
    <mergeCell ref="RYT15:RYU15"/>
    <mergeCell ref="RYV15:RYX15"/>
    <mergeCell ref="RYY15:RZA15"/>
    <mergeCell ref="SFF15:SFG15"/>
    <mergeCell ref="SFH15:SFJ15"/>
    <mergeCell ref="SFK15:SFM15"/>
    <mergeCell ref="SFN15:SFO15"/>
    <mergeCell ref="SFP15:SFR15"/>
    <mergeCell ref="SER15:SET15"/>
    <mergeCell ref="SEU15:SEW15"/>
    <mergeCell ref="SEX15:SEY15"/>
    <mergeCell ref="SEZ15:SFB15"/>
    <mergeCell ref="SFC15:SFE15"/>
    <mergeCell ref="SEE15:SEG15"/>
    <mergeCell ref="SEH15:SEI15"/>
    <mergeCell ref="SEJ15:SEL15"/>
    <mergeCell ref="SEM15:SEO15"/>
    <mergeCell ref="SEP15:SEQ15"/>
    <mergeCell ref="SDR15:SDS15"/>
    <mergeCell ref="SDT15:SDV15"/>
    <mergeCell ref="SDW15:SDY15"/>
    <mergeCell ref="SDZ15:SEA15"/>
    <mergeCell ref="SEB15:SED15"/>
    <mergeCell ref="SDD15:SDF15"/>
    <mergeCell ref="SDG15:SDI15"/>
    <mergeCell ref="SDJ15:SDK15"/>
    <mergeCell ref="SDL15:SDN15"/>
    <mergeCell ref="SDO15:SDQ15"/>
    <mergeCell ref="SCQ15:SCS15"/>
    <mergeCell ref="SCT15:SCU15"/>
    <mergeCell ref="SCV15:SCX15"/>
    <mergeCell ref="SCY15:SDA15"/>
    <mergeCell ref="SDB15:SDC15"/>
    <mergeCell ref="SCD15:SCE15"/>
    <mergeCell ref="SCF15:SCH15"/>
    <mergeCell ref="SCI15:SCK15"/>
    <mergeCell ref="SCL15:SCM15"/>
    <mergeCell ref="SCN15:SCP15"/>
    <mergeCell ref="SIU15:SIW15"/>
    <mergeCell ref="SIX15:SIY15"/>
    <mergeCell ref="SIZ15:SJB15"/>
    <mergeCell ref="SJC15:SJE15"/>
    <mergeCell ref="SJF15:SJG15"/>
    <mergeCell ref="SIH15:SII15"/>
    <mergeCell ref="SIJ15:SIL15"/>
    <mergeCell ref="SIM15:SIO15"/>
    <mergeCell ref="SIP15:SIQ15"/>
    <mergeCell ref="SIR15:SIT15"/>
    <mergeCell ref="SHT15:SHV15"/>
    <mergeCell ref="SHW15:SHY15"/>
    <mergeCell ref="SHZ15:SIA15"/>
    <mergeCell ref="SIB15:SID15"/>
    <mergeCell ref="SIE15:SIG15"/>
    <mergeCell ref="SHG15:SHI15"/>
    <mergeCell ref="SHJ15:SHK15"/>
    <mergeCell ref="SHL15:SHN15"/>
    <mergeCell ref="SHO15:SHQ15"/>
    <mergeCell ref="SHR15:SHS15"/>
    <mergeCell ref="SGT15:SGU15"/>
    <mergeCell ref="SGV15:SGX15"/>
    <mergeCell ref="SGY15:SHA15"/>
    <mergeCell ref="SHB15:SHC15"/>
    <mergeCell ref="SHD15:SHF15"/>
    <mergeCell ref="SGF15:SGH15"/>
    <mergeCell ref="SGI15:SGK15"/>
    <mergeCell ref="SGL15:SGM15"/>
    <mergeCell ref="SGN15:SGP15"/>
    <mergeCell ref="SGQ15:SGS15"/>
    <mergeCell ref="SFS15:SFU15"/>
    <mergeCell ref="SFV15:SFW15"/>
    <mergeCell ref="SFX15:SFZ15"/>
    <mergeCell ref="SGA15:SGC15"/>
    <mergeCell ref="SGD15:SGE15"/>
    <mergeCell ref="SMJ15:SML15"/>
    <mergeCell ref="SMM15:SMO15"/>
    <mergeCell ref="SMP15:SMQ15"/>
    <mergeCell ref="SMR15:SMT15"/>
    <mergeCell ref="SMU15:SMW15"/>
    <mergeCell ref="SLW15:SLY15"/>
    <mergeCell ref="SLZ15:SMA15"/>
    <mergeCell ref="SMB15:SMD15"/>
    <mergeCell ref="SME15:SMG15"/>
    <mergeCell ref="SMH15:SMI15"/>
    <mergeCell ref="SLJ15:SLK15"/>
    <mergeCell ref="SLL15:SLN15"/>
    <mergeCell ref="SLO15:SLQ15"/>
    <mergeCell ref="SLR15:SLS15"/>
    <mergeCell ref="SLT15:SLV15"/>
    <mergeCell ref="SKV15:SKX15"/>
    <mergeCell ref="SKY15:SLA15"/>
    <mergeCell ref="SLB15:SLC15"/>
    <mergeCell ref="SLD15:SLF15"/>
    <mergeCell ref="SLG15:SLI15"/>
    <mergeCell ref="SKI15:SKK15"/>
    <mergeCell ref="SKL15:SKM15"/>
    <mergeCell ref="SKN15:SKP15"/>
    <mergeCell ref="SKQ15:SKS15"/>
    <mergeCell ref="SKT15:SKU15"/>
    <mergeCell ref="SJV15:SJW15"/>
    <mergeCell ref="SJX15:SJZ15"/>
    <mergeCell ref="SKA15:SKC15"/>
    <mergeCell ref="SKD15:SKE15"/>
    <mergeCell ref="SKF15:SKH15"/>
    <mergeCell ref="SJH15:SJJ15"/>
    <mergeCell ref="SJK15:SJM15"/>
    <mergeCell ref="SJN15:SJO15"/>
    <mergeCell ref="SJP15:SJR15"/>
    <mergeCell ref="SJS15:SJU15"/>
    <mergeCell ref="SPZ15:SQA15"/>
    <mergeCell ref="SQB15:SQD15"/>
    <mergeCell ref="SQE15:SQG15"/>
    <mergeCell ref="SQH15:SQI15"/>
    <mergeCell ref="SQJ15:SQL15"/>
    <mergeCell ref="SPL15:SPN15"/>
    <mergeCell ref="SPO15:SPQ15"/>
    <mergeCell ref="SPR15:SPS15"/>
    <mergeCell ref="SPT15:SPV15"/>
    <mergeCell ref="SPW15:SPY15"/>
    <mergeCell ref="SOY15:SPA15"/>
    <mergeCell ref="SPB15:SPC15"/>
    <mergeCell ref="SPD15:SPF15"/>
    <mergeCell ref="SPG15:SPI15"/>
    <mergeCell ref="SPJ15:SPK15"/>
    <mergeCell ref="SOL15:SOM15"/>
    <mergeCell ref="SON15:SOP15"/>
    <mergeCell ref="SOQ15:SOS15"/>
    <mergeCell ref="SOT15:SOU15"/>
    <mergeCell ref="SOV15:SOX15"/>
    <mergeCell ref="SNX15:SNZ15"/>
    <mergeCell ref="SOA15:SOC15"/>
    <mergeCell ref="SOD15:SOE15"/>
    <mergeCell ref="SOF15:SOH15"/>
    <mergeCell ref="SOI15:SOK15"/>
    <mergeCell ref="SNK15:SNM15"/>
    <mergeCell ref="SNN15:SNO15"/>
    <mergeCell ref="SNP15:SNR15"/>
    <mergeCell ref="SNS15:SNU15"/>
    <mergeCell ref="SNV15:SNW15"/>
    <mergeCell ref="SMX15:SMY15"/>
    <mergeCell ref="SMZ15:SNB15"/>
    <mergeCell ref="SNC15:SNE15"/>
    <mergeCell ref="SNF15:SNG15"/>
    <mergeCell ref="SNH15:SNJ15"/>
    <mergeCell ref="STO15:STQ15"/>
    <mergeCell ref="STR15:STS15"/>
    <mergeCell ref="STT15:STV15"/>
    <mergeCell ref="STW15:STY15"/>
    <mergeCell ref="STZ15:SUA15"/>
    <mergeCell ref="STB15:STC15"/>
    <mergeCell ref="STD15:STF15"/>
    <mergeCell ref="STG15:STI15"/>
    <mergeCell ref="STJ15:STK15"/>
    <mergeCell ref="STL15:STN15"/>
    <mergeCell ref="SSN15:SSP15"/>
    <mergeCell ref="SSQ15:SSS15"/>
    <mergeCell ref="SST15:SSU15"/>
    <mergeCell ref="SSV15:SSX15"/>
    <mergeCell ref="SSY15:STA15"/>
    <mergeCell ref="SSA15:SSC15"/>
    <mergeCell ref="SSD15:SSE15"/>
    <mergeCell ref="SSF15:SSH15"/>
    <mergeCell ref="SSI15:SSK15"/>
    <mergeCell ref="SSL15:SSM15"/>
    <mergeCell ref="SRN15:SRO15"/>
    <mergeCell ref="SRP15:SRR15"/>
    <mergeCell ref="SRS15:SRU15"/>
    <mergeCell ref="SRV15:SRW15"/>
    <mergeCell ref="SRX15:SRZ15"/>
    <mergeCell ref="SQZ15:SRB15"/>
    <mergeCell ref="SRC15:SRE15"/>
    <mergeCell ref="SRF15:SRG15"/>
    <mergeCell ref="SRH15:SRJ15"/>
    <mergeCell ref="SRK15:SRM15"/>
    <mergeCell ref="SQM15:SQO15"/>
    <mergeCell ref="SQP15:SQQ15"/>
    <mergeCell ref="SQR15:SQT15"/>
    <mergeCell ref="SQU15:SQW15"/>
    <mergeCell ref="SQX15:SQY15"/>
    <mergeCell ref="SXD15:SXF15"/>
    <mergeCell ref="SXG15:SXI15"/>
    <mergeCell ref="SXJ15:SXK15"/>
    <mergeCell ref="SXL15:SXN15"/>
    <mergeCell ref="SXO15:SXQ15"/>
    <mergeCell ref="SWQ15:SWS15"/>
    <mergeCell ref="SWT15:SWU15"/>
    <mergeCell ref="SWV15:SWX15"/>
    <mergeCell ref="SWY15:SXA15"/>
    <mergeCell ref="SXB15:SXC15"/>
    <mergeCell ref="SWD15:SWE15"/>
    <mergeCell ref="SWF15:SWH15"/>
    <mergeCell ref="SWI15:SWK15"/>
    <mergeCell ref="SWL15:SWM15"/>
    <mergeCell ref="SWN15:SWP15"/>
    <mergeCell ref="SVP15:SVR15"/>
    <mergeCell ref="SVS15:SVU15"/>
    <mergeCell ref="SVV15:SVW15"/>
    <mergeCell ref="SVX15:SVZ15"/>
    <mergeCell ref="SWA15:SWC15"/>
    <mergeCell ref="SVC15:SVE15"/>
    <mergeCell ref="SVF15:SVG15"/>
    <mergeCell ref="SVH15:SVJ15"/>
    <mergeCell ref="SVK15:SVM15"/>
    <mergeCell ref="SVN15:SVO15"/>
    <mergeCell ref="SUP15:SUQ15"/>
    <mergeCell ref="SUR15:SUT15"/>
    <mergeCell ref="SUU15:SUW15"/>
    <mergeCell ref="SUX15:SUY15"/>
    <mergeCell ref="SUZ15:SVB15"/>
    <mergeCell ref="SUB15:SUD15"/>
    <mergeCell ref="SUE15:SUG15"/>
    <mergeCell ref="SUH15:SUI15"/>
    <mergeCell ref="SUJ15:SUL15"/>
    <mergeCell ref="SUM15:SUO15"/>
    <mergeCell ref="TAT15:TAU15"/>
    <mergeCell ref="TAV15:TAX15"/>
    <mergeCell ref="TAY15:TBA15"/>
    <mergeCell ref="TBB15:TBC15"/>
    <mergeCell ref="TBD15:TBF15"/>
    <mergeCell ref="TAF15:TAH15"/>
    <mergeCell ref="TAI15:TAK15"/>
    <mergeCell ref="TAL15:TAM15"/>
    <mergeCell ref="TAN15:TAP15"/>
    <mergeCell ref="TAQ15:TAS15"/>
    <mergeCell ref="SZS15:SZU15"/>
    <mergeCell ref="SZV15:SZW15"/>
    <mergeCell ref="SZX15:SZZ15"/>
    <mergeCell ref="TAA15:TAC15"/>
    <mergeCell ref="TAD15:TAE15"/>
    <mergeCell ref="SZF15:SZG15"/>
    <mergeCell ref="SZH15:SZJ15"/>
    <mergeCell ref="SZK15:SZM15"/>
    <mergeCell ref="SZN15:SZO15"/>
    <mergeCell ref="SZP15:SZR15"/>
    <mergeCell ref="SYR15:SYT15"/>
    <mergeCell ref="SYU15:SYW15"/>
    <mergeCell ref="SYX15:SYY15"/>
    <mergeCell ref="SYZ15:SZB15"/>
    <mergeCell ref="SZC15:SZE15"/>
    <mergeCell ref="SYE15:SYG15"/>
    <mergeCell ref="SYH15:SYI15"/>
    <mergeCell ref="SYJ15:SYL15"/>
    <mergeCell ref="SYM15:SYO15"/>
    <mergeCell ref="SYP15:SYQ15"/>
    <mergeCell ref="SXR15:SXS15"/>
    <mergeCell ref="SXT15:SXV15"/>
    <mergeCell ref="SXW15:SXY15"/>
    <mergeCell ref="SXZ15:SYA15"/>
    <mergeCell ref="SYB15:SYD15"/>
    <mergeCell ref="TEI15:TEK15"/>
    <mergeCell ref="TEL15:TEM15"/>
    <mergeCell ref="TEN15:TEP15"/>
    <mergeCell ref="TEQ15:TES15"/>
    <mergeCell ref="TET15:TEU15"/>
    <mergeCell ref="TDV15:TDW15"/>
    <mergeCell ref="TDX15:TDZ15"/>
    <mergeCell ref="TEA15:TEC15"/>
    <mergeCell ref="TED15:TEE15"/>
    <mergeCell ref="TEF15:TEH15"/>
    <mergeCell ref="TDH15:TDJ15"/>
    <mergeCell ref="TDK15:TDM15"/>
    <mergeCell ref="TDN15:TDO15"/>
    <mergeCell ref="TDP15:TDR15"/>
    <mergeCell ref="TDS15:TDU15"/>
    <mergeCell ref="TCU15:TCW15"/>
    <mergeCell ref="TCX15:TCY15"/>
    <mergeCell ref="TCZ15:TDB15"/>
    <mergeCell ref="TDC15:TDE15"/>
    <mergeCell ref="TDF15:TDG15"/>
    <mergeCell ref="TCH15:TCI15"/>
    <mergeCell ref="TCJ15:TCL15"/>
    <mergeCell ref="TCM15:TCO15"/>
    <mergeCell ref="TCP15:TCQ15"/>
    <mergeCell ref="TCR15:TCT15"/>
    <mergeCell ref="TBT15:TBV15"/>
    <mergeCell ref="TBW15:TBY15"/>
    <mergeCell ref="TBZ15:TCA15"/>
    <mergeCell ref="TCB15:TCD15"/>
    <mergeCell ref="TCE15:TCG15"/>
    <mergeCell ref="TBG15:TBI15"/>
    <mergeCell ref="TBJ15:TBK15"/>
    <mergeCell ref="TBL15:TBN15"/>
    <mergeCell ref="TBO15:TBQ15"/>
    <mergeCell ref="TBR15:TBS15"/>
    <mergeCell ref="THX15:THZ15"/>
    <mergeCell ref="TIA15:TIC15"/>
    <mergeCell ref="TID15:TIE15"/>
    <mergeCell ref="TIF15:TIH15"/>
    <mergeCell ref="TII15:TIK15"/>
    <mergeCell ref="THK15:THM15"/>
    <mergeCell ref="THN15:THO15"/>
    <mergeCell ref="THP15:THR15"/>
    <mergeCell ref="THS15:THU15"/>
    <mergeCell ref="THV15:THW15"/>
    <mergeCell ref="TGX15:TGY15"/>
    <mergeCell ref="TGZ15:THB15"/>
    <mergeCell ref="THC15:THE15"/>
    <mergeCell ref="THF15:THG15"/>
    <mergeCell ref="THH15:THJ15"/>
    <mergeCell ref="TGJ15:TGL15"/>
    <mergeCell ref="TGM15:TGO15"/>
    <mergeCell ref="TGP15:TGQ15"/>
    <mergeCell ref="TGR15:TGT15"/>
    <mergeCell ref="TGU15:TGW15"/>
    <mergeCell ref="TFW15:TFY15"/>
    <mergeCell ref="TFZ15:TGA15"/>
    <mergeCell ref="TGB15:TGD15"/>
    <mergeCell ref="TGE15:TGG15"/>
    <mergeCell ref="TGH15:TGI15"/>
    <mergeCell ref="TFJ15:TFK15"/>
    <mergeCell ref="TFL15:TFN15"/>
    <mergeCell ref="TFO15:TFQ15"/>
    <mergeCell ref="TFR15:TFS15"/>
    <mergeCell ref="TFT15:TFV15"/>
    <mergeCell ref="TEV15:TEX15"/>
    <mergeCell ref="TEY15:TFA15"/>
    <mergeCell ref="TFB15:TFC15"/>
    <mergeCell ref="TFD15:TFF15"/>
    <mergeCell ref="TFG15:TFI15"/>
    <mergeCell ref="TLN15:TLO15"/>
    <mergeCell ref="TLP15:TLR15"/>
    <mergeCell ref="TLS15:TLU15"/>
    <mergeCell ref="TLV15:TLW15"/>
    <mergeCell ref="TLX15:TLZ15"/>
    <mergeCell ref="TKZ15:TLB15"/>
    <mergeCell ref="TLC15:TLE15"/>
    <mergeCell ref="TLF15:TLG15"/>
    <mergeCell ref="TLH15:TLJ15"/>
    <mergeCell ref="TLK15:TLM15"/>
    <mergeCell ref="TKM15:TKO15"/>
    <mergeCell ref="TKP15:TKQ15"/>
    <mergeCell ref="TKR15:TKT15"/>
    <mergeCell ref="TKU15:TKW15"/>
    <mergeCell ref="TKX15:TKY15"/>
    <mergeCell ref="TJZ15:TKA15"/>
    <mergeCell ref="TKB15:TKD15"/>
    <mergeCell ref="TKE15:TKG15"/>
    <mergeCell ref="TKH15:TKI15"/>
    <mergeCell ref="TKJ15:TKL15"/>
    <mergeCell ref="TJL15:TJN15"/>
    <mergeCell ref="TJO15:TJQ15"/>
    <mergeCell ref="TJR15:TJS15"/>
    <mergeCell ref="TJT15:TJV15"/>
    <mergeCell ref="TJW15:TJY15"/>
    <mergeCell ref="TIY15:TJA15"/>
    <mergeCell ref="TJB15:TJC15"/>
    <mergeCell ref="TJD15:TJF15"/>
    <mergeCell ref="TJG15:TJI15"/>
    <mergeCell ref="TJJ15:TJK15"/>
    <mergeCell ref="TIL15:TIM15"/>
    <mergeCell ref="TIN15:TIP15"/>
    <mergeCell ref="TIQ15:TIS15"/>
    <mergeCell ref="TIT15:TIU15"/>
    <mergeCell ref="TIV15:TIX15"/>
    <mergeCell ref="TPC15:TPE15"/>
    <mergeCell ref="TPF15:TPG15"/>
    <mergeCell ref="TPH15:TPJ15"/>
    <mergeCell ref="TPK15:TPM15"/>
    <mergeCell ref="TPN15:TPO15"/>
    <mergeCell ref="TOP15:TOQ15"/>
    <mergeCell ref="TOR15:TOT15"/>
    <mergeCell ref="TOU15:TOW15"/>
    <mergeCell ref="TOX15:TOY15"/>
    <mergeCell ref="TOZ15:TPB15"/>
    <mergeCell ref="TOB15:TOD15"/>
    <mergeCell ref="TOE15:TOG15"/>
    <mergeCell ref="TOH15:TOI15"/>
    <mergeCell ref="TOJ15:TOL15"/>
    <mergeCell ref="TOM15:TOO15"/>
    <mergeCell ref="TNO15:TNQ15"/>
    <mergeCell ref="TNR15:TNS15"/>
    <mergeCell ref="TNT15:TNV15"/>
    <mergeCell ref="TNW15:TNY15"/>
    <mergeCell ref="TNZ15:TOA15"/>
    <mergeCell ref="TNB15:TNC15"/>
    <mergeCell ref="TND15:TNF15"/>
    <mergeCell ref="TNG15:TNI15"/>
    <mergeCell ref="TNJ15:TNK15"/>
    <mergeCell ref="TNL15:TNN15"/>
    <mergeCell ref="TMN15:TMP15"/>
    <mergeCell ref="TMQ15:TMS15"/>
    <mergeCell ref="TMT15:TMU15"/>
    <mergeCell ref="TMV15:TMX15"/>
    <mergeCell ref="TMY15:TNA15"/>
    <mergeCell ref="TMA15:TMC15"/>
    <mergeCell ref="TMD15:TME15"/>
    <mergeCell ref="TMF15:TMH15"/>
    <mergeCell ref="TMI15:TMK15"/>
    <mergeCell ref="TML15:TMM15"/>
    <mergeCell ref="TSR15:TST15"/>
    <mergeCell ref="TSU15:TSW15"/>
    <mergeCell ref="TSX15:TSY15"/>
    <mergeCell ref="TSZ15:TTB15"/>
    <mergeCell ref="TTC15:TTE15"/>
    <mergeCell ref="TSE15:TSG15"/>
    <mergeCell ref="TSH15:TSI15"/>
    <mergeCell ref="TSJ15:TSL15"/>
    <mergeCell ref="TSM15:TSO15"/>
    <mergeCell ref="TSP15:TSQ15"/>
    <mergeCell ref="TRR15:TRS15"/>
    <mergeCell ref="TRT15:TRV15"/>
    <mergeCell ref="TRW15:TRY15"/>
    <mergeCell ref="TRZ15:TSA15"/>
    <mergeCell ref="TSB15:TSD15"/>
    <mergeCell ref="TRD15:TRF15"/>
    <mergeCell ref="TRG15:TRI15"/>
    <mergeCell ref="TRJ15:TRK15"/>
    <mergeCell ref="TRL15:TRN15"/>
    <mergeCell ref="TRO15:TRQ15"/>
    <mergeCell ref="TQQ15:TQS15"/>
    <mergeCell ref="TQT15:TQU15"/>
    <mergeCell ref="TQV15:TQX15"/>
    <mergeCell ref="TQY15:TRA15"/>
    <mergeCell ref="TRB15:TRC15"/>
    <mergeCell ref="TQD15:TQE15"/>
    <mergeCell ref="TQF15:TQH15"/>
    <mergeCell ref="TQI15:TQK15"/>
    <mergeCell ref="TQL15:TQM15"/>
    <mergeCell ref="TQN15:TQP15"/>
    <mergeCell ref="TPP15:TPR15"/>
    <mergeCell ref="TPS15:TPU15"/>
    <mergeCell ref="TPV15:TPW15"/>
    <mergeCell ref="TPX15:TPZ15"/>
    <mergeCell ref="TQA15:TQC15"/>
    <mergeCell ref="TWH15:TWI15"/>
    <mergeCell ref="TWJ15:TWL15"/>
    <mergeCell ref="TWM15:TWO15"/>
    <mergeCell ref="TWP15:TWQ15"/>
    <mergeCell ref="TWR15:TWT15"/>
    <mergeCell ref="TVT15:TVV15"/>
    <mergeCell ref="TVW15:TVY15"/>
    <mergeCell ref="TVZ15:TWA15"/>
    <mergeCell ref="TWB15:TWD15"/>
    <mergeCell ref="TWE15:TWG15"/>
    <mergeCell ref="TVG15:TVI15"/>
    <mergeCell ref="TVJ15:TVK15"/>
    <mergeCell ref="TVL15:TVN15"/>
    <mergeCell ref="TVO15:TVQ15"/>
    <mergeCell ref="TVR15:TVS15"/>
    <mergeCell ref="TUT15:TUU15"/>
    <mergeCell ref="TUV15:TUX15"/>
    <mergeCell ref="TUY15:TVA15"/>
    <mergeCell ref="TVB15:TVC15"/>
    <mergeCell ref="TVD15:TVF15"/>
    <mergeCell ref="TUF15:TUH15"/>
    <mergeCell ref="TUI15:TUK15"/>
    <mergeCell ref="TUL15:TUM15"/>
    <mergeCell ref="TUN15:TUP15"/>
    <mergeCell ref="TUQ15:TUS15"/>
    <mergeCell ref="TTS15:TTU15"/>
    <mergeCell ref="TTV15:TTW15"/>
    <mergeCell ref="TTX15:TTZ15"/>
    <mergeCell ref="TUA15:TUC15"/>
    <mergeCell ref="TUD15:TUE15"/>
    <mergeCell ref="TTF15:TTG15"/>
    <mergeCell ref="TTH15:TTJ15"/>
    <mergeCell ref="TTK15:TTM15"/>
    <mergeCell ref="TTN15:TTO15"/>
    <mergeCell ref="TTP15:TTR15"/>
    <mergeCell ref="TZW15:TZY15"/>
    <mergeCell ref="TZZ15:UAA15"/>
    <mergeCell ref="UAB15:UAD15"/>
    <mergeCell ref="UAE15:UAG15"/>
    <mergeCell ref="UAH15:UAI15"/>
    <mergeCell ref="TZJ15:TZK15"/>
    <mergeCell ref="TZL15:TZN15"/>
    <mergeCell ref="TZO15:TZQ15"/>
    <mergeCell ref="TZR15:TZS15"/>
    <mergeCell ref="TZT15:TZV15"/>
    <mergeCell ref="TYV15:TYX15"/>
    <mergeCell ref="TYY15:TZA15"/>
    <mergeCell ref="TZB15:TZC15"/>
    <mergeCell ref="TZD15:TZF15"/>
    <mergeCell ref="TZG15:TZI15"/>
    <mergeCell ref="TYI15:TYK15"/>
    <mergeCell ref="TYL15:TYM15"/>
    <mergeCell ref="TYN15:TYP15"/>
    <mergeCell ref="TYQ15:TYS15"/>
    <mergeCell ref="TYT15:TYU15"/>
    <mergeCell ref="TXV15:TXW15"/>
    <mergeCell ref="TXX15:TXZ15"/>
    <mergeCell ref="TYA15:TYC15"/>
    <mergeCell ref="TYD15:TYE15"/>
    <mergeCell ref="TYF15:TYH15"/>
    <mergeCell ref="TXH15:TXJ15"/>
    <mergeCell ref="TXK15:TXM15"/>
    <mergeCell ref="TXN15:TXO15"/>
    <mergeCell ref="TXP15:TXR15"/>
    <mergeCell ref="TXS15:TXU15"/>
    <mergeCell ref="TWU15:TWW15"/>
    <mergeCell ref="TWX15:TWY15"/>
    <mergeCell ref="TWZ15:TXB15"/>
    <mergeCell ref="TXC15:TXE15"/>
    <mergeCell ref="TXF15:TXG15"/>
    <mergeCell ref="UDL15:UDN15"/>
    <mergeCell ref="UDO15:UDQ15"/>
    <mergeCell ref="UDR15:UDS15"/>
    <mergeCell ref="UDT15:UDV15"/>
    <mergeCell ref="UDW15:UDY15"/>
    <mergeCell ref="UCY15:UDA15"/>
    <mergeCell ref="UDB15:UDC15"/>
    <mergeCell ref="UDD15:UDF15"/>
    <mergeCell ref="UDG15:UDI15"/>
    <mergeCell ref="UDJ15:UDK15"/>
    <mergeCell ref="UCL15:UCM15"/>
    <mergeCell ref="UCN15:UCP15"/>
    <mergeCell ref="UCQ15:UCS15"/>
    <mergeCell ref="UCT15:UCU15"/>
    <mergeCell ref="UCV15:UCX15"/>
    <mergeCell ref="UBX15:UBZ15"/>
    <mergeCell ref="UCA15:UCC15"/>
    <mergeCell ref="UCD15:UCE15"/>
    <mergeCell ref="UCF15:UCH15"/>
    <mergeCell ref="UCI15:UCK15"/>
    <mergeCell ref="UBK15:UBM15"/>
    <mergeCell ref="UBN15:UBO15"/>
    <mergeCell ref="UBP15:UBR15"/>
    <mergeCell ref="UBS15:UBU15"/>
    <mergeCell ref="UBV15:UBW15"/>
    <mergeCell ref="UAX15:UAY15"/>
    <mergeCell ref="UAZ15:UBB15"/>
    <mergeCell ref="UBC15:UBE15"/>
    <mergeCell ref="UBF15:UBG15"/>
    <mergeCell ref="UBH15:UBJ15"/>
    <mergeCell ref="UAJ15:UAL15"/>
    <mergeCell ref="UAM15:UAO15"/>
    <mergeCell ref="UAP15:UAQ15"/>
    <mergeCell ref="UAR15:UAT15"/>
    <mergeCell ref="UAU15:UAW15"/>
    <mergeCell ref="UHB15:UHC15"/>
    <mergeCell ref="UHD15:UHF15"/>
    <mergeCell ref="UHG15:UHI15"/>
    <mergeCell ref="UHJ15:UHK15"/>
    <mergeCell ref="UHL15:UHN15"/>
    <mergeCell ref="UGN15:UGP15"/>
    <mergeCell ref="UGQ15:UGS15"/>
    <mergeCell ref="UGT15:UGU15"/>
    <mergeCell ref="UGV15:UGX15"/>
    <mergeCell ref="UGY15:UHA15"/>
    <mergeCell ref="UGA15:UGC15"/>
    <mergeCell ref="UGD15:UGE15"/>
    <mergeCell ref="UGF15:UGH15"/>
    <mergeCell ref="UGI15:UGK15"/>
    <mergeCell ref="UGL15:UGM15"/>
    <mergeCell ref="UFN15:UFO15"/>
    <mergeCell ref="UFP15:UFR15"/>
    <mergeCell ref="UFS15:UFU15"/>
    <mergeCell ref="UFV15:UFW15"/>
    <mergeCell ref="UFX15:UFZ15"/>
    <mergeCell ref="UEZ15:UFB15"/>
    <mergeCell ref="UFC15:UFE15"/>
    <mergeCell ref="UFF15:UFG15"/>
    <mergeCell ref="UFH15:UFJ15"/>
    <mergeCell ref="UFK15:UFM15"/>
    <mergeCell ref="UEM15:UEO15"/>
    <mergeCell ref="UEP15:UEQ15"/>
    <mergeCell ref="UER15:UET15"/>
    <mergeCell ref="UEU15:UEW15"/>
    <mergeCell ref="UEX15:UEY15"/>
    <mergeCell ref="UDZ15:UEA15"/>
    <mergeCell ref="UEB15:UED15"/>
    <mergeCell ref="UEE15:UEG15"/>
    <mergeCell ref="UEH15:UEI15"/>
    <mergeCell ref="UEJ15:UEL15"/>
    <mergeCell ref="UKQ15:UKS15"/>
    <mergeCell ref="UKT15:UKU15"/>
    <mergeCell ref="UKV15:UKX15"/>
    <mergeCell ref="UKY15:ULA15"/>
    <mergeCell ref="ULB15:ULC15"/>
    <mergeCell ref="UKD15:UKE15"/>
    <mergeCell ref="UKF15:UKH15"/>
    <mergeCell ref="UKI15:UKK15"/>
    <mergeCell ref="UKL15:UKM15"/>
    <mergeCell ref="UKN15:UKP15"/>
    <mergeCell ref="UJP15:UJR15"/>
    <mergeCell ref="UJS15:UJU15"/>
    <mergeCell ref="UJV15:UJW15"/>
    <mergeCell ref="UJX15:UJZ15"/>
    <mergeCell ref="UKA15:UKC15"/>
    <mergeCell ref="UJC15:UJE15"/>
    <mergeCell ref="UJF15:UJG15"/>
    <mergeCell ref="UJH15:UJJ15"/>
    <mergeCell ref="UJK15:UJM15"/>
    <mergeCell ref="UJN15:UJO15"/>
    <mergeCell ref="UIP15:UIQ15"/>
    <mergeCell ref="UIR15:UIT15"/>
    <mergeCell ref="UIU15:UIW15"/>
    <mergeCell ref="UIX15:UIY15"/>
    <mergeCell ref="UIZ15:UJB15"/>
    <mergeCell ref="UIB15:UID15"/>
    <mergeCell ref="UIE15:UIG15"/>
    <mergeCell ref="UIH15:UII15"/>
    <mergeCell ref="UIJ15:UIL15"/>
    <mergeCell ref="UIM15:UIO15"/>
    <mergeCell ref="UHO15:UHQ15"/>
    <mergeCell ref="UHR15:UHS15"/>
    <mergeCell ref="UHT15:UHV15"/>
    <mergeCell ref="UHW15:UHY15"/>
    <mergeCell ref="UHZ15:UIA15"/>
    <mergeCell ref="UOF15:UOH15"/>
    <mergeCell ref="UOI15:UOK15"/>
    <mergeCell ref="UOL15:UOM15"/>
    <mergeCell ref="UON15:UOP15"/>
    <mergeCell ref="UOQ15:UOS15"/>
    <mergeCell ref="UNS15:UNU15"/>
    <mergeCell ref="UNV15:UNW15"/>
    <mergeCell ref="UNX15:UNZ15"/>
    <mergeCell ref="UOA15:UOC15"/>
    <mergeCell ref="UOD15:UOE15"/>
    <mergeCell ref="UNF15:UNG15"/>
    <mergeCell ref="UNH15:UNJ15"/>
    <mergeCell ref="UNK15:UNM15"/>
    <mergeCell ref="UNN15:UNO15"/>
    <mergeCell ref="UNP15:UNR15"/>
    <mergeCell ref="UMR15:UMT15"/>
    <mergeCell ref="UMU15:UMW15"/>
    <mergeCell ref="UMX15:UMY15"/>
    <mergeCell ref="UMZ15:UNB15"/>
    <mergeCell ref="UNC15:UNE15"/>
    <mergeCell ref="UME15:UMG15"/>
    <mergeCell ref="UMH15:UMI15"/>
    <mergeCell ref="UMJ15:UML15"/>
    <mergeCell ref="UMM15:UMO15"/>
    <mergeCell ref="UMP15:UMQ15"/>
    <mergeCell ref="ULR15:ULS15"/>
    <mergeCell ref="ULT15:ULV15"/>
    <mergeCell ref="ULW15:ULY15"/>
    <mergeCell ref="ULZ15:UMA15"/>
    <mergeCell ref="UMB15:UMD15"/>
    <mergeCell ref="ULD15:ULF15"/>
    <mergeCell ref="ULG15:ULI15"/>
    <mergeCell ref="ULJ15:ULK15"/>
    <mergeCell ref="ULL15:ULN15"/>
    <mergeCell ref="ULO15:ULQ15"/>
    <mergeCell ref="URV15:URW15"/>
    <mergeCell ref="URX15:URZ15"/>
    <mergeCell ref="USA15:USC15"/>
    <mergeCell ref="USD15:USE15"/>
    <mergeCell ref="USF15:USH15"/>
    <mergeCell ref="URH15:URJ15"/>
    <mergeCell ref="URK15:URM15"/>
    <mergeCell ref="URN15:URO15"/>
    <mergeCell ref="URP15:URR15"/>
    <mergeCell ref="URS15:URU15"/>
    <mergeCell ref="UQU15:UQW15"/>
    <mergeCell ref="UQX15:UQY15"/>
    <mergeCell ref="UQZ15:URB15"/>
    <mergeCell ref="URC15:URE15"/>
    <mergeCell ref="URF15:URG15"/>
    <mergeCell ref="UQH15:UQI15"/>
    <mergeCell ref="UQJ15:UQL15"/>
    <mergeCell ref="UQM15:UQO15"/>
    <mergeCell ref="UQP15:UQQ15"/>
    <mergeCell ref="UQR15:UQT15"/>
    <mergeCell ref="UPT15:UPV15"/>
    <mergeCell ref="UPW15:UPY15"/>
    <mergeCell ref="UPZ15:UQA15"/>
    <mergeCell ref="UQB15:UQD15"/>
    <mergeCell ref="UQE15:UQG15"/>
    <mergeCell ref="UPG15:UPI15"/>
    <mergeCell ref="UPJ15:UPK15"/>
    <mergeCell ref="UPL15:UPN15"/>
    <mergeCell ref="UPO15:UPQ15"/>
    <mergeCell ref="UPR15:UPS15"/>
    <mergeCell ref="UOT15:UOU15"/>
    <mergeCell ref="UOV15:UOX15"/>
    <mergeCell ref="UOY15:UPA15"/>
    <mergeCell ref="UPB15:UPC15"/>
    <mergeCell ref="UPD15:UPF15"/>
    <mergeCell ref="UVK15:UVM15"/>
    <mergeCell ref="UVN15:UVO15"/>
    <mergeCell ref="UVP15:UVR15"/>
    <mergeCell ref="UVS15:UVU15"/>
    <mergeCell ref="UVV15:UVW15"/>
    <mergeCell ref="UUX15:UUY15"/>
    <mergeCell ref="UUZ15:UVB15"/>
    <mergeCell ref="UVC15:UVE15"/>
    <mergeCell ref="UVF15:UVG15"/>
    <mergeCell ref="UVH15:UVJ15"/>
    <mergeCell ref="UUJ15:UUL15"/>
    <mergeCell ref="UUM15:UUO15"/>
    <mergeCell ref="UUP15:UUQ15"/>
    <mergeCell ref="UUR15:UUT15"/>
    <mergeCell ref="UUU15:UUW15"/>
    <mergeCell ref="UTW15:UTY15"/>
    <mergeCell ref="UTZ15:UUA15"/>
    <mergeCell ref="UUB15:UUD15"/>
    <mergeCell ref="UUE15:UUG15"/>
    <mergeCell ref="UUH15:UUI15"/>
    <mergeCell ref="UTJ15:UTK15"/>
    <mergeCell ref="UTL15:UTN15"/>
    <mergeCell ref="UTO15:UTQ15"/>
    <mergeCell ref="UTR15:UTS15"/>
    <mergeCell ref="UTT15:UTV15"/>
    <mergeCell ref="USV15:USX15"/>
    <mergeCell ref="USY15:UTA15"/>
    <mergeCell ref="UTB15:UTC15"/>
    <mergeCell ref="UTD15:UTF15"/>
    <mergeCell ref="UTG15:UTI15"/>
    <mergeCell ref="USI15:USK15"/>
    <mergeCell ref="USL15:USM15"/>
    <mergeCell ref="USN15:USP15"/>
    <mergeCell ref="USQ15:USS15"/>
    <mergeCell ref="UST15:USU15"/>
    <mergeCell ref="UYZ15:UZB15"/>
    <mergeCell ref="UZC15:UZE15"/>
    <mergeCell ref="UZF15:UZG15"/>
    <mergeCell ref="UZH15:UZJ15"/>
    <mergeCell ref="UZK15:UZM15"/>
    <mergeCell ref="UYM15:UYO15"/>
    <mergeCell ref="UYP15:UYQ15"/>
    <mergeCell ref="UYR15:UYT15"/>
    <mergeCell ref="UYU15:UYW15"/>
    <mergeCell ref="UYX15:UYY15"/>
    <mergeCell ref="UXZ15:UYA15"/>
    <mergeCell ref="UYB15:UYD15"/>
    <mergeCell ref="UYE15:UYG15"/>
    <mergeCell ref="UYH15:UYI15"/>
    <mergeCell ref="UYJ15:UYL15"/>
    <mergeCell ref="UXL15:UXN15"/>
    <mergeCell ref="UXO15:UXQ15"/>
    <mergeCell ref="UXR15:UXS15"/>
    <mergeCell ref="UXT15:UXV15"/>
    <mergeCell ref="UXW15:UXY15"/>
    <mergeCell ref="UWY15:UXA15"/>
    <mergeCell ref="UXB15:UXC15"/>
    <mergeCell ref="UXD15:UXF15"/>
    <mergeCell ref="UXG15:UXI15"/>
    <mergeCell ref="UXJ15:UXK15"/>
    <mergeCell ref="UWL15:UWM15"/>
    <mergeCell ref="UWN15:UWP15"/>
    <mergeCell ref="UWQ15:UWS15"/>
    <mergeCell ref="UWT15:UWU15"/>
    <mergeCell ref="UWV15:UWX15"/>
    <mergeCell ref="UVX15:UVZ15"/>
    <mergeCell ref="UWA15:UWC15"/>
    <mergeCell ref="UWD15:UWE15"/>
    <mergeCell ref="UWF15:UWH15"/>
    <mergeCell ref="UWI15:UWK15"/>
    <mergeCell ref="VCP15:VCQ15"/>
    <mergeCell ref="VCR15:VCT15"/>
    <mergeCell ref="VCU15:VCW15"/>
    <mergeCell ref="VCX15:VCY15"/>
    <mergeCell ref="VCZ15:VDB15"/>
    <mergeCell ref="VCB15:VCD15"/>
    <mergeCell ref="VCE15:VCG15"/>
    <mergeCell ref="VCH15:VCI15"/>
    <mergeCell ref="VCJ15:VCL15"/>
    <mergeCell ref="VCM15:VCO15"/>
    <mergeCell ref="VBO15:VBQ15"/>
    <mergeCell ref="VBR15:VBS15"/>
    <mergeCell ref="VBT15:VBV15"/>
    <mergeCell ref="VBW15:VBY15"/>
    <mergeCell ref="VBZ15:VCA15"/>
    <mergeCell ref="VBB15:VBC15"/>
    <mergeCell ref="VBD15:VBF15"/>
    <mergeCell ref="VBG15:VBI15"/>
    <mergeCell ref="VBJ15:VBK15"/>
    <mergeCell ref="VBL15:VBN15"/>
    <mergeCell ref="VAN15:VAP15"/>
    <mergeCell ref="VAQ15:VAS15"/>
    <mergeCell ref="VAT15:VAU15"/>
    <mergeCell ref="VAV15:VAX15"/>
    <mergeCell ref="VAY15:VBA15"/>
    <mergeCell ref="VAA15:VAC15"/>
    <mergeCell ref="VAD15:VAE15"/>
    <mergeCell ref="VAF15:VAH15"/>
    <mergeCell ref="VAI15:VAK15"/>
    <mergeCell ref="VAL15:VAM15"/>
    <mergeCell ref="UZN15:UZO15"/>
    <mergeCell ref="UZP15:UZR15"/>
    <mergeCell ref="UZS15:UZU15"/>
    <mergeCell ref="UZV15:UZW15"/>
    <mergeCell ref="UZX15:UZZ15"/>
    <mergeCell ref="VGE15:VGG15"/>
    <mergeCell ref="VGH15:VGI15"/>
    <mergeCell ref="VGJ15:VGL15"/>
    <mergeCell ref="VGM15:VGO15"/>
    <mergeCell ref="VGP15:VGQ15"/>
    <mergeCell ref="VFR15:VFS15"/>
    <mergeCell ref="VFT15:VFV15"/>
    <mergeCell ref="VFW15:VFY15"/>
    <mergeCell ref="VFZ15:VGA15"/>
    <mergeCell ref="VGB15:VGD15"/>
    <mergeCell ref="VFD15:VFF15"/>
    <mergeCell ref="VFG15:VFI15"/>
    <mergeCell ref="VFJ15:VFK15"/>
    <mergeCell ref="VFL15:VFN15"/>
    <mergeCell ref="VFO15:VFQ15"/>
    <mergeCell ref="VEQ15:VES15"/>
    <mergeCell ref="VET15:VEU15"/>
    <mergeCell ref="VEV15:VEX15"/>
    <mergeCell ref="VEY15:VFA15"/>
    <mergeCell ref="VFB15:VFC15"/>
    <mergeCell ref="VED15:VEE15"/>
    <mergeCell ref="VEF15:VEH15"/>
    <mergeCell ref="VEI15:VEK15"/>
    <mergeCell ref="VEL15:VEM15"/>
    <mergeCell ref="VEN15:VEP15"/>
    <mergeCell ref="VDP15:VDR15"/>
    <mergeCell ref="VDS15:VDU15"/>
    <mergeCell ref="VDV15:VDW15"/>
    <mergeCell ref="VDX15:VDZ15"/>
    <mergeCell ref="VEA15:VEC15"/>
    <mergeCell ref="VDC15:VDE15"/>
    <mergeCell ref="VDF15:VDG15"/>
    <mergeCell ref="VDH15:VDJ15"/>
    <mergeCell ref="VDK15:VDM15"/>
    <mergeCell ref="VDN15:VDO15"/>
    <mergeCell ref="VJT15:VJV15"/>
    <mergeCell ref="VJW15:VJY15"/>
    <mergeCell ref="VJZ15:VKA15"/>
    <mergeCell ref="VKB15:VKD15"/>
    <mergeCell ref="VKE15:VKG15"/>
    <mergeCell ref="VJG15:VJI15"/>
    <mergeCell ref="VJJ15:VJK15"/>
    <mergeCell ref="VJL15:VJN15"/>
    <mergeCell ref="VJO15:VJQ15"/>
    <mergeCell ref="VJR15:VJS15"/>
    <mergeCell ref="VIT15:VIU15"/>
    <mergeCell ref="VIV15:VIX15"/>
    <mergeCell ref="VIY15:VJA15"/>
    <mergeCell ref="VJB15:VJC15"/>
    <mergeCell ref="VJD15:VJF15"/>
    <mergeCell ref="VIF15:VIH15"/>
    <mergeCell ref="VII15:VIK15"/>
    <mergeCell ref="VIL15:VIM15"/>
    <mergeCell ref="VIN15:VIP15"/>
    <mergeCell ref="VIQ15:VIS15"/>
    <mergeCell ref="VHS15:VHU15"/>
    <mergeCell ref="VHV15:VHW15"/>
    <mergeCell ref="VHX15:VHZ15"/>
    <mergeCell ref="VIA15:VIC15"/>
    <mergeCell ref="VID15:VIE15"/>
    <mergeCell ref="VHF15:VHG15"/>
    <mergeCell ref="VHH15:VHJ15"/>
    <mergeCell ref="VHK15:VHM15"/>
    <mergeCell ref="VHN15:VHO15"/>
    <mergeCell ref="VHP15:VHR15"/>
    <mergeCell ref="VGR15:VGT15"/>
    <mergeCell ref="VGU15:VGW15"/>
    <mergeCell ref="VGX15:VGY15"/>
    <mergeCell ref="VGZ15:VHB15"/>
    <mergeCell ref="VHC15:VHE15"/>
    <mergeCell ref="VNJ15:VNK15"/>
    <mergeCell ref="VNL15:VNN15"/>
    <mergeCell ref="VNO15:VNQ15"/>
    <mergeCell ref="VNR15:VNS15"/>
    <mergeCell ref="VNT15:VNV15"/>
    <mergeCell ref="VMV15:VMX15"/>
    <mergeCell ref="VMY15:VNA15"/>
    <mergeCell ref="VNB15:VNC15"/>
    <mergeCell ref="VND15:VNF15"/>
    <mergeCell ref="VNG15:VNI15"/>
    <mergeCell ref="VMI15:VMK15"/>
    <mergeCell ref="VML15:VMM15"/>
    <mergeCell ref="VMN15:VMP15"/>
    <mergeCell ref="VMQ15:VMS15"/>
    <mergeCell ref="VMT15:VMU15"/>
    <mergeCell ref="VLV15:VLW15"/>
    <mergeCell ref="VLX15:VLZ15"/>
    <mergeCell ref="VMA15:VMC15"/>
    <mergeCell ref="VMD15:VME15"/>
    <mergeCell ref="VMF15:VMH15"/>
    <mergeCell ref="VLH15:VLJ15"/>
    <mergeCell ref="VLK15:VLM15"/>
    <mergeCell ref="VLN15:VLO15"/>
    <mergeCell ref="VLP15:VLR15"/>
    <mergeCell ref="VLS15:VLU15"/>
    <mergeCell ref="VKU15:VKW15"/>
    <mergeCell ref="VKX15:VKY15"/>
    <mergeCell ref="VKZ15:VLB15"/>
    <mergeCell ref="VLC15:VLE15"/>
    <mergeCell ref="VLF15:VLG15"/>
    <mergeCell ref="VKH15:VKI15"/>
    <mergeCell ref="VKJ15:VKL15"/>
    <mergeCell ref="VKM15:VKO15"/>
    <mergeCell ref="VKP15:VKQ15"/>
    <mergeCell ref="VKR15:VKT15"/>
    <mergeCell ref="VQY15:VRA15"/>
    <mergeCell ref="VRB15:VRC15"/>
    <mergeCell ref="VRD15:VRF15"/>
    <mergeCell ref="VRG15:VRI15"/>
    <mergeCell ref="VRJ15:VRK15"/>
    <mergeCell ref="VQL15:VQM15"/>
    <mergeCell ref="VQN15:VQP15"/>
    <mergeCell ref="VQQ15:VQS15"/>
    <mergeCell ref="VQT15:VQU15"/>
    <mergeCell ref="VQV15:VQX15"/>
    <mergeCell ref="VPX15:VPZ15"/>
    <mergeCell ref="VQA15:VQC15"/>
    <mergeCell ref="VQD15:VQE15"/>
    <mergeCell ref="VQF15:VQH15"/>
    <mergeCell ref="VQI15:VQK15"/>
    <mergeCell ref="VPK15:VPM15"/>
    <mergeCell ref="VPN15:VPO15"/>
    <mergeCell ref="VPP15:VPR15"/>
    <mergeCell ref="VPS15:VPU15"/>
    <mergeCell ref="VPV15:VPW15"/>
    <mergeCell ref="VOX15:VOY15"/>
    <mergeCell ref="VOZ15:VPB15"/>
    <mergeCell ref="VPC15:VPE15"/>
    <mergeCell ref="VPF15:VPG15"/>
    <mergeCell ref="VPH15:VPJ15"/>
    <mergeCell ref="VOJ15:VOL15"/>
    <mergeCell ref="VOM15:VOO15"/>
    <mergeCell ref="VOP15:VOQ15"/>
    <mergeCell ref="VOR15:VOT15"/>
    <mergeCell ref="VOU15:VOW15"/>
    <mergeCell ref="VNW15:VNY15"/>
    <mergeCell ref="VNZ15:VOA15"/>
    <mergeCell ref="VOB15:VOD15"/>
    <mergeCell ref="VOE15:VOG15"/>
    <mergeCell ref="VOH15:VOI15"/>
    <mergeCell ref="VUN15:VUP15"/>
    <mergeCell ref="VUQ15:VUS15"/>
    <mergeCell ref="VUT15:VUU15"/>
    <mergeCell ref="VUV15:VUX15"/>
    <mergeCell ref="VUY15:VVA15"/>
    <mergeCell ref="VUA15:VUC15"/>
    <mergeCell ref="VUD15:VUE15"/>
    <mergeCell ref="VUF15:VUH15"/>
    <mergeCell ref="VUI15:VUK15"/>
    <mergeCell ref="VUL15:VUM15"/>
    <mergeCell ref="VTN15:VTO15"/>
    <mergeCell ref="VTP15:VTR15"/>
    <mergeCell ref="VTS15:VTU15"/>
    <mergeCell ref="VTV15:VTW15"/>
    <mergeCell ref="VTX15:VTZ15"/>
    <mergeCell ref="VSZ15:VTB15"/>
    <mergeCell ref="VTC15:VTE15"/>
    <mergeCell ref="VTF15:VTG15"/>
    <mergeCell ref="VTH15:VTJ15"/>
    <mergeCell ref="VTK15:VTM15"/>
    <mergeCell ref="VSM15:VSO15"/>
    <mergeCell ref="VSP15:VSQ15"/>
    <mergeCell ref="VSR15:VST15"/>
    <mergeCell ref="VSU15:VSW15"/>
    <mergeCell ref="VSX15:VSY15"/>
    <mergeCell ref="VRZ15:VSA15"/>
    <mergeCell ref="VSB15:VSD15"/>
    <mergeCell ref="VSE15:VSG15"/>
    <mergeCell ref="VSH15:VSI15"/>
    <mergeCell ref="VSJ15:VSL15"/>
    <mergeCell ref="VRL15:VRN15"/>
    <mergeCell ref="VRO15:VRQ15"/>
    <mergeCell ref="VRR15:VRS15"/>
    <mergeCell ref="VRT15:VRV15"/>
    <mergeCell ref="VRW15:VRY15"/>
    <mergeCell ref="VYD15:VYE15"/>
    <mergeCell ref="VYF15:VYH15"/>
    <mergeCell ref="VYI15:VYK15"/>
    <mergeCell ref="VYL15:VYM15"/>
    <mergeCell ref="VYN15:VYP15"/>
    <mergeCell ref="VXP15:VXR15"/>
    <mergeCell ref="VXS15:VXU15"/>
    <mergeCell ref="VXV15:VXW15"/>
    <mergeCell ref="VXX15:VXZ15"/>
    <mergeCell ref="VYA15:VYC15"/>
    <mergeCell ref="VXC15:VXE15"/>
    <mergeCell ref="VXF15:VXG15"/>
    <mergeCell ref="VXH15:VXJ15"/>
    <mergeCell ref="VXK15:VXM15"/>
    <mergeCell ref="VXN15:VXO15"/>
    <mergeCell ref="VWP15:VWQ15"/>
    <mergeCell ref="VWR15:VWT15"/>
    <mergeCell ref="VWU15:VWW15"/>
    <mergeCell ref="VWX15:VWY15"/>
    <mergeCell ref="VWZ15:VXB15"/>
    <mergeCell ref="VWB15:VWD15"/>
    <mergeCell ref="VWE15:VWG15"/>
    <mergeCell ref="VWH15:VWI15"/>
    <mergeCell ref="VWJ15:VWL15"/>
    <mergeCell ref="VWM15:VWO15"/>
    <mergeCell ref="VVO15:VVQ15"/>
    <mergeCell ref="VVR15:VVS15"/>
    <mergeCell ref="VVT15:VVV15"/>
    <mergeCell ref="VVW15:VVY15"/>
    <mergeCell ref="VVZ15:VWA15"/>
    <mergeCell ref="VVB15:VVC15"/>
    <mergeCell ref="VVD15:VVF15"/>
    <mergeCell ref="VVG15:VVI15"/>
    <mergeCell ref="VVJ15:VVK15"/>
    <mergeCell ref="VVL15:VVN15"/>
    <mergeCell ref="WBS15:WBU15"/>
    <mergeCell ref="WBV15:WBW15"/>
    <mergeCell ref="WBX15:WBZ15"/>
    <mergeCell ref="WCA15:WCC15"/>
    <mergeCell ref="WCD15:WCE15"/>
    <mergeCell ref="WBF15:WBG15"/>
    <mergeCell ref="WBH15:WBJ15"/>
    <mergeCell ref="WBK15:WBM15"/>
    <mergeCell ref="WBN15:WBO15"/>
    <mergeCell ref="WBP15:WBR15"/>
    <mergeCell ref="WAR15:WAT15"/>
    <mergeCell ref="WAU15:WAW15"/>
    <mergeCell ref="WAX15:WAY15"/>
    <mergeCell ref="WAZ15:WBB15"/>
    <mergeCell ref="WBC15:WBE15"/>
    <mergeCell ref="WAE15:WAG15"/>
    <mergeCell ref="WAH15:WAI15"/>
    <mergeCell ref="WAJ15:WAL15"/>
    <mergeCell ref="WAM15:WAO15"/>
    <mergeCell ref="WAP15:WAQ15"/>
    <mergeCell ref="VZR15:VZS15"/>
    <mergeCell ref="VZT15:VZV15"/>
    <mergeCell ref="VZW15:VZY15"/>
    <mergeCell ref="VZZ15:WAA15"/>
    <mergeCell ref="WAB15:WAD15"/>
    <mergeCell ref="VZD15:VZF15"/>
    <mergeCell ref="VZG15:VZI15"/>
    <mergeCell ref="VZJ15:VZK15"/>
    <mergeCell ref="VZL15:VZN15"/>
    <mergeCell ref="VZO15:VZQ15"/>
    <mergeCell ref="VYQ15:VYS15"/>
    <mergeCell ref="VYT15:VYU15"/>
    <mergeCell ref="VYV15:VYX15"/>
    <mergeCell ref="VYY15:VZA15"/>
    <mergeCell ref="VZB15:VZC15"/>
    <mergeCell ref="WFH15:WFJ15"/>
    <mergeCell ref="WFK15:WFM15"/>
    <mergeCell ref="WFN15:WFO15"/>
    <mergeCell ref="WFP15:WFR15"/>
    <mergeCell ref="WFS15:WFU15"/>
    <mergeCell ref="WEU15:WEW15"/>
    <mergeCell ref="WEX15:WEY15"/>
    <mergeCell ref="WEZ15:WFB15"/>
    <mergeCell ref="WFC15:WFE15"/>
    <mergeCell ref="WFF15:WFG15"/>
    <mergeCell ref="WEH15:WEI15"/>
    <mergeCell ref="WEJ15:WEL15"/>
    <mergeCell ref="WEM15:WEO15"/>
    <mergeCell ref="WEP15:WEQ15"/>
    <mergeCell ref="WER15:WET15"/>
    <mergeCell ref="WDT15:WDV15"/>
    <mergeCell ref="WDW15:WDY15"/>
    <mergeCell ref="WDZ15:WEA15"/>
    <mergeCell ref="WEB15:WED15"/>
    <mergeCell ref="WEE15:WEG15"/>
    <mergeCell ref="WDG15:WDI15"/>
    <mergeCell ref="WDJ15:WDK15"/>
    <mergeCell ref="WDL15:WDN15"/>
    <mergeCell ref="WDO15:WDQ15"/>
    <mergeCell ref="WDR15:WDS15"/>
    <mergeCell ref="WCT15:WCU15"/>
    <mergeCell ref="WCV15:WCX15"/>
    <mergeCell ref="WCY15:WDA15"/>
    <mergeCell ref="WDB15:WDC15"/>
    <mergeCell ref="WDD15:WDF15"/>
    <mergeCell ref="WCF15:WCH15"/>
    <mergeCell ref="WCI15:WCK15"/>
    <mergeCell ref="WCL15:WCM15"/>
    <mergeCell ref="WCN15:WCP15"/>
    <mergeCell ref="WCQ15:WCS15"/>
    <mergeCell ref="WIX15:WIY15"/>
    <mergeCell ref="WIZ15:WJB15"/>
    <mergeCell ref="WJC15:WJE15"/>
    <mergeCell ref="WJF15:WJG15"/>
    <mergeCell ref="WJH15:WJJ15"/>
    <mergeCell ref="WIJ15:WIL15"/>
    <mergeCell ref="WIM15:WIO15"/>
    <mergeCell ref="WIP15:WIQ15"/>
    <mergeCell ref="WIR15:WIT15"/>
    <mergeCell ref="WIU15:WIW15"/>
    <mergeCell ref="WHW15:WHY15"/>
    <mergeCell ref="WHZ15:WIA15"/>
    <mergeCell ref="WIB15:WID15"/>
    <mergeCell ref="WIE15:WIG15"/>
    <mergeCell ref="WIH15:WII15"/>
    <mergeCell ref="WHJ15:WHK15"/>
    <mergeCell ref="WHL15:WHN15"/>
    <mergeCell ref="WHO15:WHQ15"/>
    <mergeCell ref="WHR15:WHS15"/>
    <mergeCell ref="WHT15:WHV15"/>
    <mergeCell ref="WGV15:WGX15"/>
    <mergeCell ref="WGY15:WHA15"/>
    <mergeCell ref="WHB15:WHC15"/>
    <mergeCell ref="WHD15:WHF15"/>
    <mergeCell ref="WHG15:WHI15"/>
    <mergeCell ref="WGI15:WGK15"/>
    <mergeCell ref="WGL15:WGM15"/>
    <mergeCell ref="WGN15:WGP15"/>
    <mergeCell ref="WGQ15:WGS15"/>
    <mergeCell ref="WGT15:WGU15"/>
    <mergeCell ref="WFV15:WFW15"/>
    <mergeCell ref="WFX15:WFZ15"/>
    <mergeCell ref="WGA15:WGC15"/>
    <mergeCell ref="WGD15:WGE15"/>
    <mergeCell ref="WGF15:WGH15"/>
    <mergeCell ref="WMM15:WMO15"/>
    <mergeCell ref="WMP15:WMQ15"/>
    <mergeCell ref="WMR15:WMT15"/>
    <mergeCell ref="WMU15:WMW15"/>
    <mergeCell ref="WMX15:WMY15"/>
    <mergeCell ref="WLZ15:WMA15"/>
    <mergeCell ref="WMB15:WMD15"/>
    <mergeCell ref="WME15:WMG15"/>
    <mergeCell ref="WMH15:WMI15"/>
    <mergeCell ref="WMJ15:WML15"/>
    <mergeCell ref="WLL15:WLN15"/>
    <mergeCell ref="WLO15:WLQ15"/>
    <mergeCell ref="WLR15:WLS15"/>
    <mergeCell ref="WLT15:WLV15"/>
    <mergeCell ref="WLW15:WLY15"/>
    <mergeCell ref="WKY15:WLA15"/>
    <mergeCell ref="WLB15:WLC15"/>
    <mergeCell ref="WLD15:WLF15"/>
    <mergeCell ref="WLG15:WLI15"/>
    <mergeCell ref="WLJ15:WLK15"/>
    <mergeCell ref="WKL15:WKM15"/>
    <mergeCell ref="WKN15:WKP15"/>
    <mergeCell ref="WKQ15:WKS15"/>
    <mergeCell ref="WKT15:WKU15"/>
    <mergeCell ref="WKV15:WKX15"/>
    <mergeCell ref="WJX15:WJZ15"/>
    <mergeCell ref="WKA15:WKC15"/>
    <mergeCell ref="WKD15:WKE15"/>
    <mergeCell ref="WKF15:WKH15"/>
    <mergeCell ref="WKI15:WKK15"/>
    <mergeCell ref="WJK15:WJM15"/>
    <mergeCell ref="WJN15:WJO15"/>
    <mergeCell ref="WJP15:WJR15"/>
    <mergeCell ref="WJS15:WJU15"/>
    <mergeCell ref="WJV15:WJW15"/>
    <mergeCell ref="WQB15:WQD15"/>
    <mergeCell ref="WQE15:WQG15"/>
    <mergeCell ref="WQH15:WQI15"/>
    <mergeCell ref="WQJ15:WQL15"/>
    <mergeCell ref="WQM15:WQO15"/>
    <mergeCell ref="WPO15:WPQ15"/>
    <mergeCell ref="WPR15:WPS15"/>
    <mergeCell ref="WPT15:WPV15"/>
    <mergeCell ref="WPW15:WPY15"/>
    <mergeCell ref="WPZ15:WQA15"/>
    <mergeCell ref="WPB15:WPC15"/>
    <mergeCell ref="WPD15:WPF15"/>
    <mergeCell ref="WPG15:WPI15"/>
    <mergeCell ref="WPJ15:WPK15"/>
    <mergeCell ref="WPL15:WPN15"/>
    <mergeCell ref="WON15:WOP15"/>
    <mergeCell ref="WOQ15:WOS15"/>
    <mergeCell ref="WOT15:WOU15"/>
    <mergeCell ref="WOV15:WOX15"/>
    <mergeCell ref="WOY15:WPA15"/>
    <mergeCell ref="WOA15:WOC15"/>
    <mergeCell ref="WOD15:WOE15"/>
    <mergeCell ref="WOF15:WOH15"/>
    <mergeCell ref="WOI15:WOK15"/>
    <mergeCell ref="WOL15:WOM15"/>
    <mergeCell ref="WNN15:WNO15"/>
    <mergeCell ref="WNP15:WNR15"/>
    <mergeCell ref="WNS15:WNU15"/>
    <mergeCell ref="WNV15:WNW15"/>
    <mergeCell ref="WNX15:WNZ15"/>
    <mergeCell ref="WMZ15:WNB15"/>
    <mergeCell ref="WNC15:WNE15"/>
    <mergeCell ref="WNF15:WNG15"/>
    <mergeCell ref="WNH15:WNJ15"/>
    <mergeCell ref="WNK15:WNM15"/>
    <mergeCell ref="WTR15:WTS15"/>
    <mergeCell ref="WTT15:WTV15"/>
    <mergeCell ref="WTW15:WTY15"/>
    <mergeCell ref="WTZ15:WUA15"/>
    <mergeCell ref="WUB15:WUD15"/>
    <mergeCell ref="WTD15:WTF15"/>
    <mergeCell ref="WTG15:WTI15"/>
    <mergeCell ref="WTJ15:WTK15"/>
    <mergeCell ref="WTL15:WTN15"/>
    <mergeCell ref="WTO15:WTQ15"/>
    <mergeCell ref="WSQ15:WSS15"/>
    <mergeCell ref="WST15:WSU15"/>
    <mergeCell ref="WSV15:WSX15"/>
    <mergeCell ref="WSY15:WTA15"/>
    <mergeCell ref="WTB15:WTC15"/>
    <mergeCell ref="WSD15:WSE15"/>
    <mergeCell ref="WSF15:WSH15"/>
    <mergeCell ref="WSI15:WSK15"/>
    <mergeCell ref="WSL15:WSM15"/>
    <mergeCell ref="WSN15:WSP15"/>
    <mergeCell ref="WRP15:WRR15"/>
    <mergeCell ref="WRS15:WRU15"/>
    <mergeCell ref="WRV15:WRW15"/>
    <mergeCell ref="WRX15:WRZ15"/>
    <mergeCell ref="WSA15:WSC15"/>
    <mergeCell ref="WRC15:WRE15"/>
    <mergeCell ref="WRF15:WRG15"/>
    <mergeCell ref="WRH15:WRJ15"/>
    <mergeCell ref="WRK15:WRM15"/>
    <mergeCell ref="WRN15:WRO15"/>
    <mergeCell ref="WQP15:WQQ15"/>
    <mergeCell ref="WQR15:WQT15"/>
    <mergeCell ref="WQU15:WQW15"/>
    <mergeCell ref="WQX15:WQY15"/>
    <mergeCell ref="WQZ15:WRB15"/>
    <mergeCell ref="WXG15:WXI15"/>
    <mergeCell ref="WXJ15:WXK15"/>
    <mergeCell ref="WXL15:WXN15"/>
    <mergeCell ref="WXO15:WXQ15"/>
    <mergeCell ref="WXR15:WXS15"/>
    <mergeCell ref="WWT15:WWU15"/>
    <mergeCell ref="WWV15:WWX15"/>
    <mergeCell ref="WWY15:WXA15"/>
    <mergeCell ref="WXB15:WXC15"/>
    <mergeCell ref="WXD15:WXF15"/>
    <mergeCell ref="WWF15:WWH15"/>
    <mergeCell ref="WWI15:WWK15"/>
    <mergeCell ref="WWL15:WWM15"/>
    <mergeCell ref="WWN15:WWP15"/>
    <mergeCell ref="WWQ15:WWS15"/>
    <mergeCell ref="WVS15:WVU15"/>
    <mergeCell ref="WVV15:WVW15"/>
    <mergeCell ref="WVX15:WVZ15"/>
    <mergeCell ref="WWA15:WWC15"/>
    <mergeCell ref="WWD15:WWE15"/>
    <mergeCell ref="WVF15:WVG15"/>
    <mergeCell ref="WVH15:WVJ15"/>
    <mergeCell ref="WVK15:WVM15"/>
    <mergeCell ref="WVN15:WVO15"/>
    <mergeCell ref="WVP15:WVR15"/>
    <mergeCell ref="WUR15:WUT15"/>
    <mergeCell ref="WUU15:WUW15"/>
    <mergeCell ref="WUX15:WUY15"/>
    <mergeCell ref="WUZ15:WVB15"/>
    <mergeCell ref="WVC15:WVE15"/>
    <mergeCell ref="WUE15:WUG15"/>
    <mergeCell ref="WUH15:WUI15"/>
    <mergeCell ref="WUJ15:WUL15"/>
    <mergeCell ref="WUM15:WUO15"/>
    <mergeCell ref="WUP15:WUQ15"/>
    <mergeCell ref="XAV15:XAX15"/>
    <mergeCell ref="XAY15:XBA15"/>
    <mergeCell ref="XBB15:XBC15"/>
    <mergeCell ref="XBD15:XBF15"/>
    <mergeCell ref="XBG15:XBI15"/>
    <mergeCell ref="XAI15:XAK15"/>
    <mergeCell ref="XAL15:XAM15"/>
    <mergeCell ref="XAN15:XAP15"/>
    <mergeCell ref="XAQ15:XAS15"/>
    <mergeCell ref="XAT15:XAU15"/>
    <mergeCell ref="WZV15:WZW15"/>
    <mergeCell ref="WZX15:WZZ15"/>
    <mergeCell ref="XAA15:XAC15"/>
    <mergeCell ref="XAD15:XAE15"/>
    <mergeCell ref="XAF15:XAH15"/>
    <mergeCell ref="WZH15:WZJ15"/>
    <mergeCell ref="WZK15:WZM15"/>
    <mergeCell ref="WZN15:WZO15"/>
    <mergeCell ref="WZP15:WZR15"/>
    <mergeCell ref="WZS15:WZU15"/>
    <mergeCell ref="WYU15:WYW15"/>
    <mergeCell ref="WYX15:WYY15"/>
    <mergeCell ref="WYZ15:WZB15"/>
    <mergeCell ref="WZC15:WZE15"/>
    <mergeCell ref="WZF15:WZG15"/>
    <mergeCell ref="WYH15:WYI15"/>
    <mergeCell ref="WYJ15:WYL15"/>
    <mergeCell ref="WYM15:WYO15"/>
    <mergeCell ref="WYP15:WYQ15"/>
    <mergeCell ref="WYR15:WYT15"/>
    <mergeCell ref="WXT15:WXV15"/>
    <mergeCell ref="WXW15:WXY15"/>
    <mergeCell ref="WXZ15:WYA15"/>
    <mergeCell ref="WYB15:WYD15"/>
    <mergeCell ref="WYE15:WYG15"/>
    <mergeCell ref="XEY15:XFA15"/>
    <mergeCell ref="C16:E16"/>
    <mergeCell ref="F16:H16"/>
    <mergeCell ref="P16:R16"/>
    <mergeCell ref="S16:U16"/>
    <mergeCell ref="V16:W16"/>
    <mergeCell ref="X16:Z16"/>
    <mergeCell ref="AA16:AC16"/>
    <mergeCell ref="AD16:AE16"/>
    <mergeCell ref="AF16:AH16"/>
    <mergeCell ref="AI16:AK16"/>
    <mergeCell ref="XEL15:XEM15"/>
    <mergeCell ref="XEN15:XEP15"/>
    <mergeCell ref="XEQ15:XES15"/>
    <mergeCell ref="XET15:XEU15"/>
    <mergeCell ref="XEV15:XEX15"/>
    <mergeCell ref="XDX15:XDZ15"/>
    <mergeCell ref="XEA15:XEC15"/>
    <mergeCell ref="XED15:XEE15"/>
    <mergeCell ref="XEF15:XEH15"/>
    <mergeCell ref="XEI15:XEK15"/>
    <mergeCell ref="XDK15:XDM15"/>
    <mergeCell ref="XDN15:XDO15"/>
    <mergeCell ref="XDP15:XDR15"/>
    <mergeCell ref="XDS15:XDU15"/>
    <mergeCell ref="XDV15:XDW15"/>
    <mergeCell ref="XCX15:XCY15"/>
    <mergeCell ref="XCZ15:XDB15"/>
    <mergeCell ref="XDC15:XDE15"/>
    <mergeCell ref="XDF15:XDG15"/>
    <mergeCell ref="XDH15:XDJ15"/>
    <mergeCell ref="XCJ15:XCL15"/>
    <mergeCell ref="XCM15:XCO15"/>
    <mergeCell ref="XCP15:XCQ15"/>
    <mergeCell ref="XCR15:XCT15"/>
    <mergeCell ref="XCU15:XCW15"/>
    <mergeCell ref="XBW15:XBY15"/>
    <mergeCell ref="XBZ15:XCA15"/>
    <mergeCell ref="XCB15:XCD15"/>
    <mergeCell ref="XCE15:XCG15"/>
    <mergeCell ref="XCH15:XCI15"/>
    <mergeCell ref="XBJ15:XBK15"/>
    <mergeCell ref="XBL15:XBN15"/>
    <mergeCell ref="XBO15:XBQ15"/>
    <mergeCell ref="XBR15:XBS15"/>
    <mergeCell ref="FB16:FC16"/>
    <mergeCell ref="FD16:FF16"/>
    <mergeCell ref="FG16:FI16"/>
    <mergeCell ref="FJ16:FK16"/>
    <mergeCell ref="FL16:FN16"/>
    <mergeCell ref="EN16:EP16"/>
    <mergeCell ref="EQ16:ES16"/>
    <mergeCell ref="ET16:EU16"/>
    <mergeCell ref="EV16:EX16"/>
    <mergeCell ref="EY16:FA16"/>
    <mergeCell ref="EA16:EC16"/>
    <mergeCell ref="ED16:EE16"/>
    <mergeCell ref="EF16:EH16"/>
    <mergeCell ref="EI16:EK16"/>
    <mergeCell ref="EL16:EM16"/>
    <mergeCell ref="DN16:DO16"/>
    <mergeCell ref="DP16:DR16"/>
    <mergeCell ref="DS16:DU16"/>
    <mergeCell ref="XBT15:XBV15"/>
    <mergeCell ref="FO16:FQ16"/>
    <mergeCell ref="FR16:FS16"/>
    <mergeCell ref="FT16:FV16"/>
    <mergeCell ref="FW16:FY16"/>
    <mergeCell ref="FZ16:GA16"/>
    <mergeCell ref="NG16:NI16"/>
    <mergeCell ref="NJ16:NK16"/>
    <mergeCell ref="NL16:NN16"/>
    <mergeCell ref="NO16:NQ16"/>
    <mergeCell ref="NR16:NS16"/>
    <mergeCell ref="MT16:MU16"/>
    <mergeCell ref="MV16:MX16"/>
    <mergeCell ref="MY16:NA16"/>
    <mergeCell ref="NB16:NC16"/>
    <mergeCell ref="ND16:NF16"/>
    <mergeCell ref="MF16:MH16"/>
    <mergeCell ref="MI16:MK16"/>
    <mergeCell ref="ML16:MM16"/>
    <mergeCell ref="MN16:MP16"/>
    <mergeCell ref="MQ16:MS16"/>
    <mergeCell ref="LS16:LU16"/>
    <mergeCell ref="LV16:LW16"/>
    <mergeCell ref="LX16:LZ16"/>
    <mergeCell ref="MA16:MC16"/>
    <mergeCell ref="MD16:ME16"/>
    <mergeCell ref="LF16:LG16"/>
    <mergeCell ref="LH16:LJ16"/>
    <mergeCell ref="LK16:LM16"/>
    <mergeCell ref="LN16:LO16"/>
    <mergeCell ref="LP16:LR16"/>
    <mergeCell ref="KR16:KT16"/>
    <mergeCell ref="KU16:KW16"/>
    <mergeCell ref="KX16:KY16"/>
    <mergeCell ref="KZ16:LB16"/>
    <mergeCell ref="LC16:LE16"/>
    <mergeCell ref="KE16:KG16"/>
    <mergeCell ref="KH16:KI16"/>
    <mergeCell ref="KJ16:KL16"/>
    <mergeCell ref="KM16:KO16"/>
    <mergeCell ref="KP16:KQ16"/>
    <mergeCell ref="PV16:PW16"/>
    <mergeCell ref="PX16:PZ16"/>
    <mergeCell ref="QA16:QC16"/>
    <mergeCell ref="QD16:QE16"/>
    <mergeCell ref="QF16:QH16"/>
    <mergeCell ref="PH16:PJ16"/>
    <mergeCell ref="PK16:PM16"/>
    <mergeCell ref="PN16:PO16"/>
    <mergeCell ref="PP16:PR16"/>
    <mergeCell ref="PS16:PU16"/>
    <mergeCell ref="OU16:OW16"/>
    <mergeCell ref="OX16:OY16"/>
    <mergeCell ref="OZ16:PB16"/>
    <mergeCell ref="PC16:PE16"/>
    <mergeCell ref="PF16:PG16"/>
    <mergeCell ref="OH16:OI16"/>
    <mergeCell ref="OJ16:OL16"/>
    <mergeCell ref="OM16:OO16"/>
    <mergeCell ref="OP16:OQ16"/>
    <mergeCell ref="OR16:OT16"/>
    <mergeCell ref="NT16:NV16"/>
    <mergeCell ref="NW16:NY16"/>
    <mergeCell ref="NZ16:OA16"/>
    <mergeCell ref="OB16:OD16"/>
    <mergeCell ref="OE16:OG16"/>
    <mergeCell ref="HK16:HM16"/>
    <mergeCell ref="HN16:HO16"/>
    <mergeCell ref="GP16:GQ16"/>
    <mergeCell ref="GR16:GT16"/>
    <mergeCell ref="GU16:GW16"/>
    <mergeCell ref="GX16:GY16"/>
    <mergeCell ref="GZ16:HB16"/>
    <mergeCell ref="GB16:GD16"/>
    <mergeCell ref="GE16:GG16"/>
    <mergeCell ref="GH16:GI16"/>
    <mergeCell ref="GJ16:GL16"/>
    <mergeCell ref="GM16:GO16"/>
    <mergeCell ref="TK16:TM16"/>
    <mergeCell ref="TN16:TO16"/>
    <mergeCell ref="TP16:TR16"/>
    <mergeCell ref="TS16:TU16"/>
    <mergeCell ref="TV16:TW16"/>
    <mergeCell ref="SX16:SY16"/>
    <mergeCell ref="SZ16:TB16"/>
    <mergeCell ref="TC16:TE16"/>
    <mergeCell ref="TF16:TG16"/>
    <mergeCell ref="TH16:TJ16"/>
    <mergeCell ref="SJ16:SL16"/>
    <mergeCell ref="SM16:SO16"/>
    <mergeCell ref="SP16:SQ16"/>
    <mergeCell ref="SR16:ST16"/>
    <mergeCell ref="SU16:SW16"/>
    <mergeCell ref="RW16:RY16"/>
    <mergeCell ref="RZ16:SA16"/>
    <mergeCell ref="SB16:SD16"/>
    <mergeCell ref="SE16:SG16"/>
    <mergeCell ref="SH16:SI16"/>
    <mergeCell ref="RJ16:RK16"/>
    <mergeCell ref="RL16:RN16"/>
    <mergeCell ref="RO16:RQ16"/>
    <mergeCell ref="RR16:RS16"/>
    <mergeCell ref="RT16:RV16"/>
    <mergeCell ref="QV16:QX16"/>
    <mergeCell ref="QY16:RA16"/>
    <mergeCell ref="RB16:RC16"/>
    <mergeCell ref="RD16:RF16"/>
    <mergeCell ref="RG16:RI16"/>
    <mergeCell ref="QI16:QK16"/>
    <mergeCell ref="QL16:QM16"/>
    <mergeCell ref="QN16:QP16"/>
    <mergeCell ref="QQ16:QS16"/>
    <mergeCell ref="QT16:QU16"/>
    <mergeCell ref="WZ16:XB16"/>
    <mergeCell ref="XC16:XE16"/>
    <mergeCell ref="XF16:XG16"/>
    <mergeCell ref="XH16:XJ16"/>
    <mergeCell ref="XK16:XM16"/>
    <mergeCell ref="WM16:WO16"/>
    <mergeCell ref="WP16:WQ16"/>
    <mergeCell ref="WR16:WT16"/>
    <mergeCell ref="WU16:WW16"/>
    <mergeCell ref="WX16:WY16"/>
    <mergeCell ref="VZ16:WA16"/>
    <mergeCell ref="WB16:WD16"/>
    <mergeCell ref="WE16:WG16"/>
    <mergeCell ref="WH16:WI16"/>
    <mergeCell ref="WJ16:WL16"/>
    <mergeCell ref="VL16:VN16"/>
    <mergeCell ref="VO16:VQ16"/>
    <mergeCell ref="VR16:VS16"/>
    <mergeCell ref="VT16:VV16"/>
    <mergeCell ref="VW16:VY16"/>
    <mergeCell ref="UY16:VA16"/>
    <mergeCell ref="VB16:VC16"/>
    <mergeCell ref="VD16:VF16"/>
    <mergeCell ref="VG16:VI16"/>
    <mergeCell ref="VJ16:VK16"/>
    <mergeCell ref="UL16:UM16"/>
    <mergeCell ref="UN16:UP16"/>
    <mergeCell ref="UQ16:US16"/>
    <mergeCell ref="UT16:UU16"/>
    <mergeCell ref="UV16:UX16"/>
    <mergeCell ref="TX16:TZ16"/>
    <mergeCell ref="UA16:UC16"/>
    <mergeCell ref="UD16:UE16"/>
    <mergeCell ref="UF16:UH16"/>
    <mergeCell ref="UI16:UK16"/>
    <mergeCell ref="AAP16:AAQ16"/>
    <mergeCell ref="AAR16:AAT16"/>
    <mergeCell ref="AAU16:AAW16"/>
    <mergeCell ref="AAX16:AAY16"/>
    <mergeCell ref="AAZ16:ABB16"/>
    <mergeCell ref="AAB16:AAD16"/>
    <mergeCell ref="AAE16:AAG16"/>
    <mergeCell ref="AAH16:AAI16"/>
    <mergeCell ref="AAJ16:AAL16"/>
    <mergeCell ref="AAM16:AAO16"/>
    <mergeCell ref="ZO16:ZQ16"/>
    <mergeCell ref="ZR16:ZS16"/>
    <mergeCell ref="ZT16:ZV16"/>
    <mergeCell ref="ZW16:ZY16"/>
    <mergeCell ref="ZZ16:AAA16"/>
    <mergeCell ref="ZB16:ZC16"/>
    <mergeCell ref="ZD16:ZF16"/>
    <mergeCell ref="ZG16:ZI16"/>
    <mergeCell ref="ZJ16:ZK16"/>
    <mergeCell ref="ZL16:ZN16"/>
    <mergeCell ref="YN16:YP16"/>
    <mergeCell ref="YQ16:YS16"/>
    <mergeCell ref="YT16:YU16"/>
    <mergeCell ref="YV16:YX16"/>
    <mergeCell ref="YY16:ZA16"/>
    <mergeCell ref="YA16:YC16"/>
    <mergeCell ref="YD16:YE16"/>
    <mergeCell ref="YF16:YH16"/>
    <mergeCell ref="YI16:YK16"/>
    <mergeCell ref="YL16:YM16"/>
    <mergeCell ref="XN16:XO16"/>
    <mergeCell ref="XP16:XR16"/>
    <mergeCell ref="XS16:XU16"/>
    <mergeCell ref="XV16:XW16"/>
    <mergeCell ref="XX16:XZ16"/>
    <mergeCell ref="AEE16:AEG16"/>
    <mergeCell ref="AEH16:AEI16"/>
    <mergeCell ref="AEJ16:AEL16"/>
    <mergeCell ref="AEM16:AEO16"/>
    <mergeCell ref="AEP16:AEQ16"/>
    <mergeCell ref="ADR16:ADS16"/>
    <mergeCell ref="ADT16:ADV16"/>
    <mergeCell ref="ADW16:ADY16"/>
    <mergeCell ref="ADZ16:AEA16"/>
    <mergeCell ref="AEB16:AED16"/>
    <mergeCell ref="ADD16:ADF16"/>
    <mergeCell ref="ADG16:ADI16"/>
    <mergeCell ref="ADJ16:ADK16"/>
    <mergeCell ref="ADL16:ADN16"/>
    <mergeCell ref="ADO16:ADQ16"/>
    <mergeCell ref="ACQ16:ACS16"/>
    <mergeCell ref="ACT16:ACU16"/>
    <mergeCell ref="ACV16:ACX16"/>
    <mergeCell ref="ACY16:ADA16"/>
    <mergeCell ref="ADB16:ADC16"/>
    <mergeCell ref="ACD16:ACE16"/>
    <mergeCell ref="ACF16:ACH16"/>
    <mergeCell ref="ACI16:ACK16"/>
    <mergeCell ref="ACL16:ACM16"/>
    <mergeCell ref="ACN16:ACP16"/>
    <mergeCell ref="ABP16:ABR16"/>
    <mergeCell ref="ABS16:ABU16"/>
    <mergeCell ref="ABV16:ABW16"/>
    <mergeCell ref="ABX16:ABZ16"/>
    <mergeCell ref="ACA16:ACC16"/>
    <mergeCell ref="ABC16:ABE16"/>
    <mergeCell ref="ABF16:ABG16"/>
    <mergeCell ref="ABH16:ABJ16"/>
    <mergeCell ref="ABK16:ABM16"/>
    <mergeCell ref="ABN16:ABO16"/>
    <mergeCell ref="AHT16:AHV16"/>
    <mergeCell ref="AHW16:AHY16"/>
    <mergeCell ref="AHZ16:AIA16"/>
    <mergeCell ref="AIB16:AID16"/>
    <mergeCell ref="AIE16:AIG16"/>
    <mergeCell ref="AHG16:AHI16"/>
    <mergeCell ref="AHJ16:AHK16"/>
    <mergeCell ref="AHL16:AHN16"/>
    <mergeCell ref="AHO16:AHQ16"/>
    <mergeCell ref="AHR16:AHS16"/>
    <mergeCell ref="AGT16:AGU16"/>
    <mergeCell ref="AGV16:AGX16"/>
    <mergeCell ref="AGY16:AHA16"/>
    <mergeCell ref="AHB16:AHC16"/>
    <mergeCell ref="AHD16:AHF16"/>
    <mergeCell ref="AGF16:AGH16"/>
    <mergeCell ref="AGI16:AGK16"/>
    <mergeCell ref="AGL16:AGM16"/>
    <mergeCell ref="AGN16:AGP16"/>
    <mergeCell ref="AGQ16:AGS16"/>
    <mergeCell ref="AFS16:AFU16"/>
    <mergeCell ref="AFV16:AFW16"/>
    <mergeCell ref="AFX16:AFZ16"/>
    <mergeCell ref="AGA16:AGC16"/>
    <mergeCell ref="AGD16:AGE16"/>
    <mergeCell ref="AFF16:AFG16"/>
    <mergeCell ref="AFH16:AFJ16"/>
    <mergeCell ref="AFK16:AFM16"/>
    <mergeCell ref="AFN16:AFO16"/>
    <mergeCell ref="AFP16:AFR16"/>
    <mergeCell ref="AER16:AET16"/>
    <mergeCell ref="AEU16:AEW16"/>
    <mergeCell ref="AEX16:AEY16"/>
    <mergeCell ref="AEZ16:AFB16"/>
    <mergeCell ref="AFC16:AFE16"/>
    <mergeCell ref="ALJ16:ALK16"/>
    <mergeCell ref="ALL16:ALN16"/>
    <mergeCell ref="ALO16:ALQ16"/>
    <mergeCell ref="ALR16:ALS16"/>
    <mergeCell ref="ALT16:ALV16"/>
    <mergeCell ref="AKV16:AKX16"/>
    <mergeCell ref="AKY16:ALA16"/>
    <mergeCell ref="ALB16:ALC16"/>
    <mergeCell ref="ALD16:ALF16"/>
    <mergeCell ref="ALG16:ALI16"/>
    <mergeCell ref="AKI16:AKK16"/>
    <mergeCell ref="AKL16:AKM16"/>
    <mergeCell ref="AKN16:AKP16"/>
    <mergeCell ref="AKQ16:AKS16"/>
    <mergeCell ref="AKT16:AKU16"/>
    <mergeCell ref="AJV16:AJW16"/>
    <mergeCell ref="AJX16:AJZ16"/>
    <mergeCell ref="AKA16:AKC16"/>
    <mergeCell ref="AKD16:AKE16"/>
    <mergeCell ref="AKF16:AKH16"/>
    <mergeCell ref="AJH16:AJJ16"/>
    <mergeCell ref="AJK16:AJM16"/>
    <mergeCell ref="AJN16:AJO16"/>
    <mergeCell ref="AJP16:AJR16"/>
    <mergeCell ref="AJS16:AJU16"/>
    <mergeCell ref="AIU16:AIW16"/>
    <mergeCell ref="AIX16:AIY16"/>
    <mergeCell ref="AIZ16:AJB16"/>
    <mergeCell ref="AJC16:AJE16"/>
    <mergeCell ref="AJF16:AJG16"/>
    <mergeCell ref="AIH16:AII16"/>
    <mergeCell ref="AIJ16:AIL16"/>
    <mergeCell ref="AIM16:AIO16"/>
    <mergeCell ref="AIP16:AIQ16"/>
    <mergeCell ref="AIR16:AIT16"/>
    <mergeCell ref="AOY16:APA16"/>
    <mergeCell ref="APB16:APC16"/>
    <mergeCell ref="APD16:APF16"/>
    <mergeCell ref="APG16:API16"/>
    <mergeCell ref="APJ16:APK16"/>
    <mergeCell ref="AOL16:AOM16"/>
    <mergeCell ref="AON16:AOP16"/>
    <mergeCell ref="AOQ16:AOS16"/>
    <mergeCell ref="AOT16:AOU16"/>
    <mergeCell ref="AOV16:AOX16"/>
    <mergeCell ref="ANX16:ANZ16"/>
    <mergeCell ref="AOA16:AOC16"/>
    <mergeCell ref="AOD16:AOE16"/>
    <mergeCell ref="AOF16:AOH16"/>
    <mergeCell ref="AOI16:AOK16"/>
    <mergeCell ref="ANK16:ANM16"/>
    <mergeCell ref="ANN16:ANO16"/>
    <mergeCell ref="ANP16:ANR16"/>
    <mergeCell ref="ANS16:ANU16"/>
    <mergeCell ref="ANV16:ANW16"/>
    <mergeCell ref="AMX16:AMY16"/>
    <mergeCell ref="AMZ16:ANB16"/>
    <mergeCell ref="ANC16:ANE16"/>
    <mergeCell ref="ANF16:ANG16"/>
    <mergeCell ref="ANH16:ANJ16"/>
    <mergeCell ref="AMJ16:AML16"/>
    <mergeCell ref="AMM16:AMO16"/>
    <mergeCell ref="AMP16:AMQ16"/>
    <mergeCell ref="AMR16:AMT16"/>
    <mergeCell ref="AMU16:AMW16"/>
    <mergeCell ref="ALW16:ALY16"/>
    <mergeCell ref="ALZ16:AMA16"/>
    <mergeCell ref="AMB16:AMD16"/>
    <mergeCell ref="AME16:AMG16"/>
    <mergeCell ref="AMH16:AMI16"/>
    <mergeCell ref="ASN16:ASP16"/>
    <mergeCell ref="ASQ16:ASS16"/>
    <mergeCell ref="AST16:ASU16"/>
    <mergeCell ref="ASV16:ASX16"/>
    <mergeCell ref="ASY16:ATA16"/>
    <mergeCell ref="ASA16:ASC16"/>
    <mergeCell ref="ASD16:ASE16"/>
    <mergeCell ref="ASF16:ASH16"/>
    <mergeCell ref="ASI16:ASK16"/>
    <mergeCell ref="ASL16:ASM16"/>
    <mergeCell ref="ARN16:ARO16"/>
    <mergeCell ref="ARP16:ARR16"/>
    <mergeCell ref="ARS16:ARU16"/>
    <mergeCell ref="ARV16:ARW16"/>
    <mergeCell ref="ARX16:ARZ16"/>
    <mergeCell ref="AQZ16:ARB16"/>
    <mergeCell ref="ARC16:ARE16"/>
    <mergeCell ref="ARF16:ARG16"/>
    <mergeCell ref="ARH16:ARJ16"/>
    <mergeCell ref="ARK16:ARM16"/>
    <mergeCell ref="AQM16:AQO16"/>
    <mergeCell ref="AQP16:AQQ16"/>
    <mergeCell ref="AQR16:AQT16"/>
    <mergeCell ref="AQU16:AQW16"/>
    <mergeCell ref="AQX16:AQY16"/>
    <mergeCell ref="APZ16:AQA16"/>
    <mergeCell ref="AQB16:AQD16"/>
    <mergeCell ref="AQE16:AQG16"/>
    <mergeCell ref="AQH16:AQI16"/>
    <mergeCell ref="AQJ16:AQL16"/>
    <mergeCell ref="APL16:APN16"/>
    <mergeCell ref="APO16:APQ16"/>
    <mergeCell ref="APR16:APS16"/>
    <mergeCell ref="APT16:APV16"/>
    <mergeCell ref="APW16:APY16"/>
    <mergeCell ref="AWD16:AWE16"/>
    <mergeCell ref="AWF16:AWH16"/>
    <mergeCell ref="AWI16:AWK16"/>
    <mergeCell ref="AWL16:AWM16"/>
    <mergeCell ref="AWN16:AWP16"/>
    <mergeCell ref="AVP16:AVR16"/>
    <mergeCell ref="AVS16:AVU16"/>
    <mergeCell ref="AVV16:AVW16"/>
    <mergeCell ref="AVX16:AVZ16"/>
    <mergeCell ref="AWA16:AWC16"/>
    <mergeCell ref="AVC16:AVE16"/>
    <mergeCell ref="AVF16:AVG16"/>
    <mergeCell ref="AVH16:AVJ16"/>
    <mergeCell ref="AVK16:AVM16"/>
    <mergeCell ref="AVN16:AVO16"/>
    <mergeCell ref="AUP16:AUQ16"/>
    <mergeCell ref="AUR16:AUT16"/>
    <mergeCell ref="AUU16:AUW16"/>
    <mergeCell ref="AUX16:AUY16"/>
    <mergeCell ref="AUZ16:AVB16"/>
    <mergeCell ref="AUB16:AUD16"/>
    <mergeCell ref="AUE16:AUG16"/>
    <mergeCell ref="AUH16:AUI16"/>
    <mergeCell ref="AUJ16:AUL16"/>
    <mergeCell ref="AUM16:AUO16"/>
    <mergeCell ref="ATO16:ATQ16"/>
    <mergeCell ref="ATR16:ATS16"/>
    <mergeCell ref="ATT16:ATV16"/>
    <mergeCell ref="ATW16:ATY16"/>
    <mergeCell ref="ATZ16:AUA16"/>
    <mergeCell ref="ATB16:ATC16"/>
    <mergeCell ref="ATD16:ATF16"/>
    <mergeCell ref="ATG16:ATI16"/>
    <mergeCell ref="ATJ16:ATK16"/>
    <mergeCell ref="ATL16:ATN16"/>
    <mergeCell ref="AZS16:AZU16"/>
    <mergeCell ref="AZV16:AZW16"/>
    <mergeCell ref="AZX16:AZZ16"/>
    <mergeCell ref="BAA16:BAC16"/>
    <mergeCell ref="BAD16:BAE16"/>
    <mergeCell ref="AZF16:AZG16"/>
    <mergeCell ref="AZH16:AZJ16"/>
    <mergeCell ref="AZK16:AZM16"/>
    <mergeCell ref="AZN16:AZO16"/>
    <mergeCell ref="AZP16:AZR16"/>
    <mergeCell ref="AYR16:AYT16"/>
    <mergeCell ref="AYU16:AYW16"/>
    <mergeCell ref="AYX16:AYY16"/>
    <mergeCell ref="AYZ16:AZB16"/>
    <mergeCell ref="AZC16:AZE16"/>
    <mergeCell ref="AYE16:AYG16"/>
    <mergeCell ref="AYH16:AYI16"/>
    <mergeCell ref="AYJ16:AYL16"/>
    <mergeCell ref="AYM16:AYO16"/>
    <mergeCell ref="AYP16:AYQ16"/>
    <mergeCell ref="AXR16:AXS16"/>
    <mergeCell ref="AXT16:AXV16"/>
    <mergeCell ref="AXW16:AXY16"/>
    <mergeCell ref="AXZ16:AYA16"/>
    <mergeCell ref="AYB16:AYD16"/>
    <mergeCell ref="AXD16:AXF16"/>
    <mergeCell ref="AXG16:AXI16"/>
    <mergeCell ref="AXJ16:AXK16"/>
    <mergeCell ref="AXL16:AXN16"/>
    <mergeCell ref="AXO16:AXQ16"/>
    <mergeCell ref="AWQ16:AWS16"/>
    <mergeCell ref="AWT16:AWU16"/>
    <mergeCell ref="AWV16:AWX16"/>
    <mergeCell ref="AWY16:AXA16"/>
    <mergeCell ref="AXB16:AXC16"/>
    <mergeCell ref="BDH16:BDJ16"/>
    <mergeCell ref="BDK16:BDM16"/>
    <mergeCell ref="BDN16:BDO16"/>
    <mergeCell ref="BDP16:BDR16"/>
    <mergeCell ref="BDS16:BDU16"/>
    <mergeCell ref="BCU16:BCW16"/>
    <mergeCell ref="BCX16:BCY16"/>
    <mergeCell ref="BCZ16:BDB16"/>
    <mergeCell ref="BDC16:BDE16"/>
    <mergeCell ref="BDF16:BDG16"/>
    <mergeCell ref="BCH16:BCI16"/>
    <mergeCell ref="BCJ16:BCL16"/>
    <mergeCell ref="BCM16:BCO16"/>
    <mergeCell ref="BCP16:BCQ16"/>
    <mergeCell ref="BCR16:BCT16"/>
    <mergeCell ref="BBT16:BBV16"/>
    <mergeCell ref="BBW16:BBY16"/>
    <mergeCell ref="BBZ16:BCA16"/>
    <mergeCell ref="BCB16:BCD16"/>
    <mergeCell ref="BCE16:BCG16"/>
    <mergeCell ref="BBG16:BBI16"/>
    <mergeCell ref="BBJ16:BBK16"/>
    <mergeCell ref="BBL16:BBN16"/>
    <mergeCell ref="BBO16:BBQ16"/>
    <mergeCell ref="BBR16:BBS16"/>
    <mergeCell ref="BAT16:BAU16"/>
    <mergeCell ref="BAV16:BAX16"/>
    <mergeCell ref="BAY16:BBA16"/>
    <mergeCell ref="BBB16:BBC16"/>
    <mergeCell ref="BBD16:BBF16"/>
    <mergeCell ref="BAF16:BAH16"/>
    <mergeCell ref="BAI16:BAK16"/>
    <mergeCell ref="BAL16:BAM16"/>
    <mergeCell ref="BAN16:BAP16"/>
    <mergeCell ref="BAQ16:BAS16"/>
    <mergeCell ref="BGX16:BGY16"/>
    <mergeCell ref="BGZ16:BHB16"/>
    <mergeCell ref="BHC16:BHE16"/>
    <mergeCell ref="BHF16:BHG16"/>
    <mergeCell ref="BHH16:BHJ16"/>
    <mergeCell ref="BGJ16:BGL16"/>
    <mergeCell ref="BGM16:BGO16"/>
    <mergeCell ref="BGP16:BGQ16"/>
    <mergeCell ref="BGR16:BGT16"/>
    <mergeCell ref="BGU16:BGW16"/>
    <mergeCell ref="BFW16:BFY16"/>
    <mergeCell ref="BFZ16:BGA16"/>
    <mergeCell ref="BGB16:BGD16"/>
    <mergeCell ref="BGE16:BGG16"/>
    <mergeCell ref="BGH16:BGI16"/>
    <mergeCell ref="BFJ16:BFK16"/>
    <mergeCell ref="BFL16:BFN16"/>
    <mergeCell ref="BFO16:BFQ16"/>
    <mergeCell ref="BFR16:BFS16"/>
    <mergeCell ref="BFT16:BFV16"/>
    <mergeCell ref="BEV16:BEX16"/>
    <mergeCell ref="BEY16:BFA16"/>
    <mergeCell ref="BFB16:BFC16"/>
    <mergeCell ref="BFD16:BFF16"/>
    <mergeCell ref="BFG16:BFI16"/>
    <mergeCell ref="BEI16:BEK16"/>
    <mergeCell ref="BEL16:BEM16"/>
    <mergeCell ref="BEN16:BEP16"/>
    <mergeCell ref="BEQ16:BES16"/>
    <mergeCell ref="BET16:BEU16"/>
    <mergeCell ref="BDV16:BDW16"/>
    <mergeCell ref="BDX16:BDZ16"/>
    <mergeCell ref="BEA16:BEC16"/>
    <mergeCell ref="BED16:BEE16"/>
    <mergeCell ref="BEF16:BEH16"/>
    <mergeCell ref="BKM16:BKO16"/>
    <mergeCell ref="BKP16:BKQ16"/>
    <mergeCell ref="BKR16:BKT16"/>
    <mergeCell ref="BKU16:BKW16"/>
    <mergeCell ref="BKX16:BKY16"/>
    <mergeCell ref="BJZ16:BKA16"/>
    <mergeCell ref="BKB16:BKD16"/>
    <mergeCell ref="BKE16:BKG16"/>
    <mergeCell ref="BKH16:BKI16"/>
    <mergeCell ref="BKJ16:BKL16"/>
    <mergeCell ref="BJL16:BJN16"/>
    <mergeCell ref="BJO16:BJQ16"/>
    <mergeCell ref="BJR16:BJS16"/>
    <mergeCell ref="BJT16:BJV16"/>
    <mergeCell ref="BJW16:BJY16"/>
    <mergeCell ref="BIY16:BJA16"/>
    <mergeCell ref="BJB16:BJC16"/>
    <mergeCell ref="BJD16:BJF16"/>
    <mergeCell ref="BJG16:BJI16"/>
    <mergeCell ref="BJJ16:BJK16"/>
    <mergeCell ref="BIL16:BIM16"/>
    <mergeCell ref="BIN16:BIP16"/>
    <mergeCell ref="BIQ16:BIS16"/>
    <mergeCell ref="BIT16:BIU16"/>
    <mergeCell ref="BIV16:BIX16"/>
    <mergeCell ref="BHX16:BHZ16"/>
    <mergeCell ref="BIA16:BIC16"/>
    <mergeCell ref="BID16:BIE16"/>
    <mergeCell ref="BIF16:BIH16"/>
    <mergeCell ref="BII16:BIK16"/>
    <mergeCell ref="BHK16:BHM16"/>
    <mergeCell ref="BHN16:BHO16"/>
    <mergeCell ref="BHP16:BHR16"/>
    <mergeCell ref="BHS16:BHU16"/>
    <mergeCell ref="BHV16:BHW16"/>
    <mergeCell ref="BOB16:BOD16"/>
    <mergeCell ref="BOE16:BOG16"/>
    <mergeCell ref="BOH16:BOI16"/>
    <mergeCell ref="BOJ16:BOL16"/>
    <mergeCell ref="BOM16:BOO16"/>
    <mergeCell ref="BNO16:BNQ16"/>
    <mergeCell ref="BNR16:BNS16"/>
    <mergeCell ref="BNT16:BNV16"/>
    <mergeCell ref="BNW16:BNY16"/>
    <mergeCell ref="BNZ16:BOA16"/>
    <mergeCell ref="BNB16:BNC16"/>
    <mergeCell ref="BND16:BNF16"/>
    <mergeCell ref="BNG16:BNI16"/>
    <mergeCell ref="BNJ16:BNK16"/>
    <mergeCell ref="BNL16:BNN16"/>
    <mergeCell ref="BMN16:BMP16"/>
    <mergeCell ref="BMQ16:BMS16"/>
    <mergeCell ref="BMT16:BMU16"/>
    <mergeCell ref="BMV16:BMX16"/>
    <mergeCell ref="BMY16:BNA16"/>
    <mergeCell ref="BMA16:BMC16"/>
    <mergeCell ref="BMD16:BME16"/>
    <mergeCell ref="BMF16:BMH16"/>
    <mergeCell ref="BMI16:BMK16"/>
    <mergeCell ref="BML16:BMM16"/>
    <mergeCell ref="BLN16:BLO16"/>
    <mergeCell ref="BLP16:BLR16"/>
    <mergeCell ref="BLS16:BLU16"/>
    <mergeCell ref="BLV16:BLW16"/>
    <mergeCell ref="BLX16:BLZ16"/>
    <mergeCell ref="BKZ16:BLB16"/>
    <mergeCell ref="BLC16:BLE16"/>
    <mergeCell ref="BLF16:BLG16"/>
    <mergeCell ref="BLH16:BLJ16"/>
    <mergeCell ref="BLK16:BLM16"/>
    <mergeCell ref="BRR16:BRS16"/>
    <mergeCell ref="BRT16:BRV16"/>
    <mergeCell ref="BRW16:BRY16"/>
    <mergeCell ref="BRZ16:BSA16"/>
    <mergeCell ref="BSB16:BSD16"/>
    <mergeCell ref="BRD16:BRF16"/>
    <mergeCell ref="BRG16:BRI16"/>
    <mergeCell ref="BRJ16:BRK16"/>
    <mergeCell ref="BRL16:BRN16"/>
    <mergeCell ref="BRO16:BRQ16"/>
    <mergeCell ref="BQQ16:BQS16"/>
    <mergeCell ref="BQT16:BQU16"/>
    <mergeCell ref="BQV16:BQX16"/>
    <mergeCell ref="BQY16:BRA16"/>
    <mergeCell ref="BRB16:BRC16"/>
    <mergeCell ref="BQD16:BQE16"/>
    <mergeCell ref="BQF16:BQH16"/>
    <mergeCell ref="BQI16:BQK16"/>
    <mergeCell ref="BQL16:BQM16"/>
    <mergeCell ref="BQN16:BQP16"/>
    <mergeCell ref="BPP16:BPR16"/>
    <mergeCell ref="BPS16:BPU16"/>
    <mergeCell ref="BPV16:BPW16"/>
    <mergeCell ref="BPX16:BPZ16"/>
    <mergeCell ref="BQA16:BQC16"/>
    <mergeCell ref="BPC16:BPE16"/>
    <mergeCell ref="BPF16:BPG16"/>
    <mergeCell ref="BPH16:BPJ16"/>
    <mergeCell ref="BPK16:BPM16"/>
    <mergeCell ref="BPN16:BPO16"/>
    <mergeCell ref="BOP16:BOQ16"/>
    <mergeCell ref="BOR16:BOT16"/>
    <mergeCell ref="BOU16:BOW16"/>
    <mergeCell ref="BOX16:BOY16"/>
    <mergeCell ref="BOZ16:BPB16"/>
    <mergeCell ref="BVG16:BVI16"/>
    <mergeCell ref="BVJ16:BVK16"/>
    <mergeCell ref="BVL16:BVN16"/>
    <mergeCell ref="BVO16:BVQ16"/>
    <mergeCell ref="BVR16:BVS16"/>
    <mergeCell ref="BUT16:BUU16"/>
    <mergeCell ref="BUV16:BUX16"/>
    <mergeCell ref="BUY16:BVA16"/>
    <mergeCell ref="BVB16:BVC16"/>
    <mergeCell ref="BVD16:BVF16"/>
    <mergeCell ref="BUF16:BUH16"/>
    <mergeCell ref="BUI16:BUK16"/>
    <mergeCell ref="BUL16:BUM16"/>
    <mergeCell ref="BUN16:BUP16"/>
    <mergeCell ref="BUQ16:BUS16"/>
    <mergeCell ref="BTS16:BTU16"/>
    <mergeCell ref="BTV16:BTW16"/>
    <mergeCell ref="BTX16:BTZ16"/>
    <mergeCell ref="BUA16:BUC16"/>
    <mergeCell ref="BUD16:BUE16"/>
    <mergeCell ref="BTF16:BTG16"/>
    <mergeCell ref="BTH16:BTJ16"/>
    <mergeCell ref="BTK16:BTM16"/>
    <mergeCell ref="BTN16:BTO16"/>
    <mergeCell ref="BTP16:BTR16"/>
    <mergeCell ref="BSR16:BST16"/>
    <mergeCell ref="BSU16:BSW16"/>
    <mergeCell ref="BSX16:BSY16"/>
    <mergeCell ref="BSZ16:BTB16"/>
    <mergeCell ref="BTC16:BTE16"/>
    <mergeCell ref="BSE16:BSG16"/>
    <mergeCell ref="BSH16:BSI16"/>
    <mergeCell ref="BSJ16:BSL16"/>
    <mergeCell ref="BSM16:BSO16"/>
    <mergeCell ref="BSP16:BSQ16"/>
    <mergeCell ref="BYV16:BYX16"/>
    <mergeCell ref="BYY16:BZA16"/>
    <mergeCell ref="BZB16:BZC16"/>
    <mergeCell ref="BZD16:BZF16"/>
    <mergeCell ref="BZG16:BZI16"/>
    <mergeCell ref="BYI16:BYK16"/>
    <mergeCell ref="BYL16:BYM16"/>
    <mergeCell ref="BYN16:BYP16"/>
    <mergeCell ref="BYQ16:BYS16"/>
    <mergeCell ref="BYT16:BYU16"/>
    <mergeCell ref="BXV16:BXW16"/>
    <mergeCell ref="BXX16:BXZ16"/>
    <mergeCell ref="BYA16:BYC16"/>
    <mergeCell ref="BYD16:BYE16"/>
    <mergeCell ref="BYF16:BYH16"/>
    <mergeCell ref="BXH16:BXJ16"/>
    <mergeCell ref="BXK16:BXM16"/>
    <mergeCell ref="BXN16:BXO16"/>
    <mergeCell ref="BXP16:BXR16"/>
    <mergeCell ref="BXS16:BXU16"/>
    <mergeCell ref="BWU16:BWW16"/>
    <mergeCell ref="BWX16:BWY16"/>
    <mergeCell ref="BWZ16:BXB16"/>
    <mergeCell ref="BXC16:BXE16"/>
    <mergeCell ref="BXF16:BXG16"/>
    <mergeCell ref="BWH16:BWI16"/>
    <mergeCell ref="BWJ16:BWL16"/>
    <mergeCell ref="BWM16:BWO16"/>
    <mergeCell ref="BWP16:BWQ16"/>
    <mergeCell ref="BWR16:BWT16"/>
    <mergeCell ref="BVT16:BVV16"/>
    <mergeCell ref="BVW16:BVY16"/>
    <mergeCell ref="BVZ16:BWA16"/>
    <mergeCell ref="BWB16:BWD16"/>
    <mergeCell ref="BWE16:BWG16"/>
    <mergeCell ref="CCL16:CCM16"/>
    <mergeCell ref="CCN16:CCP16"/>
    <mergeCell ref="CCQ16:CCS16"/>
    <mergeCell ref="CCT16:CCU16"/>
    <mergeCell ref="CCV16:CCX16"/>
    <mergeCell ref="CBX16:CBZ16"/>
    <mergeCell ref="CCA16:CCC16"/>
    <mergeCell ref="CCD16:CCE16"/>
    <mergeCell ref="CCF16:CCH16"/>
    <mergeCell ref="CCI16:CCK16"/>
    <mergeCell ref="CBK16:CBM16"/>
    <mergeCell ref="CBN16:CBO16"/>
    <mergeCell ref="CBP16:CBR16"/>
    <mergeCell ref="CBS16:CBU16"/>
    <mergeCell ref="CBV16:CBW16"/>
    <mergeCell ref="CAX16:CAY16"/>
    <mergeCell ref="CAZ16:CBB16"/>
    <mergeCell ref="CBC16:CBE16"/>
    <mergeCell ref="CBF16:CBG16"/>
    <mergeCell ref="CBH16:CBJ16"/>
    <mergeCell ref="CAJ16:CAL16"/>
    <mergeCell ref="CAM16:CAO16"/>
    <mergeCell ref="CAP16:CAQ16"/>
    <mergeCell ref="CAR16:CAT16"/>
    <mergeCell ref="CAU16:CAW16"/>
    <mergeCell ref="BZW16:BZY16"/>
    <mergeCell ref="BZZ16:CAA16"/>
    <mergeCell ref="CAB16:CAD16"/>
    <mergeCell ref="CAE16:CAG16"/>
    <mergeCell ref="CAH16:CAI16"/>
    <mergeCell ref="BZJ16:BZK16"/>
    <mergeCell ref="BZL16:BZN16"/>
    <mergeCell ref="BZO16:BZQ16"/>
    <mergeCell ref="BZR16:BZS16"/>
    <mergeCell ref="BZT16:BZV16"/>
    <mergeCell ref="CGA16:CGC16"/>
    <mergeCell ref="CGD16:CGE16"/>
    <mergeCell ref="CGF16:CGH16"/>
    <mergeCell ref="CGI16:CGK16"/>
    <mergeCell ref="CGL16:CGM16"/>
    <mergeCell ref="CFN16:CFO16"/>
    <mergeCell ref="CFP16:CFR16"/>
    <mergeCell ref="CFS16:CFU16"/>
    <mergeCell ref="CFV16:CFW16"/>
    <mergeCell ref="CFX16:CFZ16"/>
    <mergeCell ref="CEZ16:CFB16"/>
    <mergeCell ref="CFC16:CFE16"/>
    <mergeCell ref="CFF16:CFG16"/>
    <mergeCell ref="CFH16:CFJ16"/>
    <mergeCell ref="CFK16:CFM16"/>
    <mergeCell ref="CEM16:CEO16"/>
    <mergeCell ref="CEP16:CEQ16"/>
    <mergeCell ref="CER16:CET16"/>
    <mergeCell ref="CEU16:CEW16"/>
    <mergeCell ref="CEX16:CEY16"/>
    <mergeCell ref="CDZ16:CEA16"/>
    <mergeCell ref="CEB16:CED16"/>
    <mergeCell ref="CEE16:CEG16"/>
    <mergeCell ref="CEH16:CEI16"/>
    <mergeCell ref="CEJ16:CEL16"/>
    <mergeCell ref="CDL16:CDN16"/>
    <mergeCell ref="CDO16:CDQ16"/>
    <mergeCell ref="CDR16:CDS16"/>
    <mergeCell ref="CDT16:CDV16"/>
    <mergeCell ref="CDW16:CDY16"/>
    <mergeCell ref="CCY16:CDA16"/>
    <mergeCell ref="CDB16:CDC16"/>
    <mergeCell ref="CDD16:CDF16"/>
    <mergeCell ref="CDG16:CDI16"/>
    <mergeCell ref="CDJ16:CDK16"/>
    <mergeCell ref="CJP16:CJR16"/>
    <mergeCell ref="CJS16:CJU16"/>
    <mergeCell ref="CJV16:CJW16"/>
    <mergeCell ref="CJX16:CJZ16"/>
    <mergeCell ref="CKA16:CKC16"/>
    <mergeCell ref="CJC16:CJE16"/>
    <mergeCell ref="CJF16:CJG16"/>
    <mergeCell ref="CJH16:CJJ16"/>
    <mergeCell ref="CJK16:CJM16"/>
    <mergeCell ref="CJN16:CJO16"/>
    <mergeCell ref="CIP16:CIQ16"/>
    <mergeCell ref="CIR16:CIT16"/>
    <mergeCell ref="CIU16:CIW16"/>
    <mergeCell ref="CIX16:CIY16"/>
    <mergeCell ref="CIZ16:CJB16"/>
    <mergeCell ref="CIB16:CID16"/>
    <mergeCell ref="CIE16:CIG16"/>
    <mergeCell ref="CIH16:CII16"/>
    <mergeCell ref="CIJ16:CIL16"/>
    <mergeCell ref="CIM16:CIO16"/>
    <mergeCell ref="CHO16:CHQ16"/>
    <mergeCell ref="CHR16:CHS16"/>
    <mergeCell ref="CHT16:CHV16"/>
    <mergeCell ref="CHW16:CHY16"/>
    <mergeCell ref="CHZ16:CIA16"/>
    <mergeCell ref="CHB16:CHC16"/>
    <mergeCell ref="CHD16:CHF16"/>
    <mergeCell ref="CHG16:CHI16"/>
    <mergeCell ref="CHJ16:CHK16"/>
    <mergeCell ref="CHL16:CHN16"/>
    <mergeCell ref="CGN16:CGP16"/>
    <mergeCell ref="CGQ16:CGS16"/>
    <mergeCell ref="CGT16:CGU16"/>
    <mergeCell ref="CGV16:CGX16"/>
    <mergeCell ref="CGY16:CHA16"/>
    <mergeCell ref="CNF16:CNG16"/>
    <mergeCell ref="CNH16:CNJ16"/>
    <mergeCell ref="CNK16:CNM16"/>
    <mergeCell ref="CNN16:CNO16"/>
    <mergeCell ref="CNP16:CNR16"/>
    <mergeCell ref="CMR16:CMT16"/>
    <mergeCell ref="CMU16:CMW16"/>
    <mergeCell ref="CMX16:CMY16"/>
    <mergeCell ref="CMZ16:CNB16"/>
    <mergeCell ref="CNC16:CNE16"/>
    <mergeCell ref="CME16:CMG16"/>
    <mergeCell ref="CMH16:CMI16"/>
    <mergeCell ref="CMJ16:CML16"/>
    <mergeCell ref="CMM16:CMO16"/>
    <mergeCell ref="CMP16:CMQ16"/>
    <mergeCell ref="CLR16:CLS16"/>
    <mergeCell ref="CLT16:CLV16"/>
    <mergeCell ref="CLW16:CLY16"/>
    <mergeCell ref="CLZ16:CMA16"/>
    <mergeCell ref="CMB16:CMD16"/>
    <mergeCell ref="CLD16:CLF16"/>
    <mergeCell ref="CLG16:CLI16"/>
    <mergeCell ref="CLJ16:CLK16"/>
    <mergeCell ref="CLL16:CLN16"/>
    <mergeCell ref="CLO16:CLQ16"/>
    <mergeCell ref="CKQ16:CKS16"/>
    <mergeCell ref="CKT16:CKU16"/>
    <mergeCell ref="CKV16:CKX16"/>
    <mergeCell ref="CKY16:CLA16"/>
    <mergeCell ref="CLB16:CLC16"/>
    <mergeCell ref="CKD16:CKE16"/>
    <mergeCell ref="CKF16:CKH16"/>
    <mergeCell ref="CKI16:CKK16"/>
    <mergeCell ref="CKL16:CKM16"/>
    <mergeCell ref="CKN16:CKP16"/>
    <mergeCell ref="CQU16:CQW16"/>
    <mergeCell ref="CQX16:CQY16"/>
    <mergeCell ref="CQZ16:CRB16"/>
    <mergeCell ref="CRC16:CRE16"/>
    <mergeCell ref="CRF16:CRG16"/>
    <mergeCell ref="CQH16:CQI16"/>
    <mergeCell ref="CQJ16:CQL16"/>
    <mergeCell ref="CQM16:CQO16"/>
    <mergeCell ref="CQP16:CQQ16"/>
    <mergeCell ref="CQR16:CQT16"/>
    <mergeCell ref="CPT16:CPV16"/>
    <mergeCell ref="CPW16:CPY16"/>
    <mergeCell ref="CPZ16:CQA16"/>
    <mergeCell ref="CQB16:CQD16"/>
    <mergeCell ref="CQE16:CQG16"/>
    <mergeCell ref="CPG16:CPI16"/>
    <mergeCell ref="CPJ16:CPK16"/>
    <mergeCell ref="CPL16:CPN16"/>
    <mergeCell ref="CPO16:CPQ16"/>
    <mergeCell ref="CPR16:CPS16"/>
    <mergeCell ref="COT16:COU16"/>
    <mergeCell ref="COV16:COX16"/>
    <mergeCell ref="COY16:CPA16"/>
    <mergeCell ref="CPB16:CPC16"/>
    <mergeCell ref="CPD16:CPF16"/>
    <mergeCell ref="COF16:COH16"/>
    <mergeCell ref="COI16:COK16"/>
    <mergeCell ref="COL16:COM16"/>
    <mergeCell ref="CON16:COP16"/>
    <mergeCell ref="COQ16:COS16"/>
    <mergeCell ref="CNS16:CNU16"/>
    <mergeCell ref="CNV16:CNW16"/>
    <mergeCell ref="CNX16:CNZ16"/>
    <mergeCell ref="COA16:COC16"/>
    <mergeCell ref="COD16:COE16"/>
    <mergeCell ref="CUJ16:CUL16"/>
    <mergeCell ref="CUM16:CUO16"/>
    <mergeCell ref="CUP16:CUQ16"/>
    <mergeCell ref="CUR16:CUT16"/>
    <mergeCell ref="CUU16:CUW16"/>
    <mergeCell ref="CTW16:CTY16"/>
    <mergeCell ref="CTZ16:CUA16"/>
    <mergeCell ref="CUB16:CUD16"/>
    <mergeCell ref="CUE16:CUG16"/>
    <mergeCell ref="CUH16:CUI16"/>
    <mergeCell ref="CTJ16:CTK16"/>
    <mergeCell ref="CTL16:CTN16"/>
    <mergeCell ref="CTO16:CTQ16"/>
    <mergeCell ref="CTR16:CTS16"/>
    <mergeCell ref="CTT16:CTV16"/>
    <mergeCell ref="CSV16:CSX16"/>
    <mergeCell ref="CSY16:CTA16"/>
    <mergeCell ref="CTB16:CTC16"/>
    <mergeCell ref="CTD16:CTF16"/>
    <mergeCell ref="CTG16:CTI16"/>
    <mergeCell ref="CSI16:CSK16"/>
    <mergeCell ref="CSL16:CSM16"/>
    <mergeCell ref="CSN16:CSP16"/>
    <mergeCell ref="CSQ16:CSS16"/>
    <mergeCell ref="CST16:CSU16"/>
    <mergeCell ref="CRV16:CRW16"/>
    <mergeCell ref="CRX16:CRZ16"/>
    <mergeCell ref="CSA16:CSC16"/>
    <mergeCell ref="CSD16:CSE16"/>
    <mergeCell ref="CSF16:CSH16"/>
    <mergeCell ref="CRH16:CRJ16"/>
    <mergeCell ref="CRK16:CRM16"/>
    <mergeCell ref="CRN16:CRO16"/>
    <mergeCell ref="CRP16:CRR16"/>
    <mergeCell ref="CRS16:CRU16"/>
    <mergeCell ref="CXZ16:CYA16"/>
    <mergeCell ref="CYB16:CYD16"/>
    <mergeCell ref="CYE16:CYG16"/>
    <mergeCell ref="CYH16:CYI16"/>
    <mergeCell ref="CYJ16:CYL16"/>
    <mergeCell ref="CXL16:CXN16"/>
    <mergeCell ref="CXO16:CXQ16"/>
    <mergeCell ref="CXR16:CXS16"/>
    <mergeCell ref="CXT16:CXV16"/>
    <mergeCell ref="CXW16:CXY16"/>
    <mergeCell ref="CWY16:CXA16"/>
    <mergeCell ref="CXB16:CXC16"/>
    <mergeCell ref="CXD16:CXF16"/>
    <mergeCell ref="CXG16:CXI16"/>
    <mergeCell ref="CXJ16:CXK16"/>
    <mergeCell ref="CWL16:CWM16"/>
    <mergeCell ref="CWN16:CWP16"/>
    <mergeCell ref="CWQ16:CWS16"/>
    <mergeCell ref="CWT16:CWU16"/>
    <mergeCell ref="CWV16:CWX16"/>
    <mergeCell ref="CVX16:CVZ16"/>
    <mergeCell ref="CWA16:CWC16"/>
    <mergeCell ref="CWD16:CWE16"/>
    <mergeCell ref="CWF16:CWH16"/>
    <mergeCell ref="CWI16:CWK16"/>
    <mergeCell ref="CVK16:CVM16"/>
    <mergeCell ref="CVN16:CVO16"/>
    <mergeCell ref="CVP16:CVR16"/>
    <mergeCell ref="CVS16:CVU16"/>
    <mergeCell ref="CVV16:CVW16"/>
    <mergeCell ref="CUX16:CUY16"/>
    <mergeCell ref="CUZ16:CVB16"/>
    <mergeCell ref="CVC16:CVE16"/>
    <mergeCell ref="CVF16:CVG16"/>
    <mergeCell ref="CVH16:CVJ16"/>
    <mergeCell ref="DBO16:DBQ16"/>
    <mergeCell ref="DBR16:DBS16"/>
    <mergeCell ref="DBT16:DBV16"/>
    <mergeCell ref="DBW16:DBY16"/>
    <mergeCell ref="DBZ16:DCA16"/>
    <mergeCell ref="DBB16:DBC16"/>
    <mergeCell ref="DBD16:DBF16"/>
    <mergeCell ref="DBG16:DBI16"/>
    <mergeCell ref="DBJ16:DBK16"/>
    <mergeCell ref="DBL16:DBN16"/>
    <mergeCell ref="DAN16:DAP16"/>
    <mergeCell ref="DAQ16:DAS16"/>
    <mergeCell ref="DAT16:DAU16"/>
    <mergeCell ref="DAV16:DAX16"/>
    <mergeCell ref="DAY16:DBA16"/>
    <mergeCell ref="DAA16:DAC16"/>
    <mergeCell ref="DAD16:DAE16"/>
    <mergeCell ref="DAF16:DAH16"/>
    <mergeCell ref="DAI16:DAK16"/>
    <mergeCell ref="DAL16:DAM16"/>
    <mergeCell ref="CZN16:CZO16"/>
    <mergeCell ref="CZP16:CZR16"/>
    <mergeCell ref="CZS16:CZU16"/>
    <mergeCell ref="CZV16:CZW16"/>
    <mergeCell ref="CZX16:CZZ16"/>
    <mergeCell ref="CYZ16:CZB16"/>
    <mergeCell ref="CZC16:CZE16"/>
    <mergeCell ref="CZF16:CZG16"/>
    <mergeCell ref="CZH16:CZJ16"/>
    <mergeCell ref="CZK16:CZM16"/>
    <mergeCell ref="CYM16:CYO16"/>
    <mergeCell ref="CYP16:CYQ16"/>
    <mergeCell ref="CYR16:CYT16"/>
    <mergeCell ref="CYU16:CYW16"/>
    <mergeCell ref="CYX16:CYY16"/>
    <mergeCell ref="DFD16:DFF16"/>
    <mergeCell ref="DFG16:DFI16"/>
    <mergeCell ref="DFJ16:DFK16"/>
    <mergeCell ref="DFL16:DFN16"/>
    <mergeCell ref="DFO16:DFQ16"/>
    <mergeCell ref="DEQ16:DES16"/>
    <mergeCell ref="DET16:DEU16"/>
    <mergeCell ref="DEV16:DEX16"/>
    <mergeCell ref="DEY16:DFA16"/>
    <mergeCell ref="DFB16:DFC16"/>
    <mergeCell ref="DED16:DEE16"/>
    <mergeCell ref="DEF16:DEH16"/>
    <mergeCell ref="DEI16:DEK16"/>
    <mergeCell ref="DEL16:DEM16"/>
    <mergeCell ref="DEN16:DEP16"/>
    <mergeCell ref="DDP16:DDR16"/>
    <mergeCell ref="DDS16:DDU16"/>
    <mergeCell ref="DDV16:DDW16"/>
    <mergeCell ref="DDX16:DDZ16"/>
    <mergeCell ref="DEA16:DEC16"/>
    <mergeCell ref="DDC16:DDE16"/>
    <mergeCell ref="DDF16:DDG16"/>
    <mergeCell ref="DDH16:DDJ16"/>
    <mergeCell ref="DDK16:DDM16"/>
    <mergeCell ref="DDN16:DDO16"/>
    <mergeCell ref="DCP16:DCQ16"/>
    <mergeCell ref="DCR16:DCT16"/>
    <mergeCell ref="DCU16:DCW16"/>
    <mergeCell ref="DCX16:DCY16"/>
    <mergeCell ref="DCZ16:DDB16"/>
    <mergeCell ref="DCB16:DCD16"/>
    <mergeCell ref="DCE16:DCG16"/>
    <mergeCell ref="DCH16:DCI16"/>
    <mergeCell ref="DCJ16:DCL16"/>
    <mergeCell ref="DCM16:DCO16"/>
    <mergeCell ref="DIT16:DIU16"/>
    <mergeCell ref="DIV16:DIX16"/>
    <mergeCell ref="DIY16:DJA16"/>
    <mergeCell ref="DJB16:DJC16"/>
    <mergeCell ref="DJD16:DJF16"/>
    <mergeCell ref="DIF16:DIH16"/>
    <mergeCell ref="DII16:DIK16"/>
    <mergeCell ref="DIL16:DIM16"/>
    <mergeCell ref="DIN16:DIP16"/>
    <mergeCell ref="DIQ16:DIS16"/>
    <mergeCell ref="DHS16:DHU16"/>
    <mergeCell ref="DHV16:DHW16"/>
    <mergeCell ref="DHX16:DHZ16"/>
    <mergeCell ref="DIA16:DIC16"/>
    <mergeCell ref="DID16:DIE16"/>
    <mergeCell ref="DHF16:DHG16"/>
    <mergeCell ref="DHH16:DHJ16"/>
    <mergeCell ref="DHK16:DHM16"/>
    <mergeCell ref="DHN16:DHO16"/>
    <mergeCell ref="DHP16:DHR16"/>
    <mergeCell ref="DGR16:DGT16"/>
    <mergeCell ref="DGU16:DGW16"/>
    <mergeCell ref="DGX16:DGY16"/>
    <mergeCell ref="DGZ16:DHB16"/>
    <mergeCell ref="DHC16:DHE16"/>
    <mergeCell ref="DGE16:DGG16"/>
    <mergeCell ref="DGH16:DGI16"/>
    <mergeCell ref="DGJ16:DGL16"/>
    <mergeCell ref="DGM16:DGO16"/>
    <mergeCell ref="DGP16:DGQ16"/>
    <mergeCell ref="DFR16:DFS16"/>
    <mergeCell ref="DFT16:DFV16"/>
    <mergeCell ref="DFW16:DFY16"/>
    <mergeCell ref="DFZ16:DGA16"/>
    <mergeCell ref="DGB16:DGD16"/>
    <mergeCell ref="DMI16:DMK16"/>
    <mergeCell ref="DML16:DMM16"/>
    <mergeCell ref="DMN16:DMP16"/>
    <mergeCell ref="DMQ16:DMS16"/>
    <mergeCell ref="DMT16:DMU16"/>
    <mergeCell ref="DLV16:DLW16"/>
    <mergeCell ref="DLX16:DLZ16"/>
    <mergeCell ref="DMA16:DMC16"/>
    <mergeCell ref="DMD16:DME16"/>
    <mergeCell ref="DMF16:DMH16"/>
    <mergeCell ref="DLH16:DLJ16"/>
    <mergeCell ref="DLK16:DLM16"/>
    <mergeCell ref="DLN16:DLO16"/>
    <mergeCell ref="DLP16:DLR16"/>
    <mergeCell ref="DLS16:DLU16"/>
    <mergeCell ref="DKU16:DKW16"/>
    <mergeCell ref="DKX16:DKY16"/>
    <mergeCell ref="DKZ16:DLB16"/>
    <mergeCell ref="DLC16:DLE16"/>
    <mergeCell ref="DLF16:DLG16"/>
    <mergeCell ref="DKH16:DKI16"/>
    <mergeCell ref="DKJ16:DKL16"/>
    <mergeCell ref="DKM16:DKO16"/>
    <mergeCell ref="DKP16:DKQ16"/>
    <mergeCell ref="DKR16:DKT16"/>
    <mergeCell ref="DJT16:DJV16"/>
    <mergeCell ref="DJW16:DJY16"/>
    <mergeCell ref="DJZ16:DKA16"/>
    <mergeCell ref="DKB16:DKD16"/>
    <mergeCell ref="DKE16:DKG16"/>
    <mergeCell ref="DJG16:DJI16"/>
    <mergeCell ref="DJJ16:DJK16"/>
    <mergeCell ref="DJL16:DJN16"/>
    <mergeCell ref="DJO16:DJQ16"/>
    <mergeCell ref="DJR16:DJS16"/>
    <mergeCell ref="DPX16:DPZ16"/>
    <mergeCell ref="DQA16:DQC16"/>
    <mergeCell ref="DQD16:DQE16"/>
    <mergeCell ref="DQF16:DQH16"/>
    <mergeCell ref="DQI16:DQK16"/>
    <mergeCell ref="DPK16:DPM16"/>
    <mergeCell ref="DPN16:DPO16"/>
    <mergeCell ref="DPP16:DPR16"/>
    <mergeCell ref="DPS16:DPU16"/>
    <mergeCell ref="DPV16:DPW16"/>
    <mergeCell ref="DOX16:DOY16"/>
    <mergeCell ref="DOZ16:DPB16"/>
    <mergeCell ref="DPC16:DPE16"/>
    <mergeCell ref="DPF16:DPG16"/>
    <mergeCell ref="DPH16:DPJ16"/>
    <mergeCell ref="DOJ16:DOL16"/>
    <mergeCell ref="DOM16:DOO16"/>
    <mergeCell ref="DOP16:DOQ16"/>
    <mergeCell ref="DOR16:DOT16"/>
    <mergeCell ref="DOU16:DOW16"/>
    <mergeCell ref="DNW16:DNY16"/>
    <mergeCell ref="DNZ16:DOA16"/>
    <mergeCell ref="DOB16:DOD16"/>
    <mergeCell ref="DOE16:DOG16"/>
    <mergeCell ref="DOH16:DOI16"/>
    <mergeCell ref="DNJ16:DNK16"/>
    <mergeCell ref="DNL16:DNN16"/>
    <mergeCell ref="DNO16:DNQ16"/>
    <mergeCell ref="DNR16:DNS16"/>
    <mergeCell ref="DNT16:DNV16"/>
    <mergeCell ref="DMV16:DMX16"/>
    <mergeCell ref="DMY16:DNA16"/>
    <mergeCell ref="DNB16:DNC16"/>
    <mergeCell ref="DND16:DNF16"/>
    <mergeCell ref="DNG16:DNI16"/>
    <mergeCell ref="DTN16:DTO16"/>
    <mergeCell ref="DTP16:DTR16"/>
    <mergeCell ref="DTS16:DTU16"/>
    <mergeCell ref="DTV16:DTW16"/>
    <mergeCell ref="DTX16:DTZ16"/>
    <mergeCell ref="DSZ16:DTB16"/>
    <mergeCell ref="DTC16:DTE16"/>
    <mergeCell ref="DTF16:DTG16"/>
    <mergeCell ref="DTH16:DTJ16"/>
    <mergeCell ref="DTK16:DTM16"/>
    <mergeCell ref="DSM16:DSO16"/>
    <mergeCell ref="DSP16:DSQ16"/>
    <mergeCell ref="DSR16:DST16"/>
    <mergeCell ref="DSU16:DSW16"/>
    <mergeCell ref="DSX16:DSY16"/>
    <mergeCell ref="DRZ16:DSA16"/>
    <mergeCell ref="DSB16:DSD16"/>
    <mergeCell ref="DSE16:DSG16"/>
    <mergeCell ref="DSH16:DSI16"/>
    <mergeCell ref="DSJ16:DSL16"/>
    <mergeCell ref="DRL16:DRN16"/>
    <mergeCell ref="DRO16:DRQ16"/>
    <mergeCell ref="DRR16:DRS16"/>
    <mergeCell ref="DRT16:DRV16"/>
    <mergeCell ref="DRW16:DRY16"/>
    <mergeCell ref="DQY16:DRA16"/>
    <mergeCell ref="DRB16:DRC16"/>
    <mergeCell ref="DRD16:DRF16"/>
    <mergeCell ref="DRG16:DRI16"/>
    <mergeCell ref="DRJ16:DRK16"/>
    <mergeCell ref="DQL16:DQM16"/>
    <mergeCell ref="DQN16:DQP16"/>
    <mergeCell ref="DQQ16:DQS16"/>
    <mergeCell ref="DQT16:DQU16"/>
    <mergeCell ref="DQV16:DQX16"/>
    <mergeCell ref="DXC16:DXE16"/>
    <mergeCell ref="DXF16:DXG16"/>
    <mergeCell ref="DXH16:DXJ16"/>
    <mergeCell ref="DXK16:DXM16"/>
    <mergeCell ref="DXN16:DXO16"/>
    <mergeCell ref="DWP16:DWQ16"/>
    <mergeCell ref="DWR16:DWT16"/>
    <mergeCell ref="DWU16:DWW16"/>
    <mergeCell ref="DWX16:DWY16"/>
    <mergeCell ref="DWZ16:DXB16"/>
    <mergeCell ref="DWB16:DWD16"/>
    <mergeCell ref="DWE16:DWG16"/>
    <mergeCell ref="DWH16:DWI16"/>
    <mergeCell ref="DWJ16:DWL16"/>
    <mergeCell ref="DWM16:DWO16"/>
    <mergeCell ref="DVO16:DVQ16"/>
    <mergeCell ref="DVR16:DVS16"/>
    <mergeCell ref="DVT16:DVV16"/>
    <mergeCell ref="DVW16:DVY16"/>
    <mergeCell ref="DVZ16:DWA16"/>
    <mergeCell ref="DVB16:DVC16"/>
    <mergeCell ref="DVD16:DVF16"/>
    <mergeCell ref="DVG16:DVI16"/>
    <mergeCell ref="DVJ16:DVK16"/>
    <mergeCell ref="DVL16:DVN16"/>
    <mergeCell ref="DUN16:DUP16"/>
    <mergeCell ref="DUQ16:DUS16"/>
    <mergeCell ref="DUT16:DUU16"/>
    <mergeCell ref="DUV16:DUX16"/>
    <mergeCell ref="DUY16:DVA16"/>
    <mergeCell ref="DUA16:DUC16"/>
    <mergeCell ref="DUD16:DUE16"/>
    <mergeCell ref="DUF16:DUH16"/>
    <mergeCell ref="DUI16:DUK16"/>
    <mergeCell ref="DUL16:DUM16"/>
    <mergeCell ref="EAR16:EAT16"/>
    <mergeCell ref="EAU16:EAW16"/>
    <mergeCell ref="EAX16:EAY16"/>
    <mergeCell ref="EAZ16:EBB16"/>
    <mergeCell ref="EBC16:EBE16"/>
    <mergeCell ref="EAE16:EAG16"/>
    <mergeCell ref="EAH16:EAI16"/>
    <mergeCell ref="EAJ16:EAL16"/>
    <mergeCell ref="EAM16:EAO16"/>
    <mergeCell ref="EAP16:EAQ16"/>
    <mergeCell ref="DZR16:DZS16"/>
    <mergeCell ref="DZT16:DZV16"/>
    <mergeCell ref="DZW16:DZY16"/>
    <mergeCell ref="DZZ16:EAA16"/>
    <mergeCell ref="EAB16:EAD16"/>
    <mergeCell ref="DZD16:DZF16"/>
    <mergeCell ref="DZG16:DZI16"/>
    <mergeCell ref="DZJ16:DZK16"/>
    <mergeCell ref="DZL16:DZN16"/>
    <mergeCell ref="DZO16:DZQ16"/>
    <mergeCell ref="DYQ16:DYS16"/>
    <mergeCell ref="DYT16:DYU16"/>
    <mergeCell ref="DYV16:DYX16"/>
    <mergeCell ref="DYY16:DZA16"/>
    <mergeCell ref="DZB16:DZC16"/>
    <mergeCell ref="DYD16:DYE16"/>
    <mergeCell ref="DYF16:DYH16"/>
    <mergeCell ref="DYI16:DYK16"/>
    <mergeCell ref="DYL16:DYM16"/>
    <mergeCell ref="DYN16:DYP16"/>
    <mergeCell ref="DXP16:DXR16"/>
    <mergeCell ref="DXS16:DXU16"/>
    <mergeCell ref="DXV16:DXW16"/>
    <mergeCell ref="DXX16:DXZ16"/>
    <mergeCell ref="DYA16:DYC16"/>
    <mergeCell ref="EEH16:EEI16"/>
    <mergeCell ref="EEJ16:EEL16"/>
    <mergeCell ref="EEM16:EEO16"/>
    <mergeCell ref="EEP16:EEQ16"/>
    <mergeCell ref="EER16:EET16"/>
    <mergeCell ref="EDT16:EDV16"/>
    <mergeCell ref="EDW16:EDY16"/>
    <mergeCell ref="EDZ16:EEA16"/>
    <mergeCell ref="EEB16:EED16"/>
    <mergeCell ref="EEE16:EEG16"/>
    <mergeCell ref="EDG16:EDI16"/>
    <mergeCell ref="EDJ16:EDK16"/>
    <mergeCell ref="EDL16:EDN16"/>
    <mergeCell ref="EDO16:EDQ16"/>
    <mergeCell ref="EDR16:EDS16"/>
    <mergeCell ref="ECT16:ECU16"/>
    <mergeCell ref="ECV16:ECX16"/>
    <mergeCell ref="ECY16:EDA16"/>
    <mergeCell ref="EDB16:EDC16"/>
    <mergeCell ref="EDD16:EDF16"/>
    <mergeCell ref="ECF16:ECH16"/>
    <mergeCell ref="ECI16:ECK16"/>
    <mergeCell ref="ECL16:ECM16"/>
    <mergeCell ref="ECN16:ECP16"/>
    <mergeCell ref="ECQ16:ECS16"/>
    <mergeCell ref="EBS16:EBU16"/>
    <mergeCell ref="EBV16:EBW16"/>
    <mergeCell ref="EBX16:EBZ16"/>
    <mergeCell ref="ECA16:ECC16"/>
    <mergeCell ref="ECD16:ECE16"/>
    <mergeCell ref="EBF16:EBG16"/>
    <mergeCell ref="EBH16:EBJ16"/>
    <mergeCell ref="EBK16:EBM16"/>
    <mergeCell ref="EBN16:EBO16"/>
    <mergeCell ref="EBP16:EBR16"/>
    <mergeCell ref="EHW16:EHY16"/>
    <mergeCell ref="EHZ16:EIA16"/>
    <mergeCell ref="EIB16:EID16"/>
    <mergeCell ref="EIE16:EIG16"/>
    <mergeCell ref="EIH16:EII16"/>
    <mergeCell ref="EHJ16:EHK16"/>
    <mergeCell ref="EHL16:EHN16"/>
    <mergeCell ref="EHO16:EHQ16"/>
    <mergeCell ref="EHR16:EHS16"/>
    <mergeCell ref="EHT16:EHV16"/>
    <mergeCell ref="EGV16:EGX16"/>
    <mergeCell ref="EGY16:EHA16"/>
    <mergeCell ref="EHB16:EHC16"/>
    <mergeCell ref="EHD16:EHF16"/>
    <mergeCell ref="EHG16:EHI16"/>
    <mergeCell ref="EGI16:EGK16"/>
    <mergeCell ref="EGL16:EGM16"/>
    <mergeCell ref="EGN16:EGP16"/>
    <mergeCell ref="EGQ16:EGS16"/>
    <mergeCell ref="EGT16:EGU16"/>
    <mergeCell ref="EFV16:EFW16"/>
    <mergeCell ref="EFX16:EFZ16"/>
    <mergeCell ref="EGA16:EGC16"/>
    <mergeCell ref="EGD16:EGE16"/>
    <mergeCell ref="EGF16:EGH16"/>
    <mergeCell ref="EFH16:EFJ16"/>
    <mergeCell ref="EFK16:EFM16"/>
    <mergeCell ref="EFN16:EFO16"/>
    <mergeCell ref="EFP16:EFR16"/>
    <mergeCell ref="EFS16:EFU16"/>
    <mergeCell ref="EEU16:EEW16"/>
    <mergeCell ref="EEX16:EEY16"/>
    <mergeCell ref="EEZ16:EFB16"/>
    <mergeCell ref="EFC16:EFE16"/>
    <mergeCell ref="EFF16:EFG16"/>
    <mergeCell ref="ELL16:ELN16"/>
    <mergeCell ref="ELO16:ELQ16"/>
    <mergeCell ref="ELR16:ELS16"/>
    <mergeCell ref="ELT16:ELV16"/>
    <mergeCell ref="ELW16:ELY16"/>
    <mergeCell ref="EKY16:ELA16"/>
    <mergeCell ref="ELB16:ELC16"/>
    <mergeCell ref="ELD16:ELF16"/>
    <mergeCell ref="ELG16:ELI16"/>
    <mergeCell ref="ELJ16:ELK16"/>
    <mergeCell ref="EKL16:EKM16"/>
    <mergeCell ref="EKN16:EKP16"/>
    <mergeCell ref="EKQ16:EKS16"/>
    <mergeCell ref="EKT16:EKU16"/>
    <mergeCell ref="EKV16:EKX16"/>
    <mergeCell ref="EJX16:EJZ16"/>
    <mergeCell ref="EKA16:EKC16"/>
    <mergeCell ref="EKD16:EKE16"/>
    <mergeCell ref="EKF16:EKH16"/>
    <mergeCell ref="EKI16:EKK16"/>
    <mergeCell ref="EJK16:EJM16"/>
    <mergeCell ref="EJN16:EJO16"/>
    <mergeCell ref="EJP16:EJR16"/>
    <mergeCell ref="EJS16:EJU16"/>
    <mergeCell ref="EJV16:EJW16"/>
    <mergeCell ref="EIX16:EIY16"/>
    <mergeCell ref="EIZ16:EJB16"/>
    <mergeCell ref="EJC16:EJE16"/>
    <mergeCell ref="EJF16:EJG16"/>
    <mergeCell ref="EJH16:EJJ16"/>
    <mergeCell ref="EIJ16:EIL16"/>
    <mergeCell ref="EIM16:EIO16"/>
    <mergeCell ref="EIP16:EIQ16"/>
    <mergeCell ref="EIR16:EIT16"/>
    <mergeCell ref="EIU16:EIW16"/>
    <mergeCell ref="EPB16:EPC16"/>
    <mergeCell ref="EPD16:EPF16"/>
    <mergeCell ref="EPG16:EPI16"/>
    <mergeCell ref="EPJ16:EPK16"/>
    <mergeCell ref="EPL16:EPN16"/>
    <mergeCell ref="EON16:EOP16"/>
    <mergeCell ref="EOQ16:EOS16"/>
    <mergeCell ref="EOT16:EOU16"/>
    <mergeCell ref="EOV16:EOX16"/>
    <mergeCell ref="EOY16:EPA16"/>
    <mergeCell ref="EOA16:EOC16"/>
    <mergeCell ref="EOD16:EOE16"/>
    <mergeCell ref="EOF16:EOH16"/>
    <mergeCell ref="EOI16:EOK16"/>
    <mergeCell ref="EOL16:EOM16"/>
    <mergeCell ref="ENN16:ENO16"/>
    <mergeCell ref="ENP16:ENR16"/>
    <mergeCell ref="ENS16:ENU16"/>
    <mergeCell ref="ENV16:ENW16"/>
    <mergeCell ref="ENX16:ENZ16"/>
    <mergeCell ref="EMZ16:ENB16"/>
    <mergeCell ref="ENC16:ENE16"/>
    <mergeCell ref="ENF16:ENG16"/>
    <mergeCell ref="ENH16:ENJ16"/>
    <mergeCell ref="ENK16:ENM16"/>
    <mergeCell ref="EMM16:EMO16"/>
    <mergeCell ref="EMP16:EMQ16"/>
    <mergeCell ref="EMR16:EMT16"/>
    <mergeCell ref="EMU16:EMW16"/>
    <mergeCell ref="EMX16:EMY16"/>
    <mergeCell ref="ELZ16:EMA16"/>
    <mergeCell ref="EMB16:EMD16"/>
    <mergeCell ref="EME16:EMG16"/>
    <mergeCell ref="EMH16:EMI16"/>
    <mergeCell ref="EMJ16:EML16"/>
    <mergeCell ref="ESQ16:ESS16"/>
    <mergeCell ref="EST16:ESU16"/>
    <mergeCell ref="ESV16:ESX16"/>
    <mergeCell ref="ESY16:ETA16"/>
    <mergeCell ref="ETB16:ETC16"/>
    <mergeCell ref="ESD16:ESE16"/>
    <mergeCell ref="ESF16:ESH16"/>
    <mergeCell ref="ESI16:ESK16"/>
    <mergeCell ref="ESL16:ESM16"/>
    <mergeCell ref="ESN16:ESP16"/>
    <mergeCell ref="ERP16:ERR16"/>
    <mergeCell ref="ERS16:ERU16"/>
    <mergeCell ref="ERV16:ERW16"/>
    <mergeCell ref="ERX16:ERZ16"/>
    <mergeCell ref="ESA16:ESC16"/>
    <mergeCell ref="ERC16:ERE16"/>
    <mergeCell ref="ERF16:ERG16"/>
    <mergeCell ref="ERH16:ERJ16"/>
    <mergeCell ref="ERK16:ERM16"/>
    <mergeCell ref="ERN16:ERO16"/>
    <mergeCell ref="EQP16:EQQ16"/>
    <mergeCell ref="EQR16:EQT16"/>
    <mergeCell ref="EQU16:EQW16"/>
    <mergeCell ref="EQX16:EQY16"/>
    <mergeCell ref="EQZ16:ERB16"/>
    <mergeCell ref="EQB16:EQD16"/>
    <mergeCell ref="EQE16:EQG16"/>
    <mergeCell ref="EQH16:EQI16"/>
    <mergeCell ref="EQJ16:EQL16"/>
    <mergeCell ref="EQM16:EQO16"/>
    <mergeCell ref="EPO16:EPQ16"/>
    <mergeCell ref="EPR16:EPS16"/>
    <mergeCell ref="EPT16:EPV16"/>
    <mergeCell ref="EPW16:EPY16"/>
    <mergeCell ref="EPZ16:EQA16"/>
    <mergeCell ref="EWF16:EWH16"/>
    <mergeCell ref="EWI16:EWK16"/>
    <mergeCell ref="EWL16:EWM16"/>
    <mergeCell ref="EWN16:EWP16"/>
    <mergeCell ref="EWQ16:EWS16"/>
    <mergeCell ref="EVS16:EVU16"/>
    <mergeCell ref="EVV16:EVW16"/>
    <mergeCell ref="EVX16:EVZ16"/>
    <mergeCell ref="EWA16:EWC16"/>
    <mergeCell ref="EWD16:EWE16"/>
    <mergeCell ref="EVF16:EVG16"/>
    <mergeCell ref="EVH16:EVJ16"/>
    <mergeCell ref="EVK16:EVM16"/>
    <mergeCell ref="EVN16:EVO16"/>
    <mergeCell ref="EVP16:EVR16"/>
    <mergeCell ref="EUR16:EUT16"/>
    <mergeCell ref="EUU16:EUW16"/>
    <mergeCell ref="EUX16:EUY16"/>
    <mergeCell ref="EUZ16:EVB16"/>
    <mergeCell ref="EVC16:EVE16"/>
    <mergeCell ref="EUE16:EUG16"/>
    <mergeCell ref="EUH16:EUI16"/>
    <mergeCell ref="EUJ16:EUL16"/>
    <mergeCell ref="EUM16:EUO16"/>
    <mergeCell ref="EUP16:EUQ16"/>
    <mergeCell ref="ETR16:ETS16"/>
    <mergeCell ref="ETT16:ETV16"/>
    <mergeCell ref="ETW16:ETY16"/>
    <mergeCell ref="ETZ16:EUA16"/>
    <mergeCell ref="EUB16:EUD16"/>
    <mergeCell ref="ETD16:ETF16"/>
    <mergeCell ref="ETG16:ETI16"/>
    <mergeCell ref="ETJ16:ETK16"/>
    <mergeCell ref="ETL16:ETN16"/>
    <mergeCell ref="ETO16:ETQ16"/>
    <mergeCell ref="EZV16:EZW16"/>
    <mergeCell ref="EZX16:EZZ16"/>
    <mergeCell ref="FAA16:FAC16"/>
    <mergeCell ref="FAD16:FAE16"/>
    <mergeCell ref="FAF16:FAH16"/>
    <mergeCell ref="EZH16:EZJ16"/>
    <mergeCell ref="EZK16:EZM16"/>
    <mergeCell ref="EZN16:EZO16"/>
    <mergeCell ref="EZP16:EZR16"/>
    <mergeCell ref="EZS16:EZU16"/>
    <mergeCell ref="EYU16:EYW16"/>
    <mergeCell ref="EYX16:EYY16"/>
    <mergeCell ref="EYZ16:EZB16"/>
    <mergeCell ref="EZC16:EZE16"/>
    <mergeCell ref="EZF16:EZG16"/>
    <mergeCell ref="EYH16:EYI16"/>
    <mergeCell ref="EYJ16:EYL16"/>
    <mergeCell ref="EYM16:EYO16"/>
    <mergeCell ref="EYP16:EYQ16"/>
    <mergeCell ref="EYR16:EYT16"/>
    <mergeCell ref="EXT16:EXV16"/>
    <mergeCell ref="EXW16:EXY16"/>
    <mergeCell ref="EXZ16:EYA16"/>
    <mergeCell ref="EYB16:EYD16"/>
    <mergeCell ref="EYE16:EYG16"/>
    <mergeCell ref="EXG16:EXI16"/>
    <mergeCell ref="EXJ16:EXK16"/>
    <mergeCell ref="EXL16:EXN16"/>
    <mergeCell ref="EXO16:EXQ16"/>
    <mergeCell ref="EXR16:EXS16"/>
    <mergeCell ref="EWT16:EWU16"/>
    <mergeCell ref="EWV16:EWX16"/>
    <mergeCell ref="EWY16:EXA16"/>
    <mergeCell ref="EXB16:EXC16"/>
    <mergeCell ref="EXD16:EXF16"/>
    <mergeCell ref="FDK16:FDM16"/>
    <mergeCell ref="FDN16:FDO16"/>
    <mergeCell ref="FDP16:FDR16"/>
    <mergeCell ref="FDS16:FDU16"/>
    <mergeCell ref="FDV16:FDW16"/>
    <mergeCell ref="FCX16:FCY16"/>
    <mergeCell ref="FCZ16:FDB16"/>
    <mergeCell ref="FDC16:FDE16"/>
    <mergeCell ref="FDF16:FDG16"/>
    <mergeCell ref="FDH16:FDJ16"/>
    <mergeCell ref="FCJ16:FCL16"/>
    <mergeCell ref="FCM16:FCO16"/>
    <mergeCell ref="FCP16:FCQ16"/>
    <mergeCell ref="FCR16:FCT16"/>
    <mergeCell ref="FCU16:FCW16"/>
    <mergeCell ref="FBW16:FBY16"/>
    <mergeCell ref="FBZ16:FCA16"/>
    <mergeCell ref="FCB16:FCD16"/>
    <mergeCell ref="FCE16:FCG16"/>
    <mergeCell ref="FCH16:FCI16"/>
    <mergeCell ref="FBJ16:FBK16"/>
    <mergeCell ref="FBL16:FBN16"/>
    <mergeCell ref="FBO16:FBQ16"/>
    <mergeCell ref="FBR16:FBS16"/>
    <mergeCell ref="FBT16:FBV16"/>
    <mergeCell ref="FAV16:FAX16"/>
    <mergeCell ref="FAY16:FBA16"/>
    <mergeCell ref="FBB16:FBC16"/>
    <mergeCell ref="FBD16:FBF16"/>
    <mergeCell ref="FBG16:FBI16"/>
    <mergeCell ref="FAI16:FAK16"/>
    <mergeCell ref="FAL16:FAM16"/>
    <mergeCell ref="FAN16:FAP16"/>
    <mergeCell ref="FAQ16:FAS16"/>
    <mergeCell ref="FAT16:FAU16"/>
    <mergeCell ref="FGZ16:FHB16"/>
    <mergeCell ref="FHC16:FHE16"/>
    <mergeCell ref="FHF16:FHG16"/>
    <mergeCell ref="FHH16:FHJ16"/>
    <mergeCell ref="FHK16:FHM16"/>
    <mergeCell ref="FGM16:FGO16"/>
    <mergeCell ref="FGP16:FGQ16"/>
    <mergeCell ref="FGR16:FGT16"/>
    <mergeCell ref="FGU16:FGW16"/>
    <mergeCell ref="FGX16:FGY16"/>
    <mergeCell ref="FFZ16:FGA16"/>
    <mergeCell ref="FGB16:FGD16"/>
    <mergeCell ref="FGE16:FGG16"/>
    <mergeCell ref="FGH16:FGI16"/>
    <mergeCell ref="FGJ16:FGL16"/>
    <mergeCell ref="FFL16:FFN16"/>
    <mergeCell ref="FFO16:FFQ16"/>
    <mergeCell ref="FFR16:FFS16"/>
    <mergeCell ref="FFT16:FFV16"/>
    <mergeCell ref="FFW16:FFY16"/>
    <mergeCell ref="FEY16:FFA16"/>
    <mergeCell ref="FFB16:FFC16"/>
    <mergeCell ref="FFD16:FFF16"/>
    <mergeCell ref="FFG16:FFI16"/>
    <mergeCell ref="FFJ16:FFK16"/>
    <mergeCell ref="FEL16:FEM16"/>
    <mergeCell ref="FEN16:FEP16"/>
    <mergeCell ref="FEQ16:FES16"/>
    <mergeCell ref="FET16:FEU16"/>
    <mergeCell ref="FEV16:FEX16"/>
    <mergeCell ref="FDX16:FDZ16"/>
    <mergeCell ref="FEA16:FEC16"/>
    <mergeCell ref="FED16:FEE16"/>
    <mergeCell ref="FEF16:FEH16"/>
    <mergeCell ref="FEI16:FEK16"/>
    <mergeCell ref="FKP16:FKQ16"/>
    <mergeCell ref="FKR16:FKT16"/>
    <mergeCell ref="FKU16:FKW16"/>
    <mergeCell ref="FKX16:FKY16"/>
    <mergeCell ref="FKZ16:FLB16"/>
    <mergeCell ref="FKB16:FKD16"/>
    <mergeCell ref="FKE16:FKG16"/>
    <mergeCell ref="FKH16:FKI16"/>
    <mergeCell ref="FKJ16:FKL16"/>
    <mergeCell ref="FKM16:FKO16"/>
    <mergeCell ref="FJO16:FJQ16"/>
    <mergeCell ref="FJR16:FJS16"/>
    <mergeCell ref="FJT16:FJV16"/>
    <mergeCell ref="FJW16:FJY16"/>
    <mergeCell ref="FJZ16:FKA16"/>
    <mergeCell ref="FJB16:FJC16"/>
    <mergeCell ref="FJD16:FJF16"/>
    <mergeCell ref="FJG16:FJI16"/>
    <mergeCell ref="FJJ16:FJK16"/>
    <mergeCell ref="FJL16:FJN16"/>
    <mergeCell ref="FIN16:FIP16"/>
    <mergeCell ref="FIQ16:FIS16"/>
    <mergeCell ref="FIT16:FIU16"/>
    <mergeCell ref="FIV16:FIX16"/>
    <mergeCell ref="FIY16:FJA16"/>
    <mergeCell ref="FIA16:FIC16"/>
    <mergeCell ref="FID16:FIE16"/>
    <mergeCell ref="FIF16:FIH16"/>
    <mergeCell ref="FII16:FIK16"/>
    <mergeCell ref="FIL16:FIM16"/>
    <mergeCell ref="FHN16:FHO16"/>
    <mergeCell ref="FHP16:FHR16"/>
    <mergeCell ref="FHS16:FHU16"/>
    <mergeCell ref="FHV16:FHW16"/>
    <mergeCell ref="FHX16:FHZ16"/>
    <mergeCell ref="FOE16:FOG16"/>
    <mergeCell ref="FOH16:FOI16"/>
    <mergeCell ref="FOJ16:FOL16"/>
    <mergeCell ref="FOM16:FOO16"/>
    <mergeCell ref="FOP16:FOQ16"/>
    <mergeCell ref="FNR16:FNS16"/>
    <mergeCell ref="FNT16:FNV16"/>
    <mergeCell ref="FNW16:FNY16"/>
    <mergeCell ref="FNZ16:FOA16"/>
    <mergeCell ref="FOB16:FOD16"/>
    <mergeCell ref="FND16:FNF16"/>
    <mergeCell ref="FNG16:FNI16"/>
    <mergeCell ref="FNJ16:FNK16"/>
    <mergeCell ref="FNL16:FNN16"/>
    <mergeCell ref="FNO16:FNQ16"/>
    <mergeCell ref="FMQ16:FMS16"/>
    <mergeCell ref="FMT16:FMU16"/>
    <mergeCell ref="FMV16:FMX16"/>
    <mergeCell ref="FMY16:FNA16"/>
    <mergeCell ref="FNB16:FNC16"/>
    <mergeCell ref="FMD16:FME16"/>
    <mergeCell ref="FMF16:FMH16"/>
    <mergeCell ref="FMI16:FMK16"/>
    <mergeCell ref="FML16:FMM16"/>
    <mergeCell ref="FMN16:FMP16"/>
    <mergeCell ref="FLP16:FLR16"/>
    <mergeCell ref="FLS16:FLU16"/>
    <mergeCell ref="FLV16:FLW16"/>
    <mergeCell ref="FLX16:FLZ16"/>
    <mergeCell ref="FMA16:FMC16"/>
    <mergeCell ref="FLC16:FLE16"/>
    <mergeCell ref="FLF16:FLG16"/>
    <mergeCell ref="FLH16:FLJ16"/>
    <mergeCell ref="FLK16:FLM16"/>
    <mergeCell ref="FLN16:FLO16"/>
    <mergeCell ref="FRT16:FRV16"/>
    <mergeCell ref="FRW16:FRY16"/>
    <mergeCell ref="FRZ16:FSA16"/>
    <mergeCell ref="FSB16:FSD16"/>
    <mergeCell ref="FSE16:FSG16"/>
    <mergeCell ref="FRG16:FRI16"/>
    <mergeCell ref="FRJ16:FRK16"/>
    <mergeCell ref="FRL16:FRN16"/>
    <mergeCell ref="FRO16:FRQ16"/>
    <mergeCell ref="FRR16:FRS16"/>
    <mergeCell ref="FQT16:FQU16"/>
    <mergeCell ref="FQV16:FQX16"/>
    <mergeCell ref="FQY16:FRA16"/>
    <mergeCell ref="FRB16:FRC16"/>
    <mergeCell ref="FRD16:FRF16"/>
    <mergeCell ref="FQF16:FQH16"/>
    <mergeCell ref="FQI16:FQK16"/>
    <mergeCell ref="FQL16:FQM16"/>
    <mergeCell ref="FQN16:FQP16"/>
    <mergeCell ref="FQQ16:FQS16"/>
    <mergeCell ref="FPS16:FPU16"/>
    <mergeCell ref="FPV16:FPW16"/>
    <mergeCell ref="FPX16:FPZ16"/>
    <mergeCell ref="FQA16:FQC16"/>
    <mergeCell ref="FQD16:FQE16"/>
    <mergeCell ref="FPF16:FPG16"/>
    <mergeCell ref="FPH16:FPJ16"/>
    <mergeCell ref="FPK16:FPM16"/>
    <mergeCell ref="FPN16:FPO16"/>
    <mergeCell ref="FPP16:FPR16"/>
    <mergeCell ref="FOR16:FOT16"/>
    <mergeCell ref="FOU16:FOW16"/>
    <mergeCell ref="FOX16:FOY16"/>
    <mergeCell ref="FOZ16:FPB16"/>
    <mergeCell ref="FPC16:FPE16"/>
    <mergeCell ref="FVJ16:FVK16"/>
    <mergeCell ref="FVL16:FVN16"/>
    <mergeCell ref="FVO16:FVQ16"/>
    <mergeCell ref="FVR16:FVS16"/>
    <mergeCell ref="FVT16:FVV16"/>
    <mergeCell ref="FUV16:FUX16"/>
    <mergeCell ref="FUY16:FVA16"/>
    <mergeCell ref="FVB16:FVC16"/>
    <mergeCell ref="FVD16:FVF16"/>
    <mergeCell ref="FVG16:FVI16"/>
    <mergeCell ref="FUI16:FUK16"/>
    <mergeCell ref="FUL16:FUM16"/>
    <mergeCell ref="FUN16:FUP16"/>
    <mergeCell ref="FUQ16:FUS16"/>
    <mergeCell ref="FUT16:FUU16"/>
    <mergeCell ref="FTV16:FTW16"/>
    <mergeCell ref="FTX16:FTZ16"/>
    <mergeCell ref="FUA16:FUC16"/>
    <mergeCell ref="FUD16:FUE16"/>
    <mergeCell ref="FUF16:FUH16"/>
    <mergeCell ref="FTH16:FTJ16"/>
    <mergeCell ref="FTK16:FTM16"/>
    <mergeCell ref="FTN16:FTO16"/>
    <mergeCell ref="FTP16:FTR16"/>
    <mergeCell ref="FTS16:FTU16"/>
    <mergeCell ref="FSU16:FSW16"/>
    <mergeCell ref="FSX16:FSY16"/>
    <mergeCell ref="FSZ16:FTB16"/>
    <mergeCell ref="FTC16:FTE16"/>
    <mergeCell ref="FTF16:FTG16"/>
    <mergeCell ref="FSH16:FSI16"/>
    <mergeCell ref="FSJ16:FSL16"/>
    <mergeCell ref="FSM16:FSO16"/>
    <mergeCell ref="FSP16:FSQ16"/>
    <mergeCell ref="FSR16:FST16"/>
    <mergeCell ref="FYY16:FZA16"/>
    <mergeCell ref="FZB16:FZC16"/>
    <mergeCell ref="FZD16:FZF16"/>
    <mergeCell ref="FZG16:FZI16"/>
    <mergeCell ref="FZJ16:FZK16"/>
    <mergeCell ref="FYL16:FYM16"/>
    <mergeCell ref="FYN16:FYP16"/>
    <mergeCell ref="FYQ16:FYS16"/>
    <mergeCell ref="FYT16:FYU16"/>
    <mergeCell ref="FYV16:FYX16"/>
    <mergeCell ref="FXX16:FXZ16"/>
    <mergeCell ref="FYA16:FYC16"/>
    <mergeCell ref="FYD16:FYE16"/>
    <mergeCell ref="FYF16:FYH16"/>
    <mergeCell ref="FYI16:FYK16"/>
    <mergeCell ref="FXK16:FXM16"/>
    <mergeCell ref="FXN16:FXO16"/>
    <mergeCell ref="FXP16:FXR16"/>
    <mergeCell ref="FXS16:FXU16"/>
    <mergeCell ref="FXV16:FXW16"/>
    <mergeCell ref="FWX16:FWY16"/>
    <mergeCell ref="FWZ16:FXB16"/>
    <mergeCell ref="FXC16:FXE16"/>
    <mergeCell ref="FXF16:FXG16"/>
    <mergeCell ref="FXH16:FXJ16"/>
    <mergeCell ref="FWJ16:FWL16"/>
    <mergeCell ref="FWM16:FWO16"/>
    <mergeCell ref="FWP16:FWQ16"/>
    <mergeCell ref="FWR16:FWT16"/>
    <mergeCell ref="FWU16:FWW16"/>
    <mergeCell ref="FVW16:FVY16"/>
    <mergeCell ref="FVZ16:FWA16"/>
    <mergeCell ref="FWB16:FWD16"/>
    <mergeCell ref="FWE16:FWG16"/>
    <mergeCell ref="FWH16:FWI16"/>
    <mergeCell ref="GCN16:GCP16"/>
    <mergeCell ref="GCQ16:GCS16"/>
    <mergeCell ref="GCT16:GCU16"/>
    <mergeCell ref="GCV16:GCX16"/>
    <mergeCell ref="GCY16:GDA16"/>
    <mergeCell ref="GCA16:GCC16"/>
    <mergeCell ref="GCD16:GCE16"/>
    <mergeCell ref="GCF16:GCH16"/>
    <mergeCell ref="GCI16:GCK16"/>
    <mergeCell ref="GCL16:GCM16"/>
    <mergeCell ref="GBN16:GBO16"/>
    <mergeCell ref="GBP16:GBR16"/>
    <mergeCell ref="GBS16:GBU16"/>
    <mergeCell ref="GBV16:GBW16"/>
    <mergeCell ref="GBX16:GBZ16"/>
    <mergeCell ref="GAZ16:GBB16"/>
    <mergeCell ref="GBC16:GBE16"/>
    <mergeCell ref="GBF16:GBG16"/>
    <mergeCell ref="GBH16:GBJ16"/>
    <mergeCell ref="GBK16:GBM16"/>
    <mergeCell ref="GAM16:GAO16"/>
    <mergeCell ref="GAP16:GAQ16"/>
    <mergeCell ref="GAR16:GAT16"/>
    <mergeCell ref="GAU16:GAW16"/>
    <mergeCell ref="GAX16:GAY16"/>
    <mergeCell ref="FZZ16:GAA16"/>
    <mergeCell ref="GAB16:GAD16"/>
    <mergeCell ref="GAE16:GAG16"/>
    <mergeCell ref="GAH16:GAI16"/>
    <mergeCell ref="GAJ16:GAL16"/>
    <mergeCell ref="FZL16:FZN16"/>
    <mergeCell ref="FZO16:FZQ16"/>
    <mergeCell ref="FZR16:FZS16"/>
    <mergeCell ref="FZT16:FZV16"/>
    <mergeCell ref="FZW16:FZY16"/>
    <mergeCell ref="GGD16:GGE16"/>
    <mergeCell ref="GGF16:GGH16"/>
    <mergeCell ref="GGI16:GGK16"/>
    <mergeCell ref="GGL16:GGM16"/>
    <mergeCell ref="GGN16:GGP16"/>
    <mergeCell ref="GFP16:GFR16"/>
    <mergeCell ref="GFS16:GFU16"/>
    <mergeCell ref="GFV16:GFW16"/>
    <mergeCell ref="GFX16:GFZ16"/>
    <mergeCell ref="GGA16:GGC16"/>
    <mergeCell ref="GFC16:GFE16"/>
    <mergeCell ref="GFF16:GFG16"/>
    <mergeCell ref="GFH16:GFJ16"/>
    <mergeCell ref="GFK16:GFM16"/>
    <mergeCell ref="GFN16:GFO16"/>
    <mergeCell ref="GEP16:GEQ16"/>
    <mergeCell ref="GER16:GET16"/>
    <mergeCell ref="GEU16:GEW16"/>
    <mergeCell ref="GEX16:GEY16"/>
    <mergeCell ref="GEZ16:GFB16"/>
    <mergeCell ref="GEB16:GED16"/>
    <mergeCell ref="GEE16:GEG16"/>
    <mergeCell ref="GEH16:GEI16"/>
    <mergeCell ref="GEJ16:GEL16"/>
    <mergeCell ref="GEM16:GEO16"/>
    <mergeCell ref="GDO16:GDQ16"/>
    <mergeCell ref="GDR16:GDS16"/>
    <mergeCell ref="GDT16:GDV16"/>
    <mergeCell ref="GDW16:GDY16"/>
    <mergeCell ref="GDZ16:GEA16"/>
    <mergeCell ref="GDB16:GDC16"/>
    <mergeCell ref="GDD16:GDF16"/>
    <mergeCell ref="GDG16:GDI16"/>
    <mergeCell ref="GDJ16:GDK16"/>
    <mergeCell ref="GDL16:GDN16"/>
    <mergeCell ref="GJS16:GJU16"/>
    <mergeCell ref="GJV16:GJW16"/>
    <mergeCell ref="GJX16:GJZ16"/>
    <mergeCell ref="GKA16:GKC16"/>
    <mergeCell ref="GKD16:GKE16"/>
    <mergeCell ref="GJF16:GJG16"/>
    <mergeCell ref="GJH16:GJJ16"/>
    <mergeCell ref="GJK16:GJM16"/>
    <mergeCell ref="GJN16:GJO16"/>
    <mergeCell ref="GJP16:GJR16"/>
    <mergeCell ref="GIR16:GIT16"/>
    <mergeCell ref="GIU16:GIW16"/>
    <mergeCell ref="GIX16:GIY16"/>
    <mergeCell ref="GIZ16:GJB16"/>
    <mergeCell ref="GJC16:GJE16"/>
    <mergeCell ref="GIE16:GIG16"/>
    <mergeCell ref="GIH16:GII16"/>
    <mergeCell ref="GIJ16:GIL16"/>
    <mergeCell ref="GIM16:GIO16"/>
    <mergeCell ref="GIP16:GIQ16"/>
    <mergeCell ref="GHR16:GHS16"/>
    <mergeCell ref="GHT16:GHV16"/>
    <mergeCell ref="GHW16:GHY16"/>
    <mergeCell ref="GHZ16:GIA16"/>
    <mergeCell ref="GIB16:GID16"/>
    <mergeCell ref="GHD16:GHF16"/>
    <mergeCell ref="GHG16:GHI16"/>
    <mergeCell ref="GHJ16:GHK16"/>
    <mergeCell ref="GHL16:GHN16"/>
    <mergeCell ref="GHO16:GHQ16"/>
    <mergeCell ref="GGQ16:GGS16"/>
    <mergeCell ref="GGT16:GGU16"/>
    <mergeCell ref="GGV16:GGX16"/>
    <mergeCell ref="GGY16:GHA16"/>
    <mergeCell ref="GHB16:GHC16"/>
    <mergeCell ref="GNH16:GNJ16"/>
    <mergeCell ref="GNK16:GNM16"/>
    <mergeCell ref="GNN16:GNO16"/>
    <mergeCell ref="GNP16:GNR16"/>
    <mergeCell ref="GNS16:GNU16"/>
    <mergeCell ref="GMU16:GMW16"/>
    <mergeCell ref="GMX16:GMY16"/>
    <mergeCell ref="GMZ16:GNB16"/>
    <mergeCell ref="GNC16:GNE16"/>
    <mergeCell ref="GNF16:GNG16"/>
    <mergeCell ref="GMH16:GMI16"/>
    <mergeCell ref="GMJ16:GML16"/>
    <mergeCell ref="GMM16:GMO16"/>
    <mergeCell ref="GMP16:GMQ16"/>
    <mergeCell ref="GMR16:GMT16"/>
    <mergeCell ref="GLT16:GLV16"/>
    <mergeCell ref="GLW16:GLY16"/>
    <mergeCell ref="GLZ16:GMA16"/>
    <mergeCell ref="GMB16:GMD16"/>
    <mergeCell ref="GME16:GMG16"/>
    <mergeCell ref="GLG16:GLI16"/>
    <mergeCell ref="GLJ16:GLK16"/>
    <mergeCell ref="GLL16:GLN16"/>
    <mergeCell ref="GLO16:GLQ16"/>
    <mergeCell ref="GLR16:GLS16"/>
    <mergeCell ref="GKT16:GKU16"/>
    <mergeCell ref="GKV16:GKX16"/>
    <mergeCell ref="GKY16:GLA16"/>
    <mergeCell ref="GLB16:GLC16"/>
    <mergeCell ref="GLD16:GLF16"/>
    <mergeCell ref="GKF16:GKH16"/>
    <mergeCell ref="GKI16:GKK16"/>
    <mergeCell ref="GKL16:GKM16"/>
    <mergeCell ref="GKN16:GKP16"/>
    <mergeCell ref="GKQ16:GKS16"/>
    <mergeCell ref="GQX16:GQY16"/>
    <mergeCell ref="GQZ16:GRB16"/>
    <mergeCell ref="GRC16:GRE16"/>
    <mergeCell ref="GRF16:GRG16"/>
    <mergeCell ref="GRH16:GRJ16"/>
    <mergeCell ref="GQJ16:GQL16"/>
    <mergeCell ref="GQM16:GQO16"/>
    <mergeCell ref="GQP16:GQQ16"/>
    <mergeCell ref="GQR16:GQT16"/>
    <mergeCell ref="GQU16:GQW16"/>
    <mergeCell ref="GPW16:GPY16"/>
    <mergeCell ref="GPZ16:GQA16"/>
    <mergeCell ref="GQB16:GQD16"/>
    <mergeCell ref="GQE16:GQG16"/>
    <mergeCell ref="GQH16:GQI16"/>
    <mergeCell ref="GPJ16:GPK16"/>
    <mergeCell ref="GPL16:GPN16"/>
    <mergeCell ref="GPO16:GPQ16"/>
    <mergeCell ref="GPR16:GPS16"/>
    <mergeCell ref="GPT16:GPV16"/>
    <mergeCell ref="GOV16:GOX16"/>
    <mergeCell ref="GOY16:GPA16"/>
    <mergeCell ref="GPB16:GPC16"/>
    <mergeCell ref="GPD16:GPF16"/>
    <mergeCell ref="GPG16:GPI16"/>
    <mergeCell ref="GOI16:GOK16"/>
    <mergeCell ref="GOL16:GOM16"/>
    <mergeCell ref="GON16:GOP16"/>
    <mergeCell ref="GOQ16:GOS16"/>
    <mergeCell ref="GOT16:GOU16"/>
    <mergeCell ref="GNV16:GNW16"/>
    <mergeCell ref="GNX16:GNZ16"/>
    <mergeCell ref="GOA16:GOC16"/>
    <mergeCell ref="GOD16:GOE16"/>
    <mergeCell ref="GOF16:GOH16"/>
    <mergeCell ref="GUM16:GUO16"/>
    <mergeCell ref="GUP16:GUQ16"/>
    <mergeCell ref="GUR16:GUT16"/>
    <mergeCell ref="GUU16:GUW16"/>
    <mergeCell ref="GUX16:GUY16"/>
    <mergeCell ref="GTZ16:GUA16"/>
    <mergeCell ref="GUB16:GUD16"/>
    <mergeCell ref="GUE16:GUG16"/>
    <mergeCell ref="GUH16:GUI16"/>
    <mergeCell ref="GUJ16:GUL16"/>
    <mergeCell ref="GTL16:GTN16"/>
    <mergeCell ref="GTO16:GTQ16"/>
    <mergeCell ref="GTR16:GTS16"/>
    <mergeCell ref="GTT16:GTV16"/>
    <mergeCell ref="GTW16:GTY16"/>
    <mergeCell ref="GSY16:GTA16"/>
    <mergeCell ref="GTB16:GTC16"/>
    <mergeCell ref="GTD16:GTF16"/>
    <mergeCell ref="GTG16:GTI16"/>
    <mergeCell ref="GTJ16:GTK16"/>
    <mergeCell ref="GSL16:GSM16"/>
    <mergeCell ref="GSN16:GSP16"/>
    <mergeCell ref="GSQ16:GSS16"/>
    <mergeCell ref="GST16:GSU16"/>
    <mergeCell ref="GSV16:GSX16"/>
    <mergeCell ref="GRX16:GRZ16"/>
    <mergeCell ref="GSA16:GSC16"/>
    <mergeCell ref="GSD16:GSE16"/>
    <mergeCell ref="GSF16:GSH16"/>
    <mergeCell ref="GSI16:GSK16"/>
    <mergeCell ref="GRK16:GRM16"/>
    <mergeCell ref="GRN16:GRO16"/>
    <mergeCell ref="GRP16:GRR16"/>
    <mergeCell ref="GRS16:GRU16"/>
    <mergeCell ref="GRV16:GRW16"/>
    <mergeCell ref="GYB16:GYD16"/>
    <mergeCell ref="GYE16:GYG16"/>
    <mergeCell ref="GYH16:GYI16"/>
    <mergeCell ref="GYJ16:GYL16"/>
    <mergeCell ref="GYM16:GYO16"/>
    <mergeCell ref="GXO16:GXQ16"/>
    <mergeCell ref="GXR16:GXS16"/>
    <mergeCell ref="GXT16:GXV16"/>
    <mergeCell ref="GXW16:GXY16"/>
    <mergeCell ref="GXZ16:GYA16"/>
    <mergeCell ref="GXB16:GXC16"/>
    <mergeCell ref="GXD16:GXF16"/>
    <mergeCell ref="GXG16:GXI16"/>
    <mergeCell ref="GXJ16:GXK16"/>
    <mergeCell ref="GXL16:GXN16"/>
    <mergeCell ref="GWN16:GWP16"/>
    <mergeCell ref="GWQ16:GWS16"/>
    <mergeCell ref="GWT16:GWU16"/>
    <mergeCell ref="GWV16:GWX16"/>
    <mergeCell ref="GWY16:GXA16"/>
    <mergeCell ref="GWA16:GWC16"/>
    <mergeCell ref="GWD16:GWE16"/>
    <mergeCell ref="GWF16:GWH16"/>
    <mergeCell ref="GWI16:GWK16"/>
    <mergeCell ref="GWL16:GWM16"/>
    <mergeCell ref="GVN16:GVO16"/>
    <mergeCell ref="GVP16:GVR16"/>
    <mergeCell ref="GVS16:GVU16"/>
    <mergeCell ref="GVV16:GVW16"/>
    <mergeCell ref="GVX16:GVZ16"/>
    <mergeCell ref="GUZ16:GVB16"/>
    <mergeCell ref="GVC16:GVE16"/>
    <mergeCell ref="GVF16:GVG16"/>
    <mergeCell ref="GVH16:GVJ16"/>
    <mergeCell ref="GVK16:GVM16"/>
    <mergeCell ref="HBR16:HBS16"/>
    <mergeCell ref="HBT16:HBV16"/>
    <mergeCell ref="HBW16:HBY16"/>
    <mergeCell ref="HBZ16:HCA16"/>
    <mergeCell ref="HCB16:HCD16"/>
    <mergeCell ref="HBD16:HBF16"/>
    <mergeCell ref="HBG16:HBI16"/>
    <mergeCell ref="HBJ16:HBK16"/>
    <mergeCell ref="HBL16:HBN16"/>
    <mergeCell ref="HBO16:HBQ16"/>
    <mergeCell ref="HAQ16:HAS16"/>
    <mergeCell ref="HAT16:HAU16"/>
    <mergeCell ref="HAV16:HAX16"/>
    <mergeCell ref="HAY16:HBA16"/>
    <mergeCell ref="HBB16:HBC16"/>
    <mergeCell ref="HAD16:HAE16"/>
    <mergeCell ref="HAF16:HAH16"/>
    <mergeCell ref="HAI16:HAK16"/>
    <mergeCell ref="HAL16:HAM16"/>
    <mergeCell ref="HAN16:HAP16"/>
    <mergeCell ref="GZP16:GZR16"/>
    <mergeCell ref="GZS16:GZU16"/>
    <mergeCell ref="GZV16:GZW16"/>
    <mergeCell ref="GZX16:GZZ16"/>
    <mergeCell ref="HAA16:HAC16"/>
    <mergeCell ref="GZC16:GZE16"/>
    <mergeCell ref="GZF16:GZG16"/>
    <mergeCell ref="GZH16:GZJ16"/>
    <mergeCell ref="GZK16:GZM16"/>
    <mergeCell ref="GZN16:GZO16"/>
    <mergeCell ref="GYP16:GYQ16"/>
    <mergeCell ref="GYR16:GYT16"/>
    <mergeCell ref="GYU16:GYW16"/>
    <mergeCell ref="GYX16:GYY16"/>
    <mergeCell ref="GYZ16:GZB16"/>
    <mergeCell ref="HFG16:HFI16"/>
    <mergeCell ref="HFJ16:HFK16"/>
    <mergeCell ref="HFL16:HFN16"/>
    <mergeCell ref="HFO16:HFQ16"/>
    <mergeCell ref="HFR16:HFS16"/>
    <mergeCell ref="HET16:HEU16"/>
    <mergeCell ref="HEV16:HEX16"/>
    <mergeCell ref="HEY16:HFA16"/>
    <mergeCell ref="HFB16:HFC16"/>
    <mergeCell ref="HFD16:HFF16"/>
    <mergeCell ref="HEF16:HEH16"/>
    <mergeCell ref="HEI16:HEK16"/>
    <mergeCell ref="HEL16:HEM16"/>
    <mergeCell ref="HEN16:HEP16"/>
    <mergeCell ref="HEQ16:HES16"/>
    <mergeCell ref="HDS16:HDU16"/>
    <mergeCell ref="HDV16:HDW16"/>
    <mergeCell ref="HDX16:HDZ16"/>
    <mergeCell ref="HEA16:HEC16"/>
    <mergeCell ref="HED16:HEE16"/>
    <mergeCell ref="HDF16:HDG16"/>
    <mergeCell ref="HDH16:HDJ16"/>
    <mergeCell ref="HDK16:HDM16"/>
    <mergeCell ref="HDN16:HDO16"/>
    <mergeCell ref="HDP16:HDR16"/>
    <mergeCell ref="HCR16:HCT16"/>
    <mergeCell ref="HCU16:HCW16"/>
    <mergeCell ref="HCX16:HCY16"/>
    <mergeCell ref="HCZ16:HDB16"/>
    <mergeCell ref="HDC16:HDE16"/>
    <mergeCell ref="HCE16:HCG16"/>
    <mergeCell ref="HCH16:HCI16"/>
    <mergeCell ref="HCJ16:HCL16"/>
    <mergeCell ref="HCM16:HCO16"/>
    <mergeCell ref="HCP16:HCQ16"/>
    <mergeCell ref="HIV16:HIX16"/>
    <mergeCell ref="HIY16:HJA16"/>
    <mergeCell ref="HJB16:HJC16"/>
    <mergeCell ref="HJD16:HJF16"/>
    <mergeCell ref="HJG16:HJI16"/>
    <mergeCell ref="HII16:HIK16"/>
    <mergeCell ref="HIL16:HIM16"/>
    <mergeCell ref="HIN16:HIP16"/>
    <mergeCell ref="HIQ16:HIS16"/>
    <mergeCell ref="HIT16:HIU16"/>
    <mergeCell ref="HHV16:HHW16"/>
    <mergeCell ref="HHX16:HHZ16"/>
    <mergeCell ref="HIA16:HIC16"/>
    <mergeCell ref="HID16:HIE16"/>
    <mergeCell ref="HIF16:HIH16"/>
    <mergeCell ref="HHH16:HHJ16"/>
    <mergeCell ref="HHK16:HHM16"/>
    <mergeCell ref="HHN16:HHO16"/>
    <mergeCell ref="HHP16:HHR16"/>
    <mergeCell ref="HHS16:HHU16"/>
    <mergeCell ref="HGU16:HGW16"/>
    <mergeCell ref="HGX16:HGY16"/>
    <mergeCell ref="HGZ16:HHB16"/>
    <mergeCell ref="HHC16:HHE16"/>
    <mergeCell ref="HHF16:HHG16"/>
    <mergeCell ref="HGH16:HGI16"/>
    <mergeCell ref="HGJ16:HGL16"/>
    <mergeCell ref="HGM16:HGO16"/>
    <mergeCell ref="HGP16:HGQ16"/>
    <mergeCell ref="HGR16:HGT16"/>
    <mergeCell ref="HFT16:HFV16"/>
    <mergeCell ref="HFW16:HFY16"/>
    <mergeCell ref="HFZ16:HGA16"/>
    <mergeCell ref="HGB16:HGD16"/>
    <mergeCell ref="HGE16:HGG16"/>
    <mergeCell ref="HML16:HMM16"/>
    <mergeCell ref="HMN16:HMP16"/>
    <mergeCell ref="HMQ16:HMS16"/>
    <mergeCell ref="HMT16:HMU16"/>
    <mergeCell ref="HMV16:HMX16"/>
    <mergeCell ref="HLX16:HLZ16"/>
    <mergeCell ref="HMA16:HMC16"/>
    <mergeCell ref="HMD16:HME16"/>
    <mergeCell ref="HMF16:HMH16"/>
    <mergeCell ref="HMI16:HMK16"/>
    <mergeCell ref="HLK16:HLM16"/>
    <mergeCell ref="HLN16:HLO16"/>
    <mergeCell ref="HLP16:HLR16"/>
    <mergeCell ref="HLS16:HLU16"/>
    <mergeCell ref="HLV16:HLW16"/>
    <mergeCell ref="HKX16:HKY16"/>
    <mergeCell ref="HKZ16:HLB16"/>
    <mergeCell ref="HLC16:HLE16"/>
    <mergeCell ref="HLF16:HLG16"/>
    <mergeCell ref="HLH16:HLJ16"/>
    <mergeCell ref="HKJ16:HKL16"/>
    <mergeCell ref="HKM16:HKO16"/>
    <mergeCell ref="HKP16:HKQ16"/>
    <mergeCell ref="HKR16:HKT16"/>
    <mergeCell ref="HKU16:HKW16"/>
    <mergeCell ref="HJW16:HJY16"/>
    <mergeCell ref="HJZ16:HKA16"/>
    <mergeCell ref="HKB16:HKD16"/>
    <mergeCell ref="HKE16:HKG16"/>
    <mergeCell ref="HKH16:HKI16"/>
    <mergeCell ref="HJJ16:HJK16"/>
    <mergeCell ref="HJL16:HJN16"/>
    <mergeCell ref="HJO16:HJQ16"/>
    <mergeCell ref="HJR16:HJS16"/>
    <mergeCell ref="HJT16:HJV16"/>
    <mergeCell ref="HQA16:HQC16"/>
    <mergeCell ref="HQD16:HQE16"/>
    <mergeCell ref="HQF16:HQH16"/>
    <mergeCell ref="HQI16:HQK16"/>
    <mergeCell ref="HQL16:HQM16"/>
    <mergeCell ref="HPN16:HPO16"/>
    <mergeCell ref="HPP16:HPR16"/>
    <mergeCell ref="HPS16:HPU16"/>
    <mergeCell ref="HPV16:HPW16"/>
    <mergeCell ref="HPX16:HPZ16"/>
    <mergeCell ref="HOZ16:HPB16"/>
    <mergeCell ref="HPC16:HPE16"/>
    <mergeCell ref="HPF16:HPG16"/>
    <mergeCell ref="HPH16:HPJ16"/>
    <mergeCell ref="HPK16:HPM16"/>
    <mergeCell ref="HOM16:HOO16"/>
    <mergeCell ref="HOP16:HOQ16"/>
    <mergeCell ref="HOR16:HOT16"/>
    <mergeCell ref="HOU16:HOW16"/>
    <mergeCell ref="HOX16:HOY16"/>
    <mergeCell ref="HNZ16:HOA16"/>
    <mergeCell ref="HOB16:HOD16"/>
    <mergeCell ref="HOE16:HOG16"/>
    <mergeCell ref="HOH16:HOI16"/>
    <mergeCell ref="HOJ16:HOL16"/>
    <mergeCell ref="HNL16:HNN16"/>
    <mergeCell ref="HNO16:HNQ16"/>
    <mergeCell ref="HNR16:HNS16"/>
    <mergeCell ref="HNT16:HNV16"/>
    <mergeCell ref="HNW16:HNY16"/>
    <mergeCell ref="HMY16:HNA16"/>
    <mergeCell ref="HNB16:HNC16"/>
    <mergeCell ref="HND16:HNF16"/>
    <mergeCell ref="HNG16:HNI16"/>
    <mergeCell ref="HNJ16:HNK16"/>
    <mergeCell ref="HTP16:HTR16"/>
    <mergeCell ref="HTS16:HTU16"/>
    <mergeCell ref="HTV16:HTW16"/>
    <mergeCell ref="HTX16:HTZ16"/>
    <mergeCell ref="HUA16:HUC16"/>
    <mergeCell ref="HTC16:HTE16"/>
    <mergeCell ref="HTF16:HTG16"/>
    <mergeCell ref="HTH16:HTJ16"/>
    <mergeCell ref="HTK16:HTM16"/>
    <mergeCell ref="HTN16:HTO16"/>
    <mergeCell ref="HSP16:HSQ16"/>
    <mergeCell ref="HSR16:HST16"/>
    <mergeCell ref="HSU16:HSW16"/>
    <mergeCell ref="HSX16:HSY16"/>
    <mergeCell ref="HSZ16:HTB16"/>
    <mergeCell ref="HSB16:HSD16"/>
    <mergeCell ref="HSE16:HSG16"/>
    <mergeCell ref="HSH16:HSI16"/>
    <mergeCell ref="HSJ16:HSL16"/>
    <mergeCell ref="HSM16:HSO16"/>
    <mergeCell ref="HRO16:HRQ16"/>
    <mergeCell ref="HRR16:HRS16"/>
    <mergeCell ref="HRT16:HRV16"/>
    <mergeCell ref="HRW16:HRY16"/>
    <mergeCell ref="HRZ16:HSA16"/>
    <mergeCell ref="HRB16:HRC16"/>
    <mergeCell ref="HRD16:HRF16"/>
    <mergeCell ref="HRG16:HRI16"/>
    <mergeCell ref="HRJ16:HRK16"/>
    <mergeCell ref="HRL16:HRN16"/>
    <mergeCell ref="HQN16:HQP16"/>
    <mergeCell ref="HQQ16:HQS16"/>
    <mergeCell ref="HQT16:HQU16"/>
    <mergeCell ref="HQV16:HQX16"/>
    <mergeCell ref="HQY16:HRA16"/>
    <mergeCell ref="HXF16:HXG16"/>
    <mergeCell ref="HXH16:HXJ16"/>
    <mergeCell ref="HXK16:HXM16"/>
    <mergeCell ref="HXN16:HXO16"/>
    <mergeCell ref="HXP16:HXR16"/>
    <mergeCell ref="HWR16:HWT16"/>
    <mergeCell ref="HWU16:HWW16"/>
    <mergeCell ref="HWX16:HWY16"/>
    <mergeCell ref="HWZ16:HXB16"/>
    <mergeCell ref="HXC16:HXE16"/>
    <mergeCell ref="HWE16:HWG16"/>
    <mergeCell ref="HWH16:HWI16"/>
    <mergeCell ref="HWJ16:HWL16"/>
    <mergeCell ref="HWM16:HWO16"/>
    <mergeCell ref="HWP16:HWQ16"/>
    <mergeCell ref="HVR16:HVS16"/>
    <mergeCell ref="HVT16:HVV16"/>
    <mergeCell ref="HVW16:HVY16"/>
    <mergeCell ref="HVZ16:HWA16"/>
    <mergeCell ref="HWB16:HWD16"/>
    <mergeCell ref="HVD16:HVF16"/>
    <mergeCell ref="HVG16:HVI16"/>
    <mergeCell ref="HVJ16:HVK16"/>
    <mergeCell ref="HVL16:HVN16"/>
    <mergeCell ref="HVO16:HVQ16"/>
    <mergeCell ref="HUQ16:HUS16"/>
    <mergeCell ref="HUT16:HUU16"/>
    <mergeCell ref="HUV16:HUX16"/>
    <mergeCell ref="HUY16:HVA16"/>
    <mergeCell ref="HVB16:HVC16"/>
    <mergeCell ref="HUD16:HUE16"/>
    <mergeCell ref="HUF16:HUH16"/>
    <mergeCell ref="HUI16:HUK16"/>
    <mergeCell ref="HUL16:HUM16"/>
    <mergeCell ref="HUN16:HUP16"/>
    <mergeCell ref="IAU16:IAW16"/>
    <mergeCell ref="IAX16:IAY16"/>
    <mergeCell ref="IAZ16:IBB16"/>
    <mergeCell ref="IBC16:IBE16"/>
    <mergeCell ref="IBF16:IBG16"/>
    <mergeCell ref="IAH16:IAI16"/>
    <mergeCell ref="IAJ16:IAL16"/>
    <mergeCell ref="IAM16:IAO16"/>
    <mergeCell ref="IAP16:IAQ16"/>
    <mergeCell ref="IAR16:IAT16"/>
    <mergeCell ref="HZT16:HZV16"/>
    <mergeCell ref="HZW16:HZY16"/>
    <mergeCell ref="HZZ16:IAA16"/>
    <mergeCell ref="IAB16:IAD16"/>
    <mergeCell ref="IAE16:IAG16"/>
    <mergeCell ref="HZG16:HZI16"/>
    <mergeCell ref="HZJ16:HZK16"/>
    <mergeCell ref="HZL16:HZN16"/>
    <mergeCell ref="HZO16:HZQ16"/>
    <mergeCell ref="HZR16:HZS16"/>
    <mergeCell ref="HYT16:HYU16"/>
    <mergeCell ref="HYV16:HYX16"/>
    <mergeCell ref="HYY16:HZA16"/>
    <mergeCell ref="HZB16:HZC16"/>
    <mergeCell ref="HZD16:HZF16"/>
    <mergeCell ref="HYF16:HYH16"/>
    <mergeCell ref="HYI16:HYK16"/>
    <mergeCell ref="HYL16:HYM16"/>
    <mergeCell ref="HYN16:HYP16"/>
    <mergeCell ref="HYQ16:HYS16"/>
    <mergeCell ref="HXS16:HXU16"/>
    <mergeCell ref="HXV16:HXW16"/>
    <mergeCell ref="HXX16:HXZ16"/>
    <mergeCell ref="HYA16:HYC16"/>
    <mergeCell ref="HYD16:HYE16"/>
    <mergeCell ref="IEJ16:IEL16"/>
    <mergeCell ref="IEM16:IEO16"/>
    <mergeCell ref="IEP16:IEQ16"/>
    <mergeCell ref="IER16:IET16"/>
    <mergeCell ref="IEU16:IEW16"/>
    <mergeCell ref="IDW16:IDY16"/>
    <mergeCell ref="IDZ16:IEA16"/>
    <mergeCell ref="IEB16:IED16"/>
    <mergeCell ref="IEE16:IEG16"/>
    <mergeCell ref="IEH16:IEI16"/>
    <mergeCell ref="IDJ16:IDK16"/>
    <mergeCell ref="IDL16:IDN16"/>
    <mergeCell ref="IDO16:IDQ16"/>
    <mergeCell ref="IDR16:IDS16"/>
    <mergeCell ref="IDT16:IDV16"/>
    <mergeCell ref="ICV16:ICX16"/>
    <mergeCell ref="ICY16:IDA16"/>
    <mergeCell ref="IDB16:IDC16"/>
    <mergeCell ref="IDD16:IDF16"/>
    <mergeCell ref="IDG16:IDI16"/>
    <mergeCell ref="ICI16:ICK16"/>
    <mergeCell ref="ICL16:ICM16"/>
    <mergeCell ref="ICN16:ICP16"/>
    <mergeCell ref="ICQ16:ICS16"/>
    <mergeCell ref="ICT16:ICU16"/>
    <mergeCell ref="IBV16:IBW16"/>
    <mergeCell ref="IBX16:IBZ16"/>
    <mergeCell ref="ICA16:ICC16"/>
    <mergeCell ref="ICD16:ICE16"/>
    <mergeCell ref="ICF16:ICH16"/>
    <mergeCell ref="IBH16:IBJ16"/>
    <mergeCell ref="IBK16:IBM16"/>
    <mergeCell ref="IBN16:IBO16"/>
    <mergeCell ref="IBP16:IBR16"/>
    <mergeCell ref="IBS16:IBU16"/>
    <mergeCell ref="IHZ16:IIA16"/>
    <mergeCell ref="IIB16:IID16"/>
    <mergeCell ref="IIE16:IIG16"/>
    <mergeCell ref="IIH16:III16"/>
    <mergeCell ref="IIJ16:IIL16"/>
    <mergeCell ref="IHL16:IHN16"/>
    <mergeCell ref="IHO16:IHQ16"/>
    <mergeCell ref="IHR16:IHS16"/>
    <mergeCell ref="IHT16:IHV16"/>
    <mergeCell ref="IHW16:IHY16"/>
    <mergeCell ref="IGY16:IHA16"/>
    <mergeCell ref="IHB16:IHC16"/>
    <mergeCell ref="IHD16:IHF16"/>
    <mergeCell ref="IHG16:IHI16"/>
    <mergeCell ref="IHJ16:IHK16"/>
    <mergeCell ref="IGL16:IGM16"/>
    <mergeCell ref="IGN16:IGP16"/>
    <mergeCell ref="IGQ16:IGS16"/>
    <mergeCell ref="IGT16:IGU16"/>
    <mergeCell ref="IGV16:IGX16"/>
    <mergeCell ref="IFX16:IFZ16"/>
    <mergeCell ref="IGA16:IGC16"/>
    <mergeCell ref="IGD16:IGE16"/>
    <mergeCell ref="IGF16:IGH16"/>
    <mergeCell ref="IGI16:IGK16"/>
    <mergeCell ref="IFK16:IFM16"/>
    <mergeCell ref="IFN16:IFO16"/>
    <mergeCell ref="IFP16:IFR16"/>
    <mergeCell ref="IFS16:IFU16"/>
    <mergeCell ref="IFV16:IFW16"/>
    <mergeCell ref="IEX16:IEY16"/>
    <mergeCell ref="IEZ16:IFB16"/>
    <mergeCell ref="IFC16:IFE16"/>
    <mergeCell ref="IFF16:IFG16"/>
    <mergeCell ref="IFH16:IFJ16"/>
    <mergeCell ref="ILO16:ILQ16"/>
    <mergeCell ref="ILR16:ILS16"/>
    <mergeCell ref="ILT16:ILV16"/>
    <mergeCell ref="ILW16:ILY16"/>
    <mergeCell ref="ILZ16:IMA16"/>
    <mergeCell ref="ILB16:ILC16"/>
    <mergeCell ref="ILD16:ILF16"/>
    <mergeCell ref="ILG16:ILI16"/>
    <mergeCell ref="ILJ16:ILK16"/>
    <mergeCell ref="ILL16:ILN16"/>
    <mergeCell ref="IKN16:IKP16"/>
    <mergeCell ref="IKQ16:IKS16"/>
    <mergeCell ref="IKT16:IKU16"/>
    <mergeCell ref="IKV16:IKX16"/>
    <mergeCell ref="IKY16:ILA16"/>
    <mergeCell ref="IKA16:IKC16"/>
    <mergeCell ref="IKD16:IKE16"/>
    <mergeCell ref="IKF16:IKH16"/>
    <mergeCell ref="IKI16:IKK16"/>
    <mergeCell ref="IKL16:IKM16"/>
    <mergeCell ref="IJN16:IJO16"/>
    <mergeCell ref="IJP16:IJR16"/>
    <mergeCell ref="IJS16:IJU16"/>
    <mergeCell ref="IJV16:IJW16"/>
    <mergeCell ref="IJX16:IJZ16"/>
    <mergeCell ref="IIZ16:IJB16"/>
    <mergeCell ref="IJC16:IJE16"/>
    <mergeCell ref="IJF16:IJG16"/>
    <mergeCell ref="IJH16:IJJ16"/>
    <mergeCell ref="IJK16:IJM16"/>
    <mergeCell ref="IIM16:IIO16"/>
    <mergeCell ref="IIP16:IIQ16"/>
    <mergeCell ref="IIR16:IIT16"/>
    <mergeCell ref="IIU16:IIW16"/>
    <mergeCell ref="IIX16:IIY16"/>
    <mergeCell ref="IPD16:IPF16"/>
    <mergeCell ref="IPG16:IPI16"/>
    <mergeCell ref="IPJ16:IPK16"/>
    <mergeCell ref="IPL16:IPN16"/>
    <mergeCell ref="IPO16:IPQ16"/>
    <mergeCell ref="IOQ16:IOS16"/>
    <mergeCell ref="IOT16:IOU16"/>
    <mergeCell ref="IOV16:IOX16"/>
    <mergeCell ref="IOY16:IPA16"/>
    <mergeCell ref="IPB16:IPC16"/>
    <mergeCell ref="IOD16:IOE16"/>
    <mergeCell ref="IOF16:IOH16"/>
    <mergeCell ref="IOI16:IOK16"/>
    <mergeCell ref="IOL16:IOM16"/>
    <mergeCell ref="ION16:IOP16"/>
    <mergeCell ref="INP16:INR16"/>
    <mergeCell ref="INS16:INU16"/>
    <mergeCell ref="INV16:INW16"/>
    <mergeCell ref="INX16:INZ16"/>
    <mergeCell ref="IOA16:IOC16"/>
    <mergeCell ref="INC16:INE16"/>
    <mergeCell ref="INF16:ING16"/>
    <mergeCell ref="INH16:INJ16"/>
    <mergeCell ref="INK16:INM16"/>
    <mergeCell ref="INN16:INO16"/>
    <mergeCell ref="IMP16:IMQ16"/>
    <mergeCell ref="IMR16:IMT16"/>
    <mergeCell ref="IMU16:IMW16"/>
    <mergeCell ref="IMX16:IMY16"/>
    <mergeCell ref="IMZ16:INB16"/>
    <mergeCell ref="IMB16:IMD16"/>
    <mergeCell ref="IME16:IMG16"/>
    <mergeCell ref="IMH16:IMI16"/>
    <mergeCell ref="IMJ16:IML16"/>
    <mergeCell ref="IMM16:IMO16"/>
    <mergeCell ref="IST16:ISU16"/>
    <mergeCell ref="ISV16:ISX16"/>
    <mergeCell ref="ISY16:ITA16"/>
    <mergeCell ref="ITB16:ITC16"/>
    <mergeCell ref="ITD16:ITF16"/>
    <mergeCell ref="ISF16:ISH16"/>
    <mergeCell ref="ISI16:ISK16"/>
    <mergeCell ref="ISL16:ISM16"/>
    <mergeCell ref="ISN16:ISP16"/>
    <mergeCell ref="ISQ16:ISS16"/>
    <mergeCell ref="IRS16:IRU16"/>
    <mergeCell ref="IRV16:IRW16"/>
    <mergeCell ref="IRX16:IRZ16"/>
    <mergeCell ref="ISA16:ISC16"/>
    <mergeCell ref="ISD16:ISE16"/>
    <mergeCell ref="IRF16:IRG16"/>
    <mergeCell ref="IRH16:IRJ16"/>
    <mergeCell ref="IRK16:IRM16"/>
    <mergeCell ref="IRN16:IRO16"/>
    <mergeCell ref="IRP16:IRR16"/>
    <mergeCell ref="IQR16:IQT16"/>
    <mergeCell ref="IQU16:IQW16"/>
    <mergeCell ref="IQX16:IQY16"/>
    <mergeCell ref="IQZ16:IRB16"/>
    <mergeCell ref="IRC16:IRE16"/>
    <mergeCell ref="IQE16:IQG16"/>
    <mergeCell ref="IQH16:IQI16"/>
    <mergeCell ref="IQJ16:IQL16"/>
    <mergeCell ref="IQM16:IQO16"/>
    <mergeCell ref="IQP16:IQQ16"/>
    <mergeCell ref="IPR16:IPS16"/>
    <mergeCell ref="IPT16:IPV16"/>
    <mergeCell ref="IPW16:IPY16"/>
    <mergeCell ref="IPZ16:IQA16"/>
    <mergeCell ref="IQB16:IQD16"/>
    <mergeCell ref="IWI16:IWK16"/>
    <mergeCell ref="IWL16:IWM16"/>
    <mergeCell ref="IWN16:IWP16"/>
    <mergeCell ref="IWQ16:IWS16"/>
    <mergeCell ref="IWT16:IWU16"/>
    <mergeCell ref="IVV16:IVW16"/>
    <mergeCell ref="IVX16:IVZ16"/>
    <mergeCell ref="IWA16:IWC16"/>
    <mergeCell ref="IWD16:IWE16"/>
    <mergeCell ref="IWF16:IWH16"/>
    <mergeCell ref="IVH16:IVJ16"/>
    <mergeCell ref="IVK16:IVM16"/>
    <mergeCell ref="IVN16:IVO16"/>
    <mergeCell ref="IVP16:IVR16"/>
    <mergeCell ref="IVS16:IVU16"/>
    <mergeCell ref="IUU16:IUW16"/>
    <mergeCell ref="IUX16:IUY16"/>
    <mergeCell ref="IUZ16:IVB16"/>
    <mergeCell ref="IVC16:IVE16"/>
    <mergeCell ref="IVF16:IVG16"/>
    <mergeCell ref="IUH16:IUI16"/>
    <mergeCell ref="IUJ16:IUL16"/>
    <mergeCell ref="IUM16:IUO16"/>
    <mergeCell ref="IUP16:IUQ16"/>
    <mergeCell ref="IUR16:IUT16"/>
    <mergeCell ref="ITT16:ITV16"/>
    <mergeCell ref="ITW16:ITY16"/>
    <mergeCell ref="ITZ16:IUA16"/>
    <mergeCell ref="IUB16:IUD16"/>
    <mergeCell ref="IUE16:IUG16"/>
    <mergeCell ref="ITG16:ITI16"/>
    <mergeCell ref="ITJ16:ITK16"/>
    <mergeCell ref="ITL16:ITN16"/>
    <mergeCell ref="ITO16:ITQ16"/>
    <mergeCell ref="ITR16:ITS16"/>
    <mergeCell ref="IZX16:IZZ16"/>
    <mergeCell ref="JAA16:JAC16"/>
    <mergeCell ref="JAD16:JAE16"/>
    <mergeCell ref="JAF16:JAH16"/>
    <mergeCell ref="JAI16:JAK16"/>
    <mergeCell ref="IZK16:IZM16"/>
    <mergeCell ref="IZN16:IZO16"/>
    <mergeCell ref="IZP16:IZR16"/>
    <mergeCell ref="IZS16:IZU16"/>
    <mergeCell ref="IZV16:IZW16"/>
    <mergeCell ref="IYX16:IYY16"/>
    <mergeCell ref="IYZ16:IZB16"/>
    <mergeCell ref="IZC16:IZE16"/>
    <mergeCell ref="IZF16:IZG16"/>
    <mergeCell ref="IZH16:IZJ16"/>
    <mergeCell ref="IYJ16:IYL16"/>
    <mergeCell ref="IYM16:IYO16"/>
    <mergeCell ref="IYP16:IYQ16"/>
    <mergeCell ref="IYR16:IYT16"/>
    <mergeCell ref="IYU16:IYW16"/>
    <mergeCell ref="IXW16:IXY16"/>
    <mergeCell ref="IXZ16:IYA16"/>
    <mergeCell ref="IYB16:IYD16"/>
    <mergeCell ref="IYE16:IYG16"/>
    <mergeCell ref="IYH16:IYI16"/>
    <mergeCell ref="IXJ16:IXK16"/>
    <mergeCell ref="IXL16:IXN16"/>
    <mergeCell ref="IXO16:IXQ16"/>
    <mergeCell ref="IXR16:IXS16"/>
    <mergeCell ref="IXT16:IXV16"/>
    <mergeCell ref="IWV16:IWX16"/>
    <mergeCell ref="IWY16:IXA16"/>
    <mergeCell ref="IXB16:IXC16"/>
    <mergeCell ref="IXD16:IXF16"/>
    <mergeCell ref="IXG16:IXI16"/>
    <mergeCell ref="JDN16:JDO16"/>
    <mergeCell ref="JDP16:JDR16"/>
    <mergeCell ref="JDS16:JDU16"/>
    <mergeCell ref="JDV16:JDW16"/>
    <mergeCell ref="JDX16:JDZ16"/>
    <mergeCell ref="JCZ16:JDB16"/>
    <mergeCell ref="JDC16:JDE16"/>
    <mergeCell ref="JDF16:JDG16"/>
    <mergeCell ref="JDH16:JDJ16"/>
    <mergeCell ref="JDK16:JDM16"/>
    <mergeCell ref="JCM16:JCO16"/>
    <mergeCell ref="JCP16:JCQ16"/>
    <mergeCell ref="JCR16:JCT16"/>
    <mergeCell ref="JCU16:JCW16"/>
    <mergeCell ref="JCX16:JCY16"/>
    <mergeCell ref="JBZ16:JCA16"/>
    <mergeCell ref="JCB16:JCD16"/>
    <mergeCell ref="JCE16:JCG16"/>
    <mergeCell ref="JCH16:JCI16"/>
    <mergeCell ref="JCJ16:JCL16"/>
    <mergeCell ref="JBL16:JBN16"/>
    <mergeCell ref="JBO16:JBQ16"/>
    <mergeCell ref="JBR16:JBS16"/>
    <mergeCell ref="JBT16:JBV16"/>
    <mergeCell ref="JBW16:JBY16"/>
    <mergeCell ref="JAY16:JBA16"/>
    <mergeCell ref="JBB16:JBC16"/>
    <mergeCell ref="JBD16:JBF16"/>
    <mergeCell ref="JBG16:JBI16"/>
    <mergeCell ref="JBJ16:JBK16"/>
    <mergeCell ref="JAL16:JAM16"/>
    <mergeCell ref="JAN16:JAP16"/>
    <mergeCell ref="JAQ16:JAS16"/>
    <mergeCell ref="JAT16:JAU16"/>
    <mergeCell ref="JAV16:JAX16"/>
    <mergeCell ref="JHC16:JHE16"/>
    <mergeCell ref="JHF16:JHG16"/>
    <mergeCell ref="JHH16:JHJ16"/>
    <mergeCell ref="JHK16:JHM16"/>
    <mergeCell ref="JHN16:JHO16"/>
    <mergeCell ref="JGP16:JGQ16"/>
    <mergeCell ref="JGR16:JGT16"/>
    <mergeCell ref="JGU16:JGW16"/>
    <mergeCell ref="JGX16:JGY16"/>
    <mergeCell ref="JGZ16:JHB16"/>
    <mergeCell ref="JGB16:JGD16"/>
    <mergeCell ref="JGE16:JGG16"/>
    <mergeCell ref="JGH16:JGI16"/>
    <mergeCell ref="JGJ16:JGL16"/>
    <mergeCell ref="JGM16:JGO16"/>
    <mergeCell ref="JFO16:JFQ16"/>
    <mergeCell ref="JFR16:JFS16"/>
    <mergeCell ref="JFT16:JFV16"/>
    <mergeCell ref="JFW16:JFY16"/>
    <mergeCell ref="JFZ16:JGA16"/>
    <mergeCell ref="JFB16:JFC16"/>
    <mergeCell ref="JFD16:JFF16"/>
    <mergeCell ref="JFG16:JFI16"/>
    <mergeCell ref="JFJ16:JFK16"/>
    <mergeCell ref="JFL16:JFN16"/>
    <mergeCell ref="JEN16:JEP16"/>
    <mergeCell ref="JEQ16:JES16"/>
    <mergeCell ref="JET16:JEU16"/>
    <mergeCell ref="JEV16:JEX16"/>
    <mergeCell ref="JEY16:JFA16"/>
    <mergeCell ref="JEA16:JEC16"/>
    <mergeCell ref="JED16:JEE16"/>
    <mergeCell ref="JEF16:JEH16"/>
    <mergeCell ref="JEI16:JEK16"/>
    <mergeCell ref="JEL16:JEM16"/>
    <mergeCell ref="JKR16:JKT16"/>
    <mergeCell ref="JKU16:JKW16"/>
    <mergeCell ref="JKX16:JKY16"/>
    <mergeCell ref="JKZ16:JLB16"/>
    <mergeCell ref="JLC16:JLE16"/>
    <mergeCell ref="JKE16:JKG16"/>
    <mergeCell ref="JKH16:JKI16"/>
    <mergeCell ref="JKJ16:JKL16"/>
    <mergeCell ref="JKM16:JKO16"/>
    <mergeCell ref="JKP16:JKQ16"/>
    <mergeCell ref="JJR16:JJS16"/>
    <mergeCell ref="JJT16:JJV16"/>
    <mergeCell ref="JJW16:JJY16"/>
    <mergeCell ref="JJZ16:JKA16"/>
    <mergeCell ref="JKB16:JKD16"/>
    <mergeCell ref="JJD16:JJF16"/>
    <mergeCell ref="JJG16:JJI16"/>
    <mergeCell ref="JJJ16:JJK16"/>
    <mergeCell ref="JJL16:JJN16"/>
    <mergeCell ref="JJO16:JJQ16"/>
    <mergeCell ref="JIQ16:JIS16"/>
    <mergeCell ref="JIT16:JIU16"/>
    <mergeCell ref="JIV16:JIX16"/>
    <mergeCell ref="JIY16:JJA16"/>
    <mergeCell ref="JJB16:JJC16"/>
    <mergeCell ref="JID16:JIE16"/>
    <mergeCell ref="JIF16:JIH16"/>
    <mergeCell ref="JII16:JIK16"/>
    <mergeCell ref="JIL16:JIM16"/>
    <mergeCell ref="JIN16:JIP16"/>
    <mergeCell ref="JHP16:JHR16"/>
    <mergeCell ref="JHS16:JHU16"/>
    <mergeCell ref="JHV16:JHW16"/>
    <mergeCell ref="JHX16:JHZ16"/>
    <mergeCell ref="JIA16:JIC16"/>
    <mergeCell ref="JOH16:JOI16"/>
    <mergeCell ref="JOJ16:JOL16"/>
    <mergeCell ref="JOM16:JOO16"/>
    <mergeCell ref="JOP16:JOQ16"/>
    <mergeCell ref="JOR16:JOT16"/>
    <mergeCell ref="JNT16:JNV16"/>
    <mergeCell ref="JNW16:JNY16"/>
    <mergeCell ref="JNZ16:JOA16"/>
    <mergeCell ref="JOB16:JOD16"/>
    <mergeCell ref="JOE16:JOG16"/>
    <mergeCell ref="JNG16:JNI16"/>
    <mergeCell ref="JNJ16:JNK16"/>
    <mergeCell ref="JNL16:JNN16"/>
    <mergeCell ref="JNO16:JNQ16"/>
    <mergeCell ref="JNR16:JNS16"/>
    <mergeCell ref="JMT16:JMU16"/>
    <mergeCell ref="JMV16:JMX16"/>
    <mergeCell ref="JMY16:JNA16"/>
    <mergeCell ref="JNB16:JNC16"/>
    <mergeCell ref="JND16:JNF16"/>
    <mergeCell ref="JMF16:JMH16"/>
    <mergeCell ref="JMI16:JMK16"/>
    <mergeCell ref="JML16:JMM16"/>
    <mergeCell ref="JMN16:JMP16"/>
    <mergeCell ref="JMQ16:JMS16"/>
    <mergeCell ref="JLS16:JLU16"/>
    <mergeCell ref="JLV16:JLW16"/>
    <mergeCell ref="JLX16:JLZ16"/>
    <mergeCell ref="JMA16:JMC16"/>
    <mergeCell ref="JMD16:JME16"/>
    <mergeCell ref="JLF16:JLG16"/>
    <mergeCell ref="JLH16:JLJ16"/>
    <mergeCell ref="JLK16:JLM16"/>
    <mergeCell ref="JLN16:JLO16"/>
    <mergeCell ref="JLP16:JLR16"/>
    <mergeCell ref="JRW16:JRY16"/>
    <mergeCell ref="JRZ16:JSA16"/>
    <mergeCell ref="JSB16:JSD16"/>
    <mergeCell ref="JSE16:JSG16"/>
    <mergeCell ref="JSH16:JSI16"/>
    <mergeCell ref="JRJ16:JRK16"/>
    <mergeCell ref="JRL16:JRN16"/>
    <mergeCell ref="JRO16:JRQ16"/>
    <mergeCell ref="JRR16:JRS16"/>
    <mergeCell ref="JRT16:JRV16"/>
    <mergeCell ref="JQV16:JQX16"/>
    <mergeCell ref="JQY16:JRA16"/>
    <mergeCell ref="JRB16:JRC16"/>
    <mergeCell ref="JRD16:JRF16"/>
    <mergeCell ref="JRG16:JRI16"/>
    <mergeCell ref="JQI16:JQK16"/>
    <mergeCell ref="JQL16:JQM16"/>
    <mergeCell ref="JQN16:JQP16"/>
    <mergeCell ref="JQQ16:JQS16"/>
    <mergeCell ref="JQT16:JQU16"/>
    <mergeCell ref="JPV16:JPW16"/>
    <mergeCell ref="JPX16:JPZ16"/>
    <mergeCell ref="JQA16:JQC16"/>
    <mergeCell ref="JQD16:JQE16"/>
    <mergeCell ref="JQF16:JQH16"/>
    <mergeCell ref="JPH16:JPJ16"/>
    <mergeCell ref="JPK16:JPM16"/>
    <mergeCell ref="JPN16:JPO16"/>
    <mergeCell ref="JPP16:JPR16"/>
    <mergeCell ref="JPS16:JPU16"/>
    <mergeCell ref="JOU16:JOW16"/>
    <mergeCell ref="JOX16:JOY16"/>
    <mergeCell ref="JOZ16:JPB16"/>
    <mergeCell ref="JPC16:JPE16"/>
    <mergeCell ref="JPF16:JPG16"/>
    <mergeCell ref="JVL16:JVN16"/>
    <mergeCell ref="JVO16:JVQ16"/>
    <mergeCell ref="JVR16:JVS16"/>
    <mergeCell ref="JVT16:JVV16"/>
    <mergeCell ref="JVW16:JVY16"/>
    <mergeCell ref="JUY16:JVA16"/>
    <mergeCell ref="JVB16:JVC16"/>
    <mergeCell ref="JVD16:JVF16"/>
    <mergeCell ref="JVG16:JVI16"/>
    <mergeCell ref="JVJ16:JVK16"/>
    <mergeCell ref="JUL16:JUM16"/>
    <mergeCell ref="JUN16:JUP16"/>
    <mergeCell ref="JUQ16:JUS16"/>
    <mergeCell ref="JUT16:JUU16"/>
    <mergeCell ref="JUV16:JUX16"/>
    <mergeCell ref="JTX16:JTZ16"/>
    <mergeCell ref="JUA16:JUC16"/>
    <mergeCell ref="JUD16:JUE16"/>
    <mergeCell ref="JUF16:JUH16"/>
    <mergeCell ref="JUI16:JUK16"/>
    <mergeCell ref="JTK16:JTM16"/>
    <mergeCell ref="JTN16:JTO16"/>
    <mergeCell ref="JTP16:JTR16"/>
    <mergeCell ref="JTS16:JTU16"/>
    <mergeCell ref="JTV16:JTW16"/>
    <mergeCell ref="JSX16:JSY16"/>
    <mergeCell ref="JSZ16:JTB16"/>
    <mergeCell ref="JTC16:JTE16"/>
    <mergeCell ref="JTF16:JTG16"/>
    <mergeCell ref="JTH16:JTJ16"/>
    <mergeCell ref="JSJ16:JSL16"/>
    <mergeCell ref="JSM16:JSO16"/>
    <mergeCell ref="JSP16:JSQ16"/>
    <mergeCell ref="JSR16:JST16"/>
    <mergeCell ref="JSU16:JSW16"/>
    <mergeCell ref="JZB16:JZC16"/>
    <mergeCell ref="JZD16:JZF16"/>
    <mergeCell ref="JZG16:JZI16"/>
    <mergeCell ref="JZJ16:JZK16"/>
    <mergeCell ref="JZL16:JZN16"/>
    <mergeCell ref="JYN16:JYP16"/>
    <mergeCell ref="JYQ16:JYS16"/>
    <mergeCell ref="JYT16:JYU16"/>
    <mergeCell ref="JYV16:JYX16"/>
    <mergeCell ref="JYY16:JZA16"/>
    <mergeCell ref="JYA16:JYC16"/>
    <mergeCell ref="JYD16:JYE16"/>
    <mergeCell ref="JYF16:JYH16"/>
    <mergeCell ref="JYI16:JYK16"/>
    <mergeCell ref="JYL16:JYM16"/>
    <mergeCell ref="JXN16:JXO16"/>
    <mergeCell ref="JXP16:JXR16"/>
    <mergeCell ref="JXS16:JXU16"/>
    <mergeCell ref="JXV16:JXW16"/>
    <mergeCell ref="JXX16:JXZ16"/>
    <mergeCell ref="JWZ16:JXB16"/>
    <mergeCell ref="JXC16:JXE16"/>
    <mergeCell ref="JXF16:JXG16"/>
    <mergeCell ref="JXH16:JXJ16"/>
    <mergeCell ref="JXK16:JXM16"/>
    <mergeCell ref="JWM16:JWO16"/>
    <mergeCell ref="JWP16:JWQ16"/>
    <mergeCell ref="JWR16:JWT16"/>
    <mergeCell ref="JWU16:JWW16"/>
    <mergeCell ref="JWX16:JWY16"/>
    <mergeCell ref="JVZ16:JWA16"/>
    <mergeCell ref="JWB16:JWD16"/>
    <mergeCell ref="JWE16:JWG16"/>
    <mergeCell ref="JWH16:JWI16"/>
    <mergeCell ref="JWJ16:JWL16"/>
    <mergeCell ref="KCQ16:KCS16"/>
    <mergeCell ref="KCT16:KCU16"/>
    <mergeCell ref="KCV16:KCX16"/>
    <mergeCell ref="KCY16:KDA16"/>
    <mergeCell ref="KDB16:KDC16"/>
    <mergeCell ref="KCD16:KCE16"/>
    <mergeCell ref="KCF16:KCH16"/>
    <mergeCell ref="KCI16:KCK16"/>
    <mergeCell ref="KCL16:KCM16"/>
    <mergeCell ref="KCN16:KCP16"/>
    <mergeCell ref="KBP16:KBR16"/>
    <mergeCell ref="KBS16:KBU16"/>
    <mergeCell ref="KBV16:KBW16"/>
    <mergeCell ref="KBX16:KBZ16"/>
    <mergeCell ref="KCA16:KCC16"/>
    <mergeCell ref="KBC16:KBE16"/>
    <mergeCell ref="KBF16:KBG16"/>
    <mergeCell ref="KBH16:KBJ16"/>
    <mergeCell ref="KBK16:KBM16"/>
    <mergeCell ref="KBN16:KBO16"/>
    <mergeCell ref="KAP16:KAQ16"/>
    <mergeCell ref="KAR16:KAT16"/>
    <mergeCell ref="KAU16:KAW16"/>
    <mergeCell ref="KAX16:KAY16"/>
    <mergeCell ref="KAZ16:KBB16"/>
    <mergeCell ref="KAB16:KAD16"/>
    <mergeCell ref="KAE16:KAG16"/>
    <mergeCell ref="KAH16:KAI16"/>
    <mergeCell ref="KAJ16:KAL16"/>
    <mergeCell ref="KAM16:KAO16"/>
    <mergeCell ref="JZO16:JZQ16"/>
    <mergeCell ref="JZR16:JZS16"/>
    <mergeCell ref="JZT16:JZV16"/>
    <mergeCell ref="JZW16:JZY16"/>
    <mergeCell ref="JZZ16:KAA16"/>
    <mergeCell ref="KGF16:KGH16"/>
    <mergeCell ref="KGI16:KGK16"/>
    <mergeCell ref="KGL16:KGM16"/>
    <mergeCell ref="KGN16:KGP16"/>
    <mergeCell ref="KGQ16:KGS16"/>
    <mergeCell ref="KFS16:KFU16"/>
    <mergeCell ref="KFV16:KFW16"/>
    <mergeCell ref="KFX16:KFZ16"/>
    <mergeCell ref="KGA16:KGC16"/>
    <mergeCell ref="KGD16:KGE16"/>
    <mergeCell ref="KFF16:KFG16"/>
    <mergeCell ref="KFH16:KFJ16"/>
    <mergeCell ref="KFK16:KFM16"/>
    <mergeCell ref="KFN16:KFO16"/>
    <mergeCell ref="KFP16:KFR16"/>
    <mergeCell ref="KER16:KET16"/>
    <mergeCell ref="KEU16:KEW16"/>
    <mergeCell ref="KEX16:KEY16"/>
    <mergeCell ref="KEZ16:KFB16"/>
    <mergeCell ref="KFC16:KFE16"/>
    <mergeCell ref="KEE16:KEG16"/>
    <mergeCell ref="KEH16:KEI16"/>
    <mergeCell ref="KEJ16:KEL16"/>
    <mergeCell ref="KEM16:KEO16"/>
    <mergeCell ref="KEP16:KEQ16"/>
    <mergeCell ref="KDR16:KDS16"/>
    <mergeCell ref="KDT16:KDV16"/>
    <mergeCell ref="KDW16:KDY16"/>
    <mergeCell ref="KDZ16:KEA16"/>
    <mergeCell ref="KEB16:KED16"/>
    <mergeCell ref="KDD16:KDF16"/>
    <mergeCell ref="KDG16:KDI16"/>
    <mergeCell ref="KDJ16:KDK16"/>
    <mergeCell ref="KDL16:KDN16"/>
    <mergeCell ref="KDO16:KDQ16"/>
    <mergeCell ref="KJV16:KJW16"/>
    <mergeCell ref="KJX16:KJZ16"/>
    <mergeCell ref="KKA16:KKC16"/>
    <mergeCell ref="KKD16:KKE16"/>
    <mergeCell ref="KKF16:KKH16"/>
    <mergeCell ref="KJH16:KJJ16"/>
    <mergeCell ref="KJK16:KJM16"/>
    <mergeCell ref="KJN16:KJO16"/>
    <mergeCell ref="KJP16:KJR16"/>
    <mergeCell ref="KJS16:KJU16"/>
    <mergeCell ref="KIU16:KIW16"/>
    <mergeCell ref="KIX16:KIY16"/>
    <mergeCell ref="KIZ16:KJB16"/>
    <mergeCell ref="KJC16:KJE16"/>
    <mergeCell ref="KJF16:KJG16"/>
    <mergeCell ref="KIH16:KII16"/>
    <mergeCell ref="KIJ16:KIL16"/>
    <mergeCell ref="KIM16:KIO16"/>
    <mergeCell ref="KIP16:KIQ16"/>
    <mergeCell ref="KIR16:KIT16"/>
    <mergeCell ref="KHT16:KHV16"/>
    <mergeCell ref="KHW16:KHY16"/>
    <mergeCell ref="KHZ16:KIA16"/>
    <mergeCell ref="KIB16:KID16"/>
    <mergeCell ref="KIE16:KIG16"/>
    <mergeCell ref="KHG16:KHI16"/>
    <mergeCell ref="KHJ16:KHK16"/>
    <mergeCell ref="KHL16:KHN16"/>
    <mergeCell ref="KHO16:KHQ16"/>
    <mergeCell ref="KHR16:KHS16"/>
    <mergeCell ref="KGT16:KGU16"/>
    <mergeCell ref="KGV16:KGX16"/>
    <mergeCell ref="KGY16:KHA16"/>
    <mergeCell ref="KHB16:KHC16"/>
    <mergeCell ref="KHD16:KHF16"/>
    <mergeCell ref="KNK16:KNM16"/>
    <mergeCell ref="KNN16:KNO16"/>
    <mergeCell ref="KNP16:KNR16"/>
    <mergeCell ref="KNS16:KNU16"/>
    <mergeCell ref="KNV16:KNW16"/>
    <mergeCell ref="KMX16:KMY16"/>
    <mergeCell ref="KMZ16:KNB16"/>
    <mergeCell ref="KNC16:KNE16"/>
    <mergeCell ref="KNF16:KNG16"/>
    <mergeCell ref="KNH16:KNJ16"/>
    <mergeCell ref="KMJ16:KML16"/>
    <mergeCell ref="KMM16:KMO16"/>
    <mergeCell ref="KMP16:KMQ16"/>
    <mergeCell ref="KMR16:KMT16"/>
    <mergeCell ref="KMU16:KMW16"/>
    <mergeCell ref="KLW16:KLY16"/>
    <mergeCell ref="KLZ16:KMA16"/>
    <mergeCell ref="KMB16:KMD16"/>
    <mergeCell ref="KME16:KMG16"/>
    <mergeCell ref="KMH16:KMI16"/>
    <mergeCell ref="KLJ16:KLK16"/>
    <mergeCell ref="KLL16:KLN16"/>
    <mergeCell ref="KLO16:KLQ16"/>
    <mergeCell ref="KLR16:KLS16"/>
    <mergeCell ref="KLT16:KLV16"/>
    <mergeCell ref="KKV16:KKX16"/>
    <mergeCell ref="KKY16:KLA16"/>
    <mergeCell ref="KLB16:KLC16"/>
    <mergeCell ref="KLD16:KLF16"/>
    <mergeCell ref="KLG16:KLI16"/>
    <mergeCell ref="KKI16:KKK16"/>
    <mergeCell ref="KKL16:KKM16"/>
    <mergeCell ref="KKN16:KKP16"/>
    <mergeCell ref="KKQ16:KKS16"/>
    <mergeCell ref="KKT16:KKU16"/>
    <mergeCell ref="KQZ16:KRB16"/>
    <mergeCell ref="KRC16:KRE16"/>
    <mergeCell ref="KRF16:KRG16"/>
    <mergeCell ref="KRH16:KRJ16"/>
    <mergeCell ref="KRK16:KRM16"/>
    <mergeCell ref="KQM16:KQO16"/>
    <mergeCell ref="KQP16:KQQ16"/>
    <mergeCell ref="KQR16:KQT16"/>
    <mergeCell ref="KQU16:KQW16"/>
    <mergeCell ref="KQX16:KQY16"/>
    <mergeCell ref="KPZ16:KQA16"/>
    <mergeCell ref="KQB16:KQD16"/>
    <mergeCell ref="KQE16:KQG16"/>
    <mergeCell ref="KQH16:KQI16"/>
    <mergeCell ref="KQJ16:KQL16"/>
    <mergeCell ref="KPL16:KPN16"/>
    <mergeCell ref="KPO16:KPQ16"/>
    <mergeCell ref="KPR16:KPS16"/>
    <mergeCell ref="KPT16:KPV16"/>
    <mergeCell ref="KPW16:KPY16"/>
    <mergeCell ref="KOY16:KPA16"/>
    <mergeCell ref="KPB16:KPC16"/>
    <mergeCell ref="KPD16:KPF16"/>
    <mergeCell ref="KPG16:KPI16"/>
    <mergeCell ref="KPJ16:KPK16"/>
    <mergeCell ref="KOL16:KOM16"/>
    <mergeCell ref="KON16:KOP16"/>
    <mergeCell ref="KOQ16:KOS16"/>
    <mergeCell ref="KOT16:KOU16"/>
    <mergeCell ref="KOV16:KOX16"/>
    <mergeCell ref="KNX16:KNZ16"/>
    <mergeCell ref="KOA16:KOC16"/>
    <mergeCell ref="KOD16:KOE16"/>
    <mergeCell ref="KOF16:KOH16"/>
    <mergeCell ref="KOI16:KOK16"/>
    <mergeCell ref="KUP16:KUQ16"/>
    <mergeCell ref="KUR16:KUT16"/>
    <mergeCell ref="KUU16:KUW16"/>
    <mergeCell ref="KUX16:KUY16"/>
    <mergeCell ref="KUZ16:KVB16"/>
    <mergeCell ref="KUB16:KUD16"/>
    <mergeCell ref="KUE16:KUG16"/>
    <mergeCell ref="KUH16:KUI16"/>
    <mergeCell ref="KUJ16:KUL16"/>
    <mergeCell ref="KUM16:KUO16"/>
    <mergeCell ref="KTO16:KTQ16"/>
    <mergeCell ref="KTR16:KTS16"/>
    <mergeCell ref="KTT16:KTV16"/>
    <mergeCell ref="KTW16:KTY16"/>
    <mergeCell ref="KTZ16:KUA16"/>
    <mergeCell ref="KTB16:KTC16"/>
    <mergeCell ref="KTD16:KTF16"/>
    <mergeCell ref="KTG16:KTI16"/>
    <mergeCell ref="KTJ16:KTK16"/>
    <mergeCell ref="KTL16:KTN16"/>
    <mergeCell ref="KSN16:KSP16"/>
    <mergeCell ref="KSQ16:KSS16"/>
    <mergeCell ref="KST16:KSU16"/>
    <mergeCell ref="KSV16:KSX16"/>
    <mergeCell ref="KSY16:KTA16"/>
    <mergeCell ref="KSA16:KSC16"/>
    <mergeCell ref="KSD16:KSE16"/>
    <mergeCell ref="KSF16:KSH16"/>
    <mergeCell ref="KSI16:KSK16"/>
    <mergeCell ref="KSL16:KSM16"/>
    <mergeCell ref="KRN16:KRO16"/>
    <mergeCell ref="KRP16:KRR16"/>
    <mergeCell ref="KRS16:KRU16"/>
    <mergeCell ref="KRV16:KRW16"/>
    <mergeCell ref="KRX16:KRZ16"/>
    <mergeCell ref="KYE16:KYG16"/>
    <mergeCell ref="KYH16:KYI16"/>
    <mergeCell ref="KYJ16:KYL16"/>
    <mergeCell ref="KYM16:KYO16"/>
    <mergeCell ref="KYP16:KYQ16"/>
    <mergeCell ref="KXR16:KXS16"/>
    <mergeCell ref="KXT16:KXV16"/>
    <mergeCell ref="KXW16:KXY16"/>
    <mergeCell ref="KXZ16:KYA16"/>
    <mergeCell ref="KYB16:KYD16"/>
    <mergeCell ref="KXD16:KXF16"/>
    <mergeCell ref="KXG16:KXI16"/>
    <mergeCell ref="KXJ16:KXK16"/>
    <mergeCell ref="KXL16:KXN16"/>
    <mergeCell ref="KXO16:KXQ16"/>
    <mergeCell ref="KWQ16:KWS16"/>
    <mergeCell ref="KWT16:KWU16"/>
    <mergeCell ref="KWV16:KWX16"/>
    <mergeCell ref="KWY16:KXA16"/>
    <mergeCell ref="KXB16:KXC16"/>
    <mergeCell ref="KWD16:KWE16"/>
    <mergeCell ref="KWF16:KWH16"/>
    <mergeCell ref="KWI16:KWK16"/>
    <mergeCell ref="KWL16:KWM16"/>
    <mergeCell ref="KWN16:KWP16"/>
    <mergeCell ref="KVP16:KVR16"/>
    <mergeCell ref="KVS16:KVU16"/>
    <mergeCell ref="KVV16:KVW16"/>
    <mergeCell ref="KVX16:KVZ16"/>
    <mergeCell ref="KWA16:KWC16"/>
    <mergeCell ref="KVC16:KVE16"/>
    <mergeCell ref="KVF16:KVG16"/>
    <mergeCell ref="KVH16:KVJ16"/>
    <mergeCell ref="KVK16:KVM16"/>
    <mergeCell ref="KVN16:KVO16"/>
    <mergeCell ref="LBT16:LBV16"/>
    <mergeCell ref="LBW16:LBY16"/>
    <mergeCell ref="LBZ16:LCA16"/>
    <mergeCell ref="LCB16:LCD16"/>
    <mergeCell ref="LCE16:LCG16"/>
    <mergeCell ref="LBG16:LBI16"/>
    <mergeCell ref="LBJ16:LBK16"/>
    <mergeCell ref="LBL16:LBN16"/>
    <mergeCell ref="LBO16:LBQ16"/>
    <mergeCell ref="LBR16:LBS16"/>
    <mergeCell ref="LAT16:LAU16"/>
    <mergeCell ref="LAV16:LAX16"/>
    <mergeCell ref="LAY16:LBA16"/>
    <mergeCell ref="LBB16:LBC16"/>
    <mergeCell ref="LBD16:LBF16"/>
    <mergeCell ref="LAF16:LAH16"/>
    <mergeCell ref="LAI16:LAK16"/>
    <mergeCell ref="LAL16:LAM16"/>
    <mergeCell ref="LAN16:LAP16"/>
    <mergeCell ref="LAQ16:LAS16"/>
    <mergeCell ref="KZS16:KZU16"/>
    <mergeCell ref="KZV16:KZW16"/>
    <mergeCell ref="KZX16:KZZ16"/>
    <mergeCell ref="LAA16:LAC16"/>
    <mergeCell ref="LAD16:LAE16"/>
    <mergeCell ref="KZF16:KZG16"/>
    <mergeCell ref="KZH16:KZJ16"/>
    <mergeCell ref="KZK16:KZM16"/>
    <mergeCell ref="KZN16:KZO16"/>
    <mergeCell ref="KZP16:KZR16"/>
    <mergeCell ref="KYR16:KYT16"/>
    <mergeCell ref="KYU16:KYW16"/>
    <mergeCell ref="KYX16:KYY16"/>
    <mergeCell ref="KYZ16:KZB16"/>
    <mergeCell ref="KZC16:KZE16"/>
    <mergeCell ref="LFJ16:LFK16"/>
    <mergeCell ref="LFL16:LFN16"/>
    <mergeCell ref="LFO16:LFQ16"/>
    <mergeCell ref="LFR16:LFS16"/>
    <mergeCell ref="LFT16:LFV16"/>
    <mergeCell ref="LEV16:LEX16"/>
    <mergeCell ref="LEY16:LFA16"/>
    <mergeCell ref="LFB16:LFC16"/>
    <mergeCell ref="LFD16:LFF16"/>
    <mergeCell ref="LFG16:LFI16"/>
    <mergeCell ref="LEI16:LEK16"/>
    <mergeCell ref="LEL16:LEM16"/>
    <mergeCell ref="LEN16:LEP16"/>
    <mergeCell ref="LEQ16:LES16"/>
    <mergeCell ref="LET16:LEU16"/>
    <mergeCell ref="LDV16:LDW16"/>
    <mergeCell ref="LDX16:LDZ16"/>
    <mergeCell ref="LEA16:LEC16"/>
    <mergeCell ref="LED16:LEE16"/>
    <mergeCell ref="LEF16:LEH16"/>
    <mergeCell ref="LDH16:LDJ16"/>
    <mergeCell ref="LDK16:LDM16"/>
    <mergeCell ref="LDN16:LDO16"/>
    <mergeCell ref="LDP16:LDR16"/>
    <mergeCell ref="LDS16:LDU16"/>
    <mergeCell ref="LCU16:LCW16"/>
    <mergeCell ref="LCX16:LCY16"/>
    <mergeCell ref="LCZ16:LDB16"/>
    <mergeCell ref="LDC16:LDE16"/>
    <mergeCell ref="LDF16:LDG16"/>
    <mergeCell ref="LCH16:LCI16"/>
    <mergeCell ref="LCJ16:LCL16"/>
    <mergeCell ref="LCM16:LCO16"/>
    <mergeCell ref="LCP16:LCQ16"/>
    <mergeCell ref="LCR16:LCT16"/>
    <mergeCell ref="LIY16:LJA16"/>
    <mergeCell ref="LJB16:LJC16"/>
    <mergeCell ref="LJD16:LJF16"/>
    <mergeCell ref="LJG16:LJI16"/>
    <mergeCell ref="LJJ16:LJK16"/>
    <mergeCell ref="LIL16:LIM16"/>
    <mergeCell ref="LIN16:LIP16"/>
    <mergeCell ref="LIQ16:LIS16"/>
    <mergeCell ref="LIT16:LIU16"/>
    <mergeCell ref="LIV16:LIX16"/>
    <mergeCell ref="LHX16:LHZ16"/>
    <mergeCell ref="LIA16:LIC16"/>
    <mergeCell ref="LID16:LIE16"/>
    <mergeCell ref="LIF16:LIH16"/>
    <mergeCell ref="LII16:LIK16"/>
    <mergeCell ref="LHK16:LHM16"/>
    <mergeCell ref="LHN16:LHO16"/>
    <mergeCell ref="LHP16:LHR16"/>
    <mergeCell ref="LHS16:LHU16"/>
    <mergeCell ref="LHV16:LHW16"/>
    <mergeCell ref="LGX16:LGY16"/>
    <mergeCell ref="LGZ16:LHB16"/>
    <mergeCell ref="LHC16:LHE16"/>
    <mergeCell ref="LHF16:LHG16"/>
    <mergeCell ref="LHH16:LHJ16"/>
    <mergeCell ref="LGJ16:LGL16"/>
    <mergeCell ref="LGM16:LGO16"/>
    <mergeCell ref="LGP16:LGQ16"/>
    <mergeCell ref="LGR16:LGT16"/>
    <mergeCell ref="LGU16:LGW16"/>
    <mergeCell ref="LFW16:LFY16"/>
    <mergeCell ref="LFZ16:LGA16"/>
    <mergeCell ref="LGB16:LGD16"/>
    <mergeCell ref="LGE16:LGG16"/>
    <mergeCell ref="LGH16:LGI16"/>
    <mergeCell ref="LMN16:LMP16"/>
    <mergeCell ref="LMQ16:LMS16"/>
    <mergeCell ref="LMT16:LMU16"/>
    <mergeCell ref="LMV16:LMX16"/>
    <mergeCell ref="LMY16:LNA16"/>
    <mergeCell ref="LMA16:LMC16"/>
    <mergeCell ref="LMD16:LME16"/>
    <mergeCell ref="LMF16:LMH16"/>
    <mergeCell ref="LMI16:LMK16"/>
    <mergeCell ref="LML16:LMM16"/>
    <mergeCell ref="LLN16:LLO16"/>
    <mergeCell ref="LLP16:LLR16"/>
    <mergeCell ref="LLS16:LLU16"/>
    <mergeCell ref="LLV16:LLW16"/>
    <mergeCell ref="LLX16:LLZ16"/>
    <mergeCell ref="LKZ16:LLB16"/>
    <mergeCell ref="LLC16:LLE16"/>
    <mergeCell ref="LLF16:LLG16"/>
    <mergeCell ref="LLH16:LLJ16"/>
    <mergeCell ref="LLK16:LLM16"/>
    <mergeCell ref="LKM16:LKO16"/>
    <mergeCell ref="LKP16:LKQ16"/>
    <mergeCell ref="LKR16:LKT16"/>
    <mergeCell ref="LKU16:LKW16"/>
    <mergeCell ref="LKX16:LKY16"/>
    <mergeCell ref="LJZ16:LKA16"/>
    <mergeCell ref="LKB16:LKD16"/>
    <mergeCell ref="LKE16:LKG16"/>
    <mergeCell ref="LKH16:LKI16"/>
    <mergeCell ref="LKJ16:LKL16"/>
    <mergeCell ref="LJL16:LJN16"/>
    <mergeCell ref="LJO16:LJQ16"/>
    <mergeCell ref="LJR16:LJS16"/>
    <mergeCell ref="LJT16:LJV16"/>
    <mergeCell ref="LJW16:LJY16"/>
    <mergeCell ref="LQD16:LQE16"/>
    <mergeCell ref="LQF16:LQH16"/>
    <mergeCell ref="LQI16:LQK16"/>
    <mergeCell ref="LQL16:LQM16"/>
    <mergeCell ref="LQN16:LQP16"/>
    <mergeCell ref="LPP16:LPR16"/>
    <mergeCell ref="LPS16:LPU16"/>
    <mergeCell ref="LPV16:LPW16"/>
    <mergeCell ref="LPX16:LPZ16"/>
    <mergeCell ref="LQA16:LQC16"/>
    <mergeCell ref="LPC16:LPE16"/>
    <mergeCell ref="LPF16:LPG16"/>
    <mergeCell ref="LPH16:LPJ16"/>
    <mergeCell ref="LPK16:LPM16"/>
    <mergeCell ref="LPN16:LPO16"/>
    <mergeCell ref="LOP16:LOQ16"/>
    <mergeCell ref="LOR16:LOT16"/>
    <mergeCell ref="LOU16:LOW16"/>
    <mergeCell ref="LOX16:LOY16"/>
    <mergeCell ref="LOZ16:LPB16"/>
    <mergeCell ref="LOB16:LOD16"/>
    <mergeCell ref="LOE16:LOG16"/>
    <mergeCell ref="LOH16:LOI16"/>
    <mergeCell ref="LOJ16:LOL16"/>
    <mergeCell ref="LOM16:LOO16"/>
    <mergeCell ref="LNO16:LNQ16"/>
    <mergeCell ref="LNR16:LNS16"/>
    <mergeCell ref="LNT16:LNV16"/>
    <mergeCell ref="LNW16:LNY16"/>
    <mergeCell ref="LNZ16:LOA16"/>
    <mergeCell ref="LNB16:LNC16"/>
    <mergeCell ref="LND16:LNF16"/>
    <mergeCell ref="LNG16:LNI16"/>
    <mergeCell ref="LNJ16:LNK16"/>
    <mergeCell ref="LNL16:LNN16"/>
    <mergeCell ref="LTS16:LTU16"/>
    <mergeCell ref="LTV16:LTW16"/>
    <mergeCell ref="LTX16:LTZ16"/>
    <mergeCell ref="LUA16:LUC16"/>
    <mergeCell ref="LUD16:LUE16"/>
    <mergeCell ref="LTF16:LTG16"/>
    <mergeCell ref="LTH16:LTJ16"/>
    <mergeCell ref="LTK16:LTM16"/>
    <mergeCell ref="LTN16:LTO16"/>
    <mergeCell ref="LTP16:LTR16"/>
    <mergeCell ref="LSR16:LST16"/>
    <mergeCell ref="LSU16:LSW16"/>
    <mergeCell ref="LSX16:LSY16"/>
    <mergeCell ref="LSZ16:LTB16"/>
    <mergeCell ref="LTC16:LTE16"/>
    <mergeCell ref="LSE16:LSG16"/>
    <mergeCell ref="LSH16:LSI16"/>
    <mergeCell ref="LSJ16:LSL16"/>
    <mergeCell ref="LSM16:LSO16"/>
    <mergeCell ref="LSP16:LSQ16"/>
    <mergeCell ref="LRR16:LRS16"/>
    <mergeCell ref="LRT16:LRV16"/>
    <mergeCell ref="LRW16:LRY16"/>
    <mergeCell ref="LRZ16:LSA16"/>
    <mergeCell ref="LSB16:LSD16"/>
    <mergeCell ref="LRD16:LRF16"/>
    <mergeCell ref="LRG16:LRI16"/>
    <mergeCell ref="LRJ16:LRK16"/>
    <mergeCell ref="LRL16:LRN16"/>
    <mergeCell ref="LRO16:LRQ16"/>
    <mergeCell ref="LQQ16:LQS16"/>
    <mergeCell ref="LQT16:LQU16"/>
    <mergeCell ref="LQV16:LQX16"/>
    <mergeCell ref="LQY16:LRA16"/>
    <mergeCell ref="LRB16:LRC16"/>
    <mergeCell ref="LXH16:LXJ16"/>
    <mergeCell ref="LXK16:LXM16"/>
    <mergeCell ref="LXN16:LXO16"/>
    <mergeCell ref="LXP16:LXR16"/>
    <mergeCell ref="LXS16:LXU16"/>
    <mergeCell ref="LWU16:LWW16"/>
    <mergeCell ref="LWX16:LWY16"/>
    <mergeCell ref="LWZ16:LXB16"/>
    <mergeCell ref="LXC16:LXE16"/>
    <mergeCell ref="LXF16:LXG16"/>
    <mergeCell ref="LWH16:LWI16"/>
    <mergeCell ref="LWJ16:LWL16"/>
    <mergeCell ref="LWM16:LWO16"/>
    <mergeCell ref="LWP16:LWQ16"/>
    <mergeCell ref="LWR16:LWT16"/>
    <mergeCell ref="LVT16:LVV16"/>
    <mergeCell ref="LVW16:LVY16"/>
    <mergeCell ref="LVZ16:LWA16"/>
    <mergeCell ref="LWB16:LWD16"/>
    <mergeCell ref="LWE16:LWG16"/>
    <mergeCell ref="LVG16:LVI16"/>
    <mergeCell ref="LVJ16:LVK16"/>
    <mergeCell ref="LVL16:LVN16"/>
    <mergeCell ref="LVO16:LVQ16"/>
    <mergeCell ref="LVR16:LVS16"/>
    <mergeCell ref="LUT16:LUU16"/>
    <mergeCell ref="LUV16:LUX16"/>
    <mergeCell ref="LUY16:LVA16"/>
    <mergeCell ref="LVB16:LVC16"/>
    <mergeCell ref="LVD16:LVF16"/>
    <mergeCell ref="LUF16:LUH16"/>
    <mergeCell ref="LUI16:LUK16"/>
    <mergeCell ref="LUL16:LUM16"/>
    <mergeCell ref="LUN16:LUP16"/>
    <mergeCell ref="LUQ16:LUS16"/>
    <mergeCell ref="MAX16:MAY16"/>
    <mergeCell ref="MAZ16:MBB16"/>
    <mergeCell ref="MBC16:MBE16"/>
    <mergeCell ref="MBF16:MBG16"/>
    <mergeCell ref="MBH16:MBJ16"/>
    <mergeCell ref="MAJ16:MAL16"/>
    <mergeCell ref="MAM16:MAO16"/>
    <mergeCell ref="MAP16:MAQ16"/>
    <mergeCell ref="MAR16:MAT16"/>
    <mergeCell ref="MAU16:MAW16"/>
    <mergeCell ref="LZW16:LZY16"/>
    <mergeCell ref="LZZ16:MAA16"/>
    <mergeCell ref="MAB16:MAD16"/>
    <mergeCell ref="MAE16:MAG16"/>
    <mergeCell ref="MAH16:MAI16"/>
    <mergeCell ref="LZJ16:LZK16"/>
    <mergeCell ref="LZL16:LZN16"/>
    <mergeCell ref="LZO16:LZQ16"/>
    <mergeCell ref="LZR16:LZS16"/>
    <mergeCell ref="LZT16:LZV16"/>
    <mergeCell ref="LYV16:LYX16"/>
    <mergeCell ref="LYY16:LZA16"/>
    <mergeCell ref="LZB16:LZC16"/>
    <mergeCell ref="LZD16:LZF16"/>
    <mergeCell ref="LZG16:LZI16"/>
    <mergeCell ref="LYI16:LYK16"/>
    <mergeCell ref="LYL16:LYM16"/>
    <mergeCell ref="LYN16:LYP16"/>
    <mergeCell ref="LYQ16:LYS16"/>
    <mergeCell ref="LYT16:LYU16"/>
    <mergeCell ref="LXV16:LXW16"/>
    <mergeCell ref="LXX16:LXZ16"/>
    <mergeCell ref="LYA16:LYC16"/>
    <mergeCell ref="LYD16:LYE16"/>
    <mergeCell ref="LYF16:LYH16"/>
    <mergeCell ref="MEM16:MEO16"/>
    <mergeCell ref="MEP16:MEQ16"/>
    <mergeCell ref="MER16:MET16"/>
    <mergeCell ref="MEU16:MEW16"/>
    <mergeCell ref="MEX16:MEY16"/>
    <mergeCell ref="MDZ16:MEA16"/>
    <mergeCell ref="MEB16:MED16"/>
    <mergeCell ref="MEE16:MEG16"/>
    <mergeCell ref="MEH16:MEI16"/>
    <mergeCell ref="MEJ16:MEL16"/>
    <mergeCell ref="MDL16:MDN16"/>
    <mergeCell ref="MDO16:MDQ16"/>
    <mergeCell ref="MDR16:MDS16"/>
    <mergeCell ref="MDT16:MDV16"/>
    <mergeCell ref="MDW16:MDY16"/>
    <mergeCell ref="MCY16:MDA16"/>
    <mergeCell ref="MDB16:MDC16"/>
    <mergeCell ref="MDD16:MDF16"/>
    <mergeCell ref="MDG16:MDI16"/>
    <mergeCell ref="MDJ16:MDK16"/>
    <mergeCell ref="MCL16:MCM16"/>
    <mergeCell ref="MCN16:MCP16"/>
    <mergeCell ref="MCQ16:MCS16"/>
    <mergeCell ref="MCT16:MCU16"/>
    <mergeCell ref="MCV16:MCX16"/>
    <mergeCell ref="MBX16:MBZ16"/>
    <mergeCell ref="MCA16:MCC16"/>
    <mergeCell ref="MCD16:MCE16"/>
    <mergeCell ref="MCF16:MCH16"/>
    <mergeCell ref="MCI16:MCK16"/>
    <mergeCell ref="MBK16:MBM16"/>
    <mergeCell ref="MBN16:MBO16"/>
    <mergeCell ref="MBP16:MBR16"/>
    <mergeCell ref="MBS16:MBU16"/>
    <mergeCell ref="MBV16:MBW16"/>
    <mergeCell ref="MIB16:MID16"/>
    <mergeCell ref="MIE16:MIG16"/>
    <mergeCell ref="MIH16:MII16"/>
    <mergeCell ref="MIJ16:MIL16"/>
    <mergeCell ref="MIM16:MIO16"/>
    <mergeCell ref="MHO16:MHQ16"/>
    <mergeCell ref="MHR16:MHS16"/>
    <mergeCell ref="MHT16:MHV16"/>
    <mergeCell ref="MHW16:MHY16"/>
    <mergeCell ref="MHZ16:MIA16"/>
    <mergeCell ref="MHB16:MHC16"/>
    <mergeCell ref="MHD16:MHF16"/>
    <mergeCell ref="MHG16:MHI16"/>
    <mergeCell ref="MHJ16:MHK16"/>
    <mergeCell ref="MHL16:MHN16"/>
    <mergeCell ref="MGN16:MGP16"/>
    <mergeCell ref="MGQ16:MGS16"/>
    <mergeCell ref="MGT16:MGU16"/>
    <mergeCell ref="MGV16:MGX16"/>
    <mergeCell ref="MGY16:MHA16"/>
    <mergeCell ref="MGA16:MGC16"/>
    <mergeCell ref="MGD16:MGE16"/>
    <mergeCell ref="MGF16:MGH16"/>
    <mergeCell ref="MGI16:MGK16"/>
    <mergeCell ref="MGL16:MGM16"/>
    <mergeCell ref="MFN16:MFO16"/>
    <mergeCell ref="MFP16:MFR16"/>
    <mergeCell ref="MFS16:MFU16"/>
    <mergeCell ref="MFV16:MFW16"/>
    <mergeCell ref="MFX16:MFZ16"/>
    <mergeCell ref="MEZ16:MFB16"/>
    <mergeCell ref="MFC16:MFE16"/>
    <mergeCell ref="MFF16:MFG16"/>
    <mergeCell ref="MFH16:MFJ16"/>
    <mergeCell ref="MFK16:MFM16"/>
    <mergeCell ref="MLR16:MLS16"/>
    <mergeCell ref="MLT16:MLV16"/>
    <mergeCell ref="MLW16:MLY16"/>
    <mergeCell ref="MLZ16:MMA16"/>
    <mergeCell ref="MMB16:MMD16"/>
    <mergeCell ref="MLD16:MLF16"/>
    <mergeCell ref="MLG16:MLI16"/>
    <mergeCell ref="MLJ16:MLK16"/>
    <mergeCell ref="MLL16:MLN16"/>
    <mergeCell ref="MLO16:MLQ16"/>
    <mergeCell ref="MKQ16:MKS16"/>
    <mergeCell ref="MKT16:MKU16"/>
    <mergeCell ref="MKV16:MKX16"/>
    <mergeCell ref="MKY16:MLA16"/>
    <mergeCell ref="MLB16:MLC16"/>
    <mergeCell ref="MKD16:MKE16"/>
    <mergeCell ref="MKF16:MKH16"/>
    <mergeCell ref="MKI16:MKK16"/>
    <mergeCell ref="MKL16:MKM16"/>
    <mergeCell ref="MKN16:MKP16"/>
    <mergeCell ref="MJP16:MJR16"/>
    <mergeCell ref="MJS16:MJU16"/>
    <mergeCell ref="MJV16:MJW16"/>
    <mergeCell ref="MJX16:MJZ16"/>
    <mergeCell ref="MKA16:MKC16"/>
    <mergeCell ref="MJC16:MJE16"/>
    <mergeCell ref="MJF16:MJG16"/>
    <mergeCell ref="MJH16:MJJ16"/>
    <mergeCell ref="MJK16:MJM16"/>
    <mergeCell ref="MJN16:MJO16"/>
    <mergeCell ref="MIP16:MIQ16"/>
    <mergeCell ref="MIR16:MIT16"/>
    <mergeCell ref="MIU16:MIW16"/>
    <mergeCell ref="MIX16:MIY16"/>
    <mergeCell ref="MIZ16:MJB16"/>
    <mergeCell ref="MPG16:MPI16"/>
    <mergeCell ref="MPJ16:MPK16"/>
    <mergeCell ref="MPL16:MPN16"/>
    <mergeCell ref="MPO16:MPQ16"/>
    <mergeCell ref="MPR16:MPS16"/>
    <mergeCell ref="MOT16:MOU16"/>
    <mergeCell ref="MOV16:MOX16"/>
    <mergeCell ref="MOY16:MPA16"/>
    <mergeCell ref="MPB16:MPC16"/>
    <mergeCell ref="MPD16:MPF16"/>
    <mergeCell ref="MOF16:MOH16"/>
    <mergeCell ref="MOI16:MOK16"/>
    <mergeCell ref="MOL16:MOM16"/>
    <mergeCell ref="MON16:MOP16"/>
    <mergeCell ref="MOQ16:MOS16"/>
    <mergeCell ref="MNS16:MNU16"/>
    <mergeCell ref="MNV16:MNW16"/>
    <mergeCell ref="MNX16:MNZ16"/>
    <mergeCell ref="MOA16:MOC16"/>
    <mergeCell ref="MOD16:MOE16"/>
    <mergeCell ref="MNF16:MNG16"/>
    <mergeCell ref="MNH16:MNJ16"/>
    <mergeCell ref="MNK16:MNM16"/>
    <mergeCell ref="MNN16:MNO16"/>
    <mergeCell ref="MNP16:MNR16"/>
    <mergeCell ref="MMR16:MMT16"/>
    <mergeCell ref="MMU16:MMW16"/>
    <mergeCell ref="MMX16:MMY16"/>
    <mergeCell ref="MMZ16:MNB16"/>
    <mergeCell ref="MNC16:MNE16"/>
    <mergeCell ref="MME16:MMG16"/>
    <mergeCell ref="MMH16:MMI16"/>
    <mergeCell ref="MMJ16:MML16"/>
    <mergeCell ref="MMM16:MMO16"/>
    <mergeCell ref="MMP16:MMQ16"/>
    <mergeCell ref="MSV16:MSX16"/>
    <mergeCell ref="MSY16:MTA16"/>
    <mergeCell ref="MTB16:MTC16"/>
    <mergeCell ref="MTD16:MTF16"/>
    <mergeCell ref="MTG16:MTI16"/>
    <mergeCell ref="MSI16:MSK16"/>
    <mergeCell ref="MSL16:MSM16"/>
    <mergeCell ref="MSN16:MSP16"/>
    <mergeCell ref="MSQ16:MSS16"/>
    <mergeCell ref="MST16:MSU16"/>
    <mergeCell ref="MRV16:MRW16"/>
    <mergeCell ref="MRX16:MRZ16"/>
    <mergeCell ref="MSA16:MSC16"/>
    <mergeCell ref="MSD16:MSE16"/>
    <mergeCell ref="MSF16:MSH16"/>
    <mergeCell ref="MRH16:MRJ16"/>
    <mergeCell ref="MRK16:MRM16"/>
    <mergeCell ref="MRN16:MRO16"/>
    <mergeCell ref="MRP16:MRR16"/>
    <mergeCell ref="MRS16:MRU16"/>
    <mergeCell ref="MQU16:MQW16"/>
    <mergeCell ref="MQX16:MQY16"/>
    <mergeCell ref="MQZ16:MRB16"/>
    <mergeCell ref="MRC16:MRE16"/>
    <mergeCell ref="MRF16:MRG16"/>
    <mergeCell ref="MQH16:MQI16"/>
    <mergeCell ref="MQJ16:MQL16"/>
    <mergeCell ref="MQM16:MQO16"/>
    <mergeCell ref="MQP16:MQQ16"/>
    <mergeCell ref="MQR16:MQT16"/>
    <mergeCell ref="MPT16:MPV16"/>
    <mergeCell ref="MPW16:MPY16"/>
    <mergeCell ref="MPZ16:MQA16"/>
    <mergeCell ref="MQB16:MQD16"/>
    <mergeCell ref="MQE16:MQG16"/>
    <mergeCell ref="MWL16:MWM16"/>
    <mergeCell ref="MWN16:MWP16"/>
    <mergeCell ref="MWQ16:MWS16"/>
    <mergeCell ref="MWT16:MWU16"/>
    <mergeCell ref="MWV16:MWX16"/>
    <mergeCell ref="MVX16:MVZ16"/>
    <mergeCell ref="MWA16:MWC16"/>
    <mergeCell ref="MWD16:MWE16"/>
    <mergeCell ref="MWF16:MWH16"/>
    <mergeCell ref="MWI16:MWK16"/>
    <mergeCell ref="MVK16:MVM16"/>
    <mergeCell ref="MVN16:MVO16"/>
    <mergeCell ref="MVP16:MVR16"/>
    <mergeCell ref="MVS16:MVU16"/>
    <mergeCell ref="MVV16:MVW16"/>
    <mergeCell ref="MUX16:MUY16"/>
    <mergeCell ref="MUZ16:MVB16"/>
    <mergeCell ref="MVC16:MVE16"/>
    <mergeCell ref="MVF16:MVG16"/>
    <mergeCell ref="MVH16:MVJ16"/>
    <mergeCell ref="MUJ16:MUL16"/>
    <mergeCell ref="MUM16:MUO16"/>
    <mergeCell ref="MUP16:MUQ16"/>
    <mergeCell ref="MUR16:MUT16"/>
    <mergeCell ref="MUU16:MUW16"/>
    <mergeCell ref="MTW16:MTY16"/>
    <mergeCell ref="MTZ16:MUA16"/>
    <mergeCell ref="MUB16:MUD16"/>
    <mergeCell ref="MUE16:MUG16"/>
    <mergeCell ref="MUH16:MUI16"/>
    <mergeCell ref="MTJ16:MTK16"/>
    <mergeCell ref="MTL16:MTN16"/>
    <mergeCell ref="MTO16:MTQ16"/>
    <mergeCell ref="MTR16:MTS16"/>
    <mergeCell ref="MTT16:MTV16"/>
    <mergeCell ref="NAA16:NAC16"/>
    <mergeCell ref="NAD16:NAE16"/>
    <mergeCell ref="NAF16:NAH16"/>
    <mergeCell ref="NAI16:NAK16"/>
    <mergeCell ref="NAL16:NAM16"/>
    <mergeCell ref="MZN16:MZO16"/>
    <mergeCell ref="MZP16:MZR16"/>
    <mergeCell ref="MZS16:MZU16"/>
    <mergeCell ref="MZV16:MZW16"/>
    <mergeCell ref="MZX16:MZZ16"/>
    <mergeCell ref="MYZ16:MZB16"/>
    <mergeCell ref="MZC16:MZE16"/>
    <mergeCell ref="MZF16:MZG16"/>
    <mergeCell ref="MZH16:MZJ16"/>
    <mergeCell ref="MZK16:MZM16"/>
    <mergeCell ref="MYM16:MYO16"/>
    <mergeCell ref="MYP16:MYQ16"/>
    <mergeCell ref="MYR16:MYT16"/>
    <mergeCell ref="MYU16:MYW16"/>
    <mergeCell ref="MYX16:MYY16"/>
    <mergeCell ref="MXZ16:MYA16"/>
    <mergeCell ref="MYB16:MYD16"/>
    <mergeCell ref="MYE16:MYG16"/>
    <mergeCell ref="MYH16:MYI16"/>
    <mergeCell ref="MYJ16:MYL16"/>
    <mergeCell ref="MXL16:MXN16"/>
    <mergeCell ref="MXO16:MXQ16"/>
    <mergeCell ref="MXR16:MXS16"/>
    <mergeCell ref="MXT16:MXV16"/>
    <mergeCell ref="MXW16:MXY16"/>
    <mergeCell ref="MWY16:MXA16"/>
    <mergeCell ref="MXB16:MXC16"/>
    <mergeCell ref="MXD16:MXF16"/>
    <mergeCell ref="MXG16:MXI16"/>
    <mergeCell ref="MXJ16:MXK16"/>
    <mergeCell ref="NDP16:NDR16"/>
    <mergeCell ref="NDS16:NDU16"/>
    <mergeCell ref="NDV16:NDW16"/>
    <mergeCell ref="NDX16:NDZ16"/>
    <mergeCell ref="NEA16:NEC16"/>
    <mergeCell ref="NDC16:NDE16"/>
    <mergeCell ref="NDF16:NDG16"/>
    <mergeCell ref="NDH16:NDJ16"/>
    <mergeCell ref="NDK16:NDM16"/>
    <mergeCell ref="NDN16:NDO16"/>
    <mergeCell ref="NCP16:NCQ16"/>
    <mergeCell ref="NCR16:NCT16"/>
    <mergeCell ref="NCU16:NCW16"/>
    <mergeCell ref="NCX16:NCY16"/>
    <mergeCell ref="NCZ16:NDB16"/>
    <mergeCell ref="NCB16:NCD16"/>
    <mergeCell ref="NCE16:NCG16"/>
    <mergeCell ref="NCH16:NCI16"/>
    <mergeCell ref="NCJ16:NCL16"/>
    <mergeCell ref="NCM16:NCO16"/>
    <mergeCell ref="NBO16:NBQ16"/>
    <mergeCell ref="NBR16:NBS16"/>
    <mergeCell ref="NBT16:NBV16"/>
    <mergeCell ref="NBW16:NBY16"/>
    <mergeCell ref="NBZ16:NCA16"/>
    <mergeCell ref="NBB16:NBC16"/>
    <mergeCell ref="NBD16:NBF16"/>
    <mergeCell ref="NBG16:NBI16"/>
    <mergeCell ref="NBJ16:NBK16"/>
    <mergeCell ref="NBL16:NBN16"/>
    <mergeCell ref="NAN16:NAP16"/>
    <mergeCell ref="NAQ16:NAS16"/>
    <mergeCell ref="NAT16:NAU16"/>
    <mergeCell ref="NAV16:NAX16"/>
    <mergeCell ref="NAY16:NBA16"/>
    <mergeCell ref="NHF16:NHG16"/>
    <mergeCell ref="NHH16:NHJ16"/>
    <mergeCell ref="NHK16:NHM16"/>
    <mergeCell ref="NHN16:NHO16"/>
    <mergeCell ref="NHP16:NHR16"/>
    <mergeCell ref="NGR16:NGT16"/>
    <mergeCell ref="NGU16:NGW16"/>
    <mergeCell ref="NGX16:NGY16"/>
    <mergeCell ref="NGZ16:NHB16"/>
    <mergeCell ref="NHC16:NHE16"/>
    <mergeCell ref="NGE16:NGG16"/>
    <mergeCell ref="NGH16:NGI16"/>
    <mergeCell ref="NGJ16:NGL16"/>
    <mergeCell ref="NGM16:NGO16"/>
    <mergeCell ref="NGP16:NGQ16"/>
    <mergeCell ref="NFR16:NFS16"/>
    <mergeCell ref="NFT16:NFV16"/>
    <mergeCell ref="NFW16:NFY16"/>
    <mergeCell ref="NFZ16:NGA16"/>
    <mergeCell ref="NGB16:NGD16"/>
    <mergeCell ref="NFD16:NFF16"/>
    <mergeCell ref="NFG16:NFI16"/>
    <mergeCell ref="NFJ16:NFK16"/>
    <mergeCell ref="NFL16:NFN16"/>
    <mergeCell ref="NFO16:NFQ16"/>
    <mergeCell ref="NEQ16:NES16"/>
    <mergeCell ref="NET16:NEU16"/>
    <mergeCell ref="NEV16:NEX16"/>
    <mergeCell ref="NEY16:NFA16"/>
    <mergeCell ref="NFB16:NFC16"/>
    <mergeCell ref="NED16:NEE16"/>
    <mergeCell ref="NEF16:NEH16"/>
    <mergeCell ref="NEI16:NEK16"/>
    <mergeCell ref="NEL16:NEM16"/>
    <mergeCell ref="NEN16:NEP16"/>
    <mergeCell ref="NKU16:NKW16"/>
    <mergeCell ref="NKX16:NKY16"/>
    <mergeCell ref="NKZ16:NLB16"/>
    <mergeCell ref="NLC16:NLE16"/>
    <mergeCell ref="NLF16:NLG16"/>
    <mergeCell ref="NKH16:NKI16"/>
    <mergeCell ref="NKJ16:NKL16"/>
    <mergeCell ref="NKM16:NKO16"/>
    <mergeCell ref="NKP16:NKQ16"/>
    <mergeCell ref="NKR16:NKT16"/>
    <mergeCell ref="NJT16:NJV16"/>
    <mergeCell ref="NJW16:NJY16"/>
    <mergeCell ref="NJZ16:NKA16"/>
    <mergeCell ref="NKB16:NKD16"/>
    <mergeCell ref="NKE16:NKG16"/>
    <mergeCell ref="NJG16:NJI16"/>
    <mergeCell ref="NJJ16:NJK16"/>
    <mergeCell ref="NJL16:NJN16"/>
    <mergeCell ref="NJO16:NJQ16"/>
    <mergeCell ref="NJR16:NJS16"/>
    <mergeCell ref="NIT16:NIU16"/>
    <mergeCell ref="NIV16:NIX16"/>
    <mergeCell ref="NIY16:NJA16"/>
    <mergeCell ref="NJB16:NJC16"/>
    <mergeCell ref="NJD16:NJF16"/>
    <mergeCell ref="NIF16:NIH16"/>
    <mergeCell ref="NII16:NIK16"/>
    <mergeCell ref="NIL16:NIM16"/>
    <mergeCell ref="NIN16:NIP16"/>
    <mergeCell ref="NIQ16:NIS16"/>
    <mergeCell ref="NHS16:NHU16"/>
    <mergeCell ref="NHV16:NHW16"/>
    <mergeCell ref="NHX16:NHZ16"/>
    <mergeCell ref="NIA16:NIC16"/>
    <mergeCell ref="NID16:NIE16"/>
    <mergeCell ref="NOJ16:NOL16"/>
    <mergeCell ref="NOM16:NOO16"/>
    <mergeCell ref="NOP16:NOQ16"/>
    <mergeCell ref="NOR16:NOT16"/>
    <mergeCell ref="NOU16:NOW16"/>
    <mergeCell ref="NNW16:NNY16"/>
    <mergeCell ref="NNZ16:NOA16"/>
    <mergeCell ref="NOB16:NOD16"/>
    <mergeCell ref="NOE16:NOG16"/>
    <mergeCell ref="NOH16:NOI16"/>
    <mergeCell ref="NNJ16:NNK16"/>
    <mergeCell ref="NNL16:NNN16"/>
    <mergeCell ref="NNO16:NNQ16"/>
    <mergeCell ref="NNR16:NNS16"/>
    <mergeCell ref="NNT16:NNV16"/>
    <mergeCell ref="NMV16:NMX16"/>
    <mergeCell ref="NMY16:NNA16"/>
    <mergeCell ref="NNB16:NNC16"/>
    <mergeCell ref="NND16:NNF16"/>
    <mergeCell ref="NNG16:NNI16"/>
    <mergeCell ref="NMI16:NMK16"/>
    <mergeCell ref="NML16:NMM16"/>
    <mergeCell ref="NMN16:NMP16"/>
    <mergeCell ref="NMQ16:NMS16"/>
    <mergeCell ref="NMT16:NMU16"/>
    <mergeCell ref="NLV16:NLW16"/>
    <mergeCell ref="NLX16:NLZ16"/>
    <mergeCell ref="NMA16:NMC16"/>
    <mergeCell ref="NMD16:NME16"/>
    <mergeCell ref="NMF16:NMH16"/>
    <mergeCell ref="NLH16:NLJ16"/>
    <mergeCell ref="NLK16:NLM16"/>
    <mergeCell ref="NLN16:NLO16"/>
    <mergeCell ref="NLP16:NLR16"/>
    <mergeCell ref="NLS16:NLU16"/>
    <mergeCell ref="NRZ16:NSA16"/>
    <mergeCell ref="NSB16:NSD16"/>
    <mergeCell ref="NSE16:NSG16"/>
    <mergeCell ref="NSH16:NSI16"/>
    <mergeCell ref="NSJ16:NSL16"/>
    <mergeCell ref="NRL16:NRN16"/>
    <mergeCell ref="NRO16:NRQ16"/>
    <mergeCell ref="NRR16:NRS16"/>
    <mergeCell ref="NRT16:NRV16"/>
    <mergeCell ref="NRW16:NRY16"/>
    <mergeCell ref="NQY16:NRA16"/>
    <mergeCell ref="NRB16:NRC16"/>
    <mergeCell ref="NRD16:NRF16"/>
    <mergeCell ref="NRG16:NRI16"/>
    <mergeCell ref="NRJ16:NRK16"/>
    <mergeCell ref="NQL16:NQM16"/>
    <mergeCell ref="NQN16:NQP16"/>
    <mergeCell ref="NQQ16:NQS16"/>
    <mergeCell ref="NQT16:NQU16"/>
    <mergeCell ref="NQV16:NQX16"/>
    <mergeCell ref="NPX16:NPZ16"/>
    <mergeCell ref="NQA16:NQC16"/>
    <mergeCell ref="NQD16:NQE16"/>
    <mergeCell ref="NQF16:NQH16"/>
    <mergeCell ref="NQI16:NQK16"/>
    <mergeCell ref="NPK16:NPM16"/>
    <mergeCell ref="NPN16:NPO16"/>
    <mergeCell ref="NPP16:NPR16"/>
    <mergeCell ref="NPS16:NPU16"/>
    <mergeCell ref="NPV16:NPW16"/>
    <mergeCell ref="NOX16:NOY16"/>
    <mergeCell ref="NOZ16:NPB16"/>
    <mergeCell ref="NPC16:NPE16"/>
    <mergeCell ref="NPF16:NPG16"/>
    <mergeCell ref="NPH16:NPJ16"/>
    <mergeCell ref="NVO16:NVQ16"/>
    <mergeCell ref="NVR16:NVS16"/>
    <mergeCell ref="NVT16:NVV16"/>
    <mergeCell ref="NVW16:NVY16"/>
    <mergeCell ref="NVZ16:NWA16"/>
    <mergeCell ref="NVB16:NVC16"/>
    <mergeCell ref="NVD16:NVF16"/>
    <mergeCell ref="NVG16:NVI16"/>
    <mergeCell ref="NVJ16:NVK16"/>
    <mergeCell ref="NVL16:NVN16"/>
    <mergeCell ref="NUN16:NUP16"/>
    <mergeCell ref="NUQ16:NUS16"/>
    <mergeCell ref="NUT16:NUU16"/>
    <mergeCell ref="NUV16:NUX16"/>
    <mergeCell ref="NUY16:NVA16"/>
    <mergeCell ref="NUA16:NUC16"/>
    <mergeCell ref="NUD16:NUE16"/>
    <mergeCell ref="NUF16:NUH16"/>
    <mergeCell ref="NUI16:NUK16"/>
    <mergeCell ref="NUL16:NUM16"/>
    <mergeCell ref="NTN16:NTO16"/>
    <mergeCell ref="NTP16:NTR16"/>
    <mergeCell ref="NTS16:NTU16"/>
    <mergeCell ref="NTV16:NTW16"/>
    <mergeCell ref="NTX16:NTZ16"/>
    <mergeCell ref="NSZ16:NTB16"/>
    <mergeCell ref="NTC16:NTE16"/>
    <mergeCell ref="NTF16:NTG16"/>
    <mergeCell ref="NTH16:NTJ16"/>
    <mergeCell ref="NTK16:NTM16"/>
    <mergeCell ref="NSM16:NSO16"/>
    <mergeCell ref="NSP16:NSQ16"/>
    <mergeCell ref="NSR16:NST16"/>
    <mergeCell ref="NSU16:NSW16"/>
    <mergeCell ref="NSX16:NSY16"/>
    <mergeCell ref="NZD16:NZF16"/>
    <mergeCell ref="NZG16:NZI16"/>
    <mergeCell ref="NZJ16:NZK16"/>
    <mergeCell ref="NZL16:NZN16"/>
    <mergeCell ref="NZO16:NZQ16"/>
    <mergeCell ref="NYQ16:NYS16"/>
    <mergeCell ref="NYT16:NYU16"/>
    <mergeCell ref="NYV16:NYX16"/>
    <mergeCell ref="NYY16:NZA16"/>
    <mergeCell ref="NZB16:NZC16"/>
    <mergeCell ref="NYD16:NYE16"/>
    <mergeCell ref="NYF16:NYH16"/>
    <mergeCell ref="NYI16:NYK16"/>
    <mergeCell ref="NYL16:NYM16"/>
    <mergeCell ref="NYN16:NYP16"/>
    <mergeCell ref="NXP16:NXR16"/>
    <mergeCell ref="NXS16:NXU16"/>
    <mergeCell ref="NXV16:NXW16"/>
    <mergeCell ref="NXX16:NXZ16"/>
    <mergeCell ref="NYA16:NYC16"/>
    <mergeCell ref="NXC16:NXE16"/>
    <mergeCell ref="NXF16:NXG16"/>
    <mergeCell ref="NXH16:NXJ16"/>
    <mergeCell ref="NXK16:NXM16"/>
    <mergeCell ref="NXN16:NXO16"/>
    <mergeCell ref="NWP16:NWQ16"/>
    <mergeCell ref="NWR16:NWT16"/>
    <mergeCell ref="NWU16:NWW16"/>
    <mergeCell ref="NWX16:NWY16"/>
    <mergeCell ref="NWZ16:NXB16"/>
    <mergeCell ref="NWB16:NWD16"/>
    <mergeCell ref="NWE16:NWG16"/>
    <mergeCell ref="NWH16:NWI16"/>
    <mergeCell ref="NWJ16:NWL16"/>
    <mergeCell ref="NWM16:NWO16"/>
    <mergeCell ref="OCT16:OCU16"/>
    <mergeCell ref="OCV16:OCX16"/>
    <mergeCell ref="OCY16:ODA16"/>
    <mergeCell ref="ODB16:ODC16"/>
    <mergeCell ref="ODD16:ODF16"/>
    <mergeCell ref="OCF16:OCH16"/>
    <mergeCell ref="OCI16:OCK16"/>
    <mergeCell ref="OCL16:OCM16"/>
    <mergeCell ref="OCN16:OCP16"/>
    <mergeCell ref="OCQ16:OCS16"/>
    <mergeCell ref="OBS16:OBU16"/>
    <mergeCell ref="OBV16:OBW16"/>
    <mergeCell ref="OBX16:OBZ16"/>
    <mergeCell ref="OCA16:OCC16"/>
    <mergeCell ref="OCD16:OCE16"/>
    <mergeCell ref="OBF16:OBG16"/>
    <mergeCell ref="OBH16:OBJ16"/>
    <mergeCell ref="OBK16:OBM16"/>
    <mergeCell ref="OBN16:OBO16"/>
    <mergeCell ref="OBP16:OBR16"/>
    <mergeCell ref="OAR16:OAT16"/>
    <mergeCell ref="OAU16:OAW16"/>
    <mergeCell ref="OAX16:OAY16"/>
    <mergeCell ref="OAZ16:OBB16"/>
    <mergeCell ref="OBC16:OBE16"/>
    <mergeCell ref="OAE16:OAG16"/>
    <mergeCell ref="OAH16:OAI16"/>
    <mergeCell ref="OAJ16:OAL16"/>
    <mergeCell ref="OAM16:OAO16"/>
    <mergeCell ref="OAP16:OAQ16"/>
    <mergeCell ref="NZR16:NZS16"/>
    <mergeCell ref="NZT16:NZV16"/>
    <mergeCell ref="NZW16:NZY16"/>
    <mergeCell ref="NZZ16:OAA16"/>
    <mergeCell ref="OAB16:OAD16"/>
    <mergeCell ref="OGI16:OGK16"/>
    <mergeCell ref="OGL16:OGM16"/>
    <mergeCell ref="OGN16:OGP16"/>
    <mergeCell ref="OGQ16:OGS16"/>
    <mergeCell ref="OGT16:OGU16"/>
    <mergeCell ref="OFV16:OFW16"/>
    <mergeCell ref="OFX16:OFZ16"/>
    <mergeCell ref="OGA16:OGC16"/>
    <mergeCell ref="OGD16:OGE16"/>
    <mergeCell ref="OGF16:OGH16"/>
    <mergeCell ref="OFH16:OFJ16"/>
    <mergeCell ref="OFK16:OFM16"/>
    <mergeCell ref="OFN16:OFO16"/>
    <mergeCell ref="OFP16:OFR16"/>
    <mergeCell ref="OFS16:OFU16"/>
    <mergeCell ref="OEU16:OEW16"/>
    <mergeCell ref="OEX16:OEY16"/>
    <mergeCell ref="OEZ16:OFB16"/>
    <mergeCell ref="OFC16:OFE16"/>
    <mergeCell ref="OFF16:OFG16"/>
    <mergeCell ref="OEH16:OEI16"/>
    <mergeCell ref="OEJ16:OEL16"/>
    <mergeCell ref="OEM16:OEO16"/>
    <mergeCell ref="OEP16:OEQ16"/>
    <mergeCell ref="OER16:OET16"/>
    <mergeCell ref="ODT16:ODV16"/>
    <mergeCell ref="ODW16:ODY16"/>
    <mergeCell ref="ODZ16:OEA16"/>
    <mergeCell ref="OEB16:OED16"/>
    <mergeCell ref="OEE16:OEG16"/>
    <mergeCell ref="ODG16:ODI16"/>
    <mergeCell ref="ODJ16:ODK16"/>
    <mergeCell ref="ODL16:ODN16"/>
    <mergeCell ref="ODO16:ODQ16"/>
    <mergeCell ref="ODR16:ODS16"/>
    <mergeCell ref="OJX16:OJZ16"/>
    <mergeCell ref="OKA16:OKC16"/>
    <mergeCell ref="OKD16:OKE16"/>
    <mergeCell ref="OKF16:OKH16"/>
    <mergeCell ref="OKI16:OKK16"/>
    <mergeCell ref="OJK16:OJM16"/>
    <mergeCell ref="OJN16:OJO16"/>
    <mergeCell ref="OJP16:OJR16"/>
    <mergeCell ref="OJS16:OJU16"/>
    <mergeCell ref="OJV16:OJW16"/>
    <mergeCell ref="OIX16:OIY16"/>
    <mergeCell ref="OIZ16:OJB16"/>
    <mergeCell ref="OJC16:OJE16"/>
    <mergeCell ref="OJF16:OJG16"/>
    <mergeCell ref="OJH16:OJJ16"/>
    <mergeCell ref="OIJ16:OIL16"/>
    <mergeCell ref="OIM16:OIO16"/>
    <mergeCell ref="OIP16:OIQ16"/>
    <mergeCell ref="OIR16:OIT16"/>
    <mergeCell ref="OIU16:OIW16"/>
    <mergeCell ref="OHW16:OHY16"/>
    <mergeCell ref="OHZ16:OIA16"/>
    <mergeCell ref="OIB16:OID16"/>
    <mergeCell ref="OIE16:OIG16"/>
    <mergeCell ref="OIH16:OII16"/>
    <mergeCell ref="OHJ16:OHK16"/>
    <mergeCell ref="OHL16:OHN16"/>
    <mergeCell ref="OHO16:OHQ16"/>
    <mergeCell ref="OHR16:OHS16"/>
    <mergeCell ref="OHT16:OHV16"/>
    <mergeCell ref="OGV16:OGX16"/>
    <mergeCell ref="OGY16:OHA16"/>
    <mergeCell ref="OHB16:OHC16"/>
    <mergeCell ref="OHD16:OHF16"/>
    <mergeCell ref="OHG16:OHI16"/>
    <mergeCell ref="ONN16:ONO16"/>
    <mergeCell ref="ONP16:ONR16"/>
    <mergeCell ref="ONS16:ONU16"/>
    <mergeCell ref="ONV16:ONW16"/>
    <mergeCell ref="ONX16:ONZ16"/>
    <mergeCell ref="OMZ16:ONB16"/>
    <mergeCell ref="ONC16:ONE16"/>
    <mergeCell ref="ONF16:ONG16"/>
    <mergeCell ref="ONH16:ONJ16"/>
    <mergeCell ref="ONK16:ONM16"/>
    <mergeCell ref="OMM16:OMO16"/>
    <mergeCell ref="OMP16:OMQ16"/>
    <mergeCell ref="OMR16:OMT16"/>
    <mergeCell ref="OMU16:OMW16"/>
    <mergeCell ref="OMX16:OMY16"/>
    <mergeCell ref="OLZ16:OMA16"/>
    <mergeCell ref="OMB16:OMD16"/>
    <mergeCell ref="OME16:OMG16"/>
    <mergeCell ref="OMH16:OMI16"/>
    <mergeCell ref="OMJ16:OML16"/>
    <mergeCell ref="OLL16:OLN16"/>
    <mergeCell ref="OLO16:OLQ16"/>
    <mergeCell ref="OLR16:OLS16"/>
    <mergeCell ref="OLT16:OLV16"/>
    <mergeCell ref="OLW16:OLY16"/>
    <mergeCell ref="OKY16:OLA16"/>
    <mergeCell ref="OLB16:OLC16"/>
    <mergeCell ref="OLD16:OLF16"/>
    <mergeCell ref="OLG16:OLI16"/>
    <mergeCell ref="OLJ16:OLK16"/>
    <mergeCell ref="OKL16:OKM16"/>
    <mergeCell ref="OKN16:OKP16"/>
    <mergeCell ref="OKQ16:OKS16"/>
    <mergeCell ref="OKT16:OKU16"/>
    <mergeCell ref="OKV16:OKX16"/>
    <mergeCell ref="ORC16:ORE16"/>
    <mergeCell ref="ORF16:ORG16"/>
    <mergeCell ref="ORH16:ORJ16"/>
    <mergeCell ref="ORK16:ORM16"/>
    <mergeCell ref="ORN16:ORO16"/>
    <mergeCell ref="OQP16:OQQ16"/>
    <mergeCell ref="OQR16:OQT16"/>
    <mergeCell ref="OQU16:OQW16"/>
    <mergeCell ref="OQX16:OQY16"/>
    <mergeCell ref="OQZ16:ORB16"/>
    <mergeCell ref="OQB16:OQD16"/>
    <mergeCell ref="OQE16:OQG16"/>
    <mergeCell ref="OQH16:OQI16"/>
    <mergeCell ref="OQJ16:OQL16"/>
    <mergeCell ref="OQM16:OQO16"/>
    <mergeCell ref="OPO16:OPQ16"/>
    <mergeCell ref="OPR16:OPS16"/>
    <mergeCell ref="OPT16:OPV16"/>
    <mergeCell ref="OPW16:OPY16"/>
    <mergeCell ref="OPZ16:OQA16"/>
    <mergeCell ref="OPB16:OPC16"/>
    <mergeCell ref="OPD16:OPF16"/>
    <mergeCell ref="OPG16:OPI16"/>
    <mergeCell ref="OPJ16:OPK16"/>
    <mergeCell ref="OPL16:OPN16"/>
    <mergeCell ref="OON16:OOP16"/>
    <mergeCell ref="OOQ16:OOS16"/>
    <mergeCell ref="OOT16:OOU16"/>
    <mergeCell ref="OOV16:OOX16"/>
    <mergeCell ref="OOY16:OPA16"/>
    <mergeCell ref="OOA16:OOC16"/>
    <mergeCell ref="OOD16:OOE16"/>
    <mergeCell ref="OOF16:OOH16"/>
    <mergeCell ref="OOI16:OOK16"/>
    <mergeCell ref="OOL16:OOM16"/>
    <mergeCell ref="OUR16:OUT16"/>
    <mergeCell ref="OUU16:OUW16"/>
    <mergeCell ref="OUX16:OUY16"/>
    <mergeCell ref="OUZ16:OVB16"/>
    <mergeCell ref="OVC16:OVE16"/>
    <mergeCell ref="OUE16:OUG16"/>
    <mergeCell ref="OUH16:OUI16"/>
    <mergeCell ref="OUJ16:OUL16"/>
    <mergeCell ref="OUM16:OUO16"/>
    <mergeCell ref="OUP16:OUQ16"/>
    <mergeCell ref="OTR16:OTS16"/>
    <mergeCell ref="OTT16:OTV16"/>
    <mergeCell ref="OTW16:OTY16"/>
    <mergeCell ref="OTZ16:OUA16"/>
    <mergeCell ref="OUB16:OUD16"/>
    <mergeCell ref="OTD16:OTF16"/>
    <mergeCell ref="OTG16:OTI16"/>
    <mergeCell ref="OTJ16:OTK16"/>
    <mergeCell ref="OTL16:OTN16"/>
    <mergeCell ref="OTO16:OTQ16"/>
    <mergeCell ref="OSQ16:OSS16"/>
    <mergeCell ref="OST16:OSU16"/>
    <mergeCell ref="OSV16:OSX16"/>
    <mergeCell ref="OSY16:OTA16"/>
    <mergeCell ref="OTB16:OTC16"/>
    <mergeCell ref="OSD16:OSE16"/>
    <mergeCell ref="OSF16:OSH16"/>
    <mergeCell ref="OSI16:OSK16"/>
    <mergeCell ref="OSL16:OSM16"/>
    <mergeCell ref="OSN16:OSP16"/>
    <mergeCell ref="ORP16:ORR16"/>
    <mergeCell ref="ORS16:ORU16"/>
    <mergeCell ref="ORV16:ORW16"/>
    <mergeCell ref="ORX16:ORZ16"/>
    <mergeCell ref="OSA16:OSC16"/>
    <mergeCell ref="OYH16:OYI16"/>
    <mergeCell ref="OYJ16:OYL16"/>
    <mergeCell ref="OYM16:OYO16"/>
    <mergeCell ref="OYP16:OYQ16"/>
    <mergeCell ref="OYR16:OYT16"/>
    <mergeCell ref="OXT16:OXV16"/>
    <mergeCell ref="OXW16:OXY16"/>
    <mergeCell ref="OXZ16:OYA16"/>
    <mergeCell ref="OYB16:OYD16"/>
    <mergeCell ref="OYE16:OYG16"/>
    <mergeCell ref="OXG16:OXI16"/>
    <mergeCell ref="OXJ16:OXK16"/>
    <mergeCell ref="OXL16:OXN16"/>
    <mergeCell ref="OXO16:OXQ16"/>
    <mergeCell ref="OXR16:OXS16"/>
    <mergeCell ref="OWT16:OWU16"/>
    <mergeCell ref="OWV16:OWX16"/>
    <mergeCell ref="OWY16:OXA16"/>
    <mergeCell ref="OXB16:OXC16"/>
    <mergeCell ref="OXD16:OXF16"/>
    <mergeCell ref="OWF16:OWH16"/>
    <mergeCell ref="OWI16:OWK16"/>
    <mergeCell ref="OWL16:OWM16"/>
    <mergeCell ref="OWN16:OWP16"/>
    <mergeCell ref="OWQ16:OWS16"/>
    <mergeCell ref="OVS16:OVU16"/>
    <mergeCell ref="OVV16:OVW16"/>
    <mergeCell ref="OVX16:OVZ16"/>
    <mergeCell ref="OWA16:OWC16"/>
    <mergeCell ref="OWD16:OWE16"/>
    <mergeCell ref="OVF16:OVG16"/>
    <mergeCell ref="OVH16:OVJ16"/>
    <mergeCell ref="OVK16:OVM16"/>
    <mergeCell ref="OVN16:OVO16"/>
    <mergeCell ref="OVP16:OVR16"/>
    <mergeCell ref="PBW16:PBY16"/>
    <mergeCell ref="PBZ16:PCA16"/>
    <mergeCell ref="PCB16:PCD16"/>
    <mergeCell ref="PCE16:PCG16"/>
    <mergeCell ref="PCH16:PCI16"/>
    <mergeCell ref="PBJ16:PBK16"/>
    <mergeCell ref="PBL16:PBN16"/>
    <mergeCell ref="PBO16:PBQ16"/>
    <mergeCell ref="PBR16:PBS16"/>
    <mergeCell ref="PBT16:PBV16"/>
    <mergeCell ref="PAV16:PAX16"/>
    <mergeCell ref="PAY16:PBA16"/>
    <mergeCell ref="PBB16:PBC16"/>
    <mergeCell ref="PBD16:PBF16"/>
    <mergeCell ref="PBG16:PBI16"/>
    <mergeCell ref="PAI16:PAK16"/>
    <mergeCell ref="PAL16:PAM16"/>
    <mergeCell ref="PAN16:PAP16"/>
    <mergeCell ref="PAQ16:PAS16"/>
    <mergeCell ref="PAT16:PAU16"/>
    <mergeCell ref="OZV16:OZW16"/>
    <mergeCell ref="OZX16:OZZ16"/>
    <mergeCell ref="PAA16:PAC16"/>
    <mergeCell ref="PAD16:PAE16"/>
    <mergeCell ref="PAF16:PAH16"/>
    <mergeCell ref="OZH16:OZJ16"/>
    <mergeCell ref="OZK16:OZM16"/>
    <mergeCell ref="OZN16:OZO16"/>
    <mergeCell ref="OZP16:OZR16"/>
    <mergeCell ref="OZS16:OZU16"/>
    <mergeCell ref="OYU16:OYW16"/>
    <mergeCell ref="OYX16:OYY16"/>
    <mergeCell ref="OYZ16:OZB16"/>
    <mergeCell ref="OZC16:OZE16"/>
    <mergeCell ref="OZF16:OZG16"/>
    <mergeCell ref="PFL16:PFN16"/>
    <mergeCell ref="PFO16:PFQ16"/>
    <mergeCell ref="PFR16:PFS16"/>
    <mergeCell ref="PFT16:PFV16"/>
    <mergeCell ref="PFW16:PFY16"/>
    <mergeCell ref="PEY16:PFA16"/>
    <mergeCell ref="PFB16:PFC16"/>
    <mergeCell ref="PFD16:PFF16"/>
    <mergeCell ref="PFG16:PFI16"/>
    <mergeCell ref="PFJ16:PFK16"/>
    <mergeCell ref="PEL16:PEM16"/>
    <mergeCell ref="PEN16:PEP16"/>
    <mergeCell ref="PEQ16:PES16"/>
    <mergeCell ref="PET16:PEU16"/>
    <mergeCell ref="PEV16:PEX16"/>
    <mergeCell ref="PDX16:PDZ16"/>
    <mergeCell ref="PEA16:PEC16"/>
    <mergeCell ref="PED16:PEE16"/>
    <mergeCell ref="PEF16:PEH16"/>
    <mergeCell ref="PEI16:PEK16"/>
    <mergeCell ref="PDK16:PDM16"/>
    <mergeCell ref="PDN16:PDO16"/>
    <mergeCell ref="PDP16:PDR16"/>
    <mergeCell ref="PDS16:PDU16"/>
    <mergeCell ref="PDV16:PDW16"/>
    <mergeCell ref="PCX16:PCY16"/>
    <mergeCell ref="PCZ16:PDB16"/>
    <mergeCell ref="PDC16:PDE16"/>
    <mergeCell ref="PDF16:PDG16"/>
    <mergeCell ref="PDH16:PDJ16"/>
    <mergeCell ref="PCJ16:PCL16"/>
    <mergeCell ref="PCM16:PCO16"/>
    <mergeCell ref="PCP16:PCQ16"/>
    <mergeCell ref="PCR16:PCT16"/>
    <mergeCell ref="PCU16:PCW16"/>
    <mergeCell ref="PJB16:PJC16"/>
    <mergeCell ref="PJD16:PJF16"/>
    <mergeCell ref="PJG16:PJI16"/>
    <mergeCell ref="PJJ16:PJK16"/>
    <mergeCell ref="PJL16:PJN16"/>
    <mergeCell ref="PIN16:PIP16"/>
    <mergeCell ref="PIQ16:PIS16"/>
    <mergeCell ref="PIT16:PIU16"/>
    <mergeCell ref="PIV16:PIX16"/>
    <mergeCell ref="PIY16:PJA16"/>
    <mergeCell ref="PIA16:PIC16"/>
    <mergeCell ref="PID16:PIE16"/>
    <mergeCell ref="PIF16:PIH16"/>
    <mergeCell ref="PII16:PIK16"/>
    <mergeCell ref="PIL16:PIM16"/>
    <mergeCell ref="PHN16:PHO16"/>
    <mergeCell ref="PHP16:PHR16"/>
    <mergeCell ref="PHS16:PHU16"/>
    <mergeCell ref="PHV16:PHW16"/>
    <mergeCell ref="PHX16:PHZ16"/>
    <mergeCell ref="PGZ16:PHB16"/>
    <mergeCell ref="PHC16:PHE16"/>
    <mergeCell ref="PHF16:PHG16"/>
    <mergeCell ref="PHH16:PHJ16"/>
    <mergeCell ref="PHK16:PHM16"/>
    <mergeCell ref="PGM16:PGO16"/>
    <mergeCell ref="PGP16:PGQ16"/>
    <mergeCell ref="PGR16:PGT16"/>
    <mergeCell ref="PGU16:PGW16"/>
    <mergeCell ref="PGX16:PGY16"/>
    <mergeCell ref="PFZ16:PGA16"/>
    <mergeCell ref="PGB16:PGD16"/>
    <mergeCell ref="PGE16:PGG16"/>
    <mergeCell ref="PGH16:PGI16"/>
    <mergeCell ref="PGJ16:PGL16"/>
    <mergeCell ref="PMQ16:PMS16"/>
    <mergeCell ref="PMT16:PMU16"/>
    <mergeCell ref="PMV16:PMX16"/>
    <mergeCell ref="PMY16:PNA16"/>
    <mergeCell ref="PNB16:PNC16"/>
    <mergeCell ref="PMD16:PME16"/>
    <mergeCell ref="PMF16:PMH16"/>
    <mergeCell ref="PMI16:PMK16"/>
    <mergeCell ref="PML16:PMM16"/>
    <mergeCell ref="PMN16:PMP16"/>
    <mergeCell ref="PLP16:PLR16"/>
    <mergeCell ref="PLS16:PLU16"/>
    <mergeCell ref="PLV16:PLW16"/>
    <mergeCell ref="PLX16:PLZ16"/>
    <mergeCell ref="PMA16:PMC16"/>
    <mergeCell ref="PLC16:PLE16"/>
    <mergeCell ref="PLF16:PLG16"/>
    <mergeCell ref="PLH16:PLJ16"/>
    <mergeCell ref="PLK16:PLM16"/>
    <mergeCell ref="PLN16:PLO16"/>
    <mergeCell ref="PKP16:PKQ16"/>
    <mergeCell ref="PKR16:PKT16"/>
    <mergeCell ref="PKU16:PKW16"/>
    <mergeCell ref="PKX16:PKY16"/>
    <mergeCell ref="PKZ16:PLB16"/>
    <mergeCell ref="PKB16:PKD16"/>
    <mergeCell ref="PKE16:PKG16"/>
    <mergeCell ref="PKH16:PKI16"/>
    <mergeCell ref="PKJ16:PKL16"/>
    <mergeCell ref="PKM16:PKO16"/>
    <mergeCell ref="PJO16:PJQ16"/>
    <mergeCell ref="PJR16:PJS16"/>
    <mergeCell ref="PJT16:PJV16"/>
    <mergeCell ref="PJW16:PJY16"/>
    <mergeCell ref="PJZ16:PKA16"/>
    <mergeCell ref="PQF16:PQH16"/>
    <mergeCell ref="PQI16:PQK16"/>
    <mergeCell ref="PQL16:PQM16"/>
    <mergeCell ref="PQN16:PQP16"/>
    <mergeCell ref="PQQ16:PQS16"/>
    <mergeCell ref="PPS16:PPU16"/>
    <mergeCell ref="PPV16:PPW16"/>
    <mergeCell ref="PPX16:PPZ16"/>
    <mergeCell ref="PQA16:PQC16"/>
    <mergeCell ref="PQD16:PQE16"/>
    <mergeCell ref="PPF16:PPG16"/>
    <mergeCell ref="PPH16:PPJ16"/>
    <mergeCell ref="PPK16:PPM16"/>
    <mergeCell ref="PPN16:PPO16"/>
    <mergeCell ref="PPP16:PPR16"/>
    <mergeCell ref="POR16:POT16"/>
    <mergeCell ref="POU16:POW16"/>
    <mergeCell ref="POX16:POY16"/>
    <mergeCell ref="POZ16:PPB16"/>
    <mergeCell ref="PPC16:PPE16"/>
    <mergeCell ref="POE16:POG16"/>
    <mergeCell ref="POH16:POI16"/>
    <mergeCell ref="POJ16:POL16"/>
    <mergeCell ref="POM16:POO16"/>
    <mergeCell ref="POP16:POQ16"/>
    <mergeCell ref="PNR16:PNS16"/>
    <mergeCell ref="PNT16:PNV16"/>
    <mergeCell ref="PNW16:PNY16"/>
    <mergeCell ref="PNZ16:POA16"/>
    <mergeCell ref="POB16:POD16"/>
    <mergeCell ref="PND16:PNF16"/>
    <mergeCell ref="PNG16:PNI16"/>
    <mergeCell ref="PNJ16:PNK16"/>
    <mergeCell ref="PNL16:PNN16"/>
    <mergeCell ref="PNO16:PNQ16"/>
    <mergeCell ref="PTV16:PTW16"/>
    <mergeCell ref="PTX16:PTZ16"/>
    <mergeCell ref="PUA16:PUC16"/>
    <mergeCell ref="PUD16:PUE16"/>
    <mergeCell ref="PUF16:PUH16"/>
    <mergeCell ref="PTH16:PTJ16"/>
    <mergeCell ref="PTK16:PTM16"/>
    <mergeCell ref="PTN16:PTO16"/>
    <mergeCell ref="PTP16:PTR16"/>
    <mergeCell ref="PTS16:PTU16"/>
    <mergeCell ref="PSU16:PSW16"/>
    <mergeCell ref="PSX16:PSY16"/>
    <mergeCell ref="PSZ16:PTB16"/>
    <mergeCell ref="PTC16:PTE16"/>
    <mergeCell ref="PTF16:PTG16"/>
    <mergeCell ref="PSH16:PSI16"/>
    <mergeCell ref="PSJ16:PSL16"/>
    <mergeCell ref="PSM16:PSO16"/>
    <mergeCell ref="PSP16:PSQ16"/>
    <mergeCell ref="PSR16:PST16"/>
    <mergeCell ref="PRT16:PRV16"/>
    <mergeCell ref="PRW16:PRY16"/>
    <mergeCell ref="PRZ16:PSA16"/>
    <mergeCell ref="PSB16:PSD16"/>
    <mergeCell ref="PSE16:PSG16"/>
    <mergeCell ref="PRG16:PRI16"/>
    <mergeCell ref="PRJ16:PRK16"/>
    <mergeCell ref="PRL16:PRN16"/>
    <mergeCell ref="PRO16:PRQ16"/>
    <mergeCell ref="PRR16:PRS16"/>
    <mergeCell ref="PQT16:PQU16"/>
    <mergeCell ref="PQV16:PQX16"/>
    <mergeCell ref="PQY16:PRA16"/>
    <mergeCell ref="PRB16:PRC16"/>
    <mergeCell ref="PRD16:PRF16"/>
    <mergeCell ref="PXK16:PXM16"/>
    <mergeCell ref="PXN16:PXO16"/>
    <mergeCell ref="PXP16:PXR16"/>
    <mergeCell ref="PXS16:PXU16"/>
    <mergeCell ref="PXV16:PXW16"/>
    <mergeCell ref="PWX16:PWY16"/>
    <mergeCell ref="PWZ16:PXB16"/>
    <mergeCell ref="PXC16:PXE16"/>
    <mergeCell ref="PXF16:PXG16"/>
    <mergeCell ref="PXH16:PXJ16"/>
    <mergeCell ref="PWJ16:PWL16"/>
    <mergeCell ref="PWM16:PWO16"/>
    <mergeCell ref="PWP16:PWQ16"/>
    <mergeCell ref="PWR16:PWT16"/>
    <mergeCell ref="PWU16:PWW16"/>
    <mergeCell ref="PVW16:PVY16"/>
    <mergeCell ref="PVZ16:PWA16"/>
    <mergeCell ref="PWB16:PWD16"/>
    <mergeCell ref="PWE16:PWG16"/>
    <mergeCell ref="PWH16:PWI16"/>
    <mergeCell ref="PVJ16:PVK16"/>
    <mergeCell ref="PVL16:PVN16"/>
    <mergeCell ref="PVO16:PVQ16"/>
    <mergeCell ref="PVR16:PVS16"/>
    <mergeCell ref="PVT16:PVV16"/>
    <mergeCell ref="PUV16:PUX16"/>
    <mergeCell ref="PUY16:PVA16"/>
    <mergeCell ref="PVB16:PVC16"/>
    <mergeCell ref="PVD16:PVF16"/>
    <mergeCell ref="PVG16:PVI16"/>
    <mergeCell ref="PUI16:PUK16"/>
    <mergeCell ref="PUL16:PUM16"/>
    <mergeCell ref="PUN16:PUP16"/>
    <mergeCell ref="PUQ16:PUS16"/>
    <mergeCell ref="PUT16:PUU16"/>
    <mergeCell ref="QAZ16:QBB16"/>
    <mergeCell ref="QBC16:QBE16"/>
    <mergeCell ref="QBF16:QBG16"/>
    <mergeCell ref="QBH16:QBJ16"/>
    <mergeCell ref="QBK16:QBM16"/>
    <mergeCell ref="QAM16:QAO16"/>
    <mergeCell ref="QAP16:QAQ16"/>
    <mergeCell ref="QAR16:QAT16"/>
    <mergeCell ref="QAU16:QAW16"/>
    <mergeCell ref="QAX16:QAY16"/>
    <mergeCell ref="PZZ16:QAA16"/>
    <mergeCell ref="QAB16:QAD16"/>
    <mergeCell ref="QAE16:QAG16"/>
    <mergeCell ref="QAH16:QAI16"/>
    <mergeCell ref="QAJ16:QAL16"/>
    <mergeCell ref="PZL16:PZN16"/>
    <mergeCell ref="PZO16:PZQ16"/>
    <mergeCell ref="PZR16:PZS16"/>
    <mergeCell ref="PZT16:PZV16"/>
    <mergeCell ref="PZW16:PZY16"/>
    <mergeCell ref="PYY16:PZA16"/>
    <mergeCell ref="PZB16:PZC16"/>
    <mergeCell ref="PZD16:PZF16"/>
    <mergeCell ref="PZG16:PZI16"/>
    <mergeCell ref="PZJ16:PZK16"/>
    <mergeCell ref="PYL16:PYM16"/>
    <mergeCell ref="PYN16:PYP16"/>
    <mergeCell ref="PYQ16:PYS16"/>
    <mergeCell ref="PYT16:PYU16"/>
    <mergeCell ref="PYV16:PYX16"/>
    <mergeCell ref="PXX16:PXZ16"/>
    <mergeCell ref="PYA16:PYC16"/>
    <mergeCell ref="PYD16:PYE16"/>
    <mergeCell ref="PYF16:PYH16"/>
    <mergeCell ref="PYI16:PYK16"/>
    <mergeCell ref="QEP16:QEQ16"/>
    <mergeCell ref="QER16:QET16"/>
    <mergeCell ref="QEU16:QEW16"/>
    <mergeCell ref="QEX16:QEY16"/>
    <mergeCell ref="QEZ16:QFB16"/>
    <mergeCell ref="QEB16:QED16"/>
    <mergeCell ref="QEE16:QEG16"/>
    <mergeCell ref="QEH16:QEI16"/>
    <mergeCell ref="QEJ16:QEL16"/>
    <mergeCell ref="QEM16:QEO16"/>
    <mergeCell ref="QDO16:QDQ16"/>
    <mergeCell ref="QDR16:QDS16"/>
    <mergeCell ref="QDT16:QDV16"/>
    <mergeCell ref="QDW16:QDY16"/>
    <mergeCell ref="QDZ16:QEA16"/>
    <mergeCell ref="QDB16:QDC16"/>
    <mergeCell ref="QDD16:QDF16"/>
    <mergeCell ref="QDG16:QDI16"/>
    <mergeCell ref="QDJ16:QDK16"/>
    <mergeCell ref="QDL16:QDN16"/>
    <mergeCell ref="QCN16:QCP16"/>
    <mergeCell ref="QCQ16:QCS16"/>
    <mergeCell ref="QCT16:QCU16"/>
    <mergeCell ref="QCV16:QCX16"/>
    <mergeCell ref="QCY16:QDA16"/>
    <mergeCell ref="QCA16:QCC16"/>
    <mergeCell ref="QCD16:QCE16"/>
    <mergeCell ref="QCF16:QCH16"/>
    <mergeCell ref="QCI16:QCK16"/>
    <mergeCell ref="QCL16:QCM16"/>
    <mergeCell ref="QBN16:QBO16"/>
    <mergeCell ref="QBP16:QBR16"/>
    <mergeCell ref="QBS16:QBU16"/>
    <mergeCell ref="QBV16:QBW16"/>
    <mergeCell ref="QBX16:QBZ16"/>
    <mergeCell ref="QIE16:QIG16"/>
    <mergeCell ref="QIH16:QII16"/>
    <mergeCell ref="QIJ16:QIL16"/>
    <mergeCell ref="QIM16:QIO16"/>
    <mergeCell ref="QIP16:QIQ16"/>
    <mergeCell ref="QHR16:QHS16"/>
    <mergeCell ref="QHT16:QHV16"/>
    <mergeCell ref="QHW16:QHY16"/>
    <mergeCell ref="QHZ16:QIA16"/>
    <mergeCell ref="QIB16:QID16"/>
    <mergeCell ref="QHD16:QHF16"/>
    <mergeCell ref="QHG16:QHI16"/>
    <mergeCell ref="QHJ16:QHK16"/>
    <mergeCell ref="QHL16:QHN16"/>
    <mergeCell ref="QHO16:QHQ16"/>
    <mergeCell ref="QGQ16:QGS16"/>
    <mergeCell ref="QGT16:QGU16"/>
    <mergeCell ref="QGV16:QGX16"/>
    <mergeCell ref="QGY16:QHA16"/>
    <mergeCell ref="QHB16:QHC16"/>
    <mergeCell ref="QGD16:QGE16"/>
    <mergeCell ref="QGF16:QGH16"/>
    <mergeCell ref="QGI16:QGK16"/>
    <mergeCell ref="QGL16:QGM16"/>
    <mergeCell ref="QGN16:QGP16"/>
    <mergeCell ref="QFP16:QFR16"/>
    <mergeCell ref="QFS16:QFU16"/>
    <mergeCell ref="QFV16:QFW16"/>
    <mergeCell ref="QFX16:QFZ16"/>
    <mergeCell ref="QGA16:QGC16"/>
    <mergeCell ref="QFC16:QFE16"/>
    <mergeCell ref="QFF16:QFG16"/>
    <mergeCell ref="QFH16:QFJ16"/>
    <mergeCell ref="QFK16:QFM16"/>
    <mergeCell ref="QFN16:QFO16"/>
    <mergeCell ref="QLT16:QLV16"/>
    <mergeCell ref="QLW16:QLY16"/>
    <mergeCell ref="QLZ16:QMA16"/>
    <mergeCell ref="QMB16:QMD16"/>
    <mergeCell ref="QME16:QMG16"/>
    <mergeCell ref="QLG16:QLI16"/>
    <mergeCell ref="QLJ16:QLK16"/>
    <mergeCell ref="QLL16:QLN16"/>
    <mergeCell ref="QLO16:QLQ16"/>
    <mergeCell ref="QLR16:QLS16"/>
    <mergeCell ref="QKT16:QKU16"/>
    <mergeCell ref="QKV16:QKX16"/>
    <mergeCell ref="QKY16:QLA16"/>
    <mergeCell ref="QLB16:QLC16"/>
    <mergeCell ref="QLD16:QLF16"/>
    <mergeCell ref="QKF16:QKH16"/>
    <mergeCell ref="QKI16:QKK16"/>
    <mergeCell ref="QKL16:QKM16"/>
    <mergeCell ref="QKN16:QKP16"/>
    <mergeCell ref="QKQ16:QKS16"/>
    <mergeCell ref="QJS16:QJU16"/>
    <mergeCell ref="QJV16:QJW16"/>
    <mergeCell ref="QJX16:QJZ16"/>
    <mergeCell ref="QKA16:QKC16"/>
    <mergeCell ref="QKD16:QKE16"/>
    <mergeCell ref="QJF16:QJG16"/>
    <mergeCell ref="QJH16:QJJ16"/>
    <mergeCell ref="QJK16:QJM16"/>
    <mergeCell ref="QJN16:QJO16"/>
    <mergeCell ref="QJP16:QJR16"/>
    <mergeCell ref="QIR16:QIT16"/>
    <mergeCell ref="QIU16:QIW16"/>
    <mergeCell ref="QIX16:QIY16"/>
    <mergeCell ref="QIZ16:QJB16"/>
    <mergeCell ref="QJC16:QJE16"/>
    <mergeCell ref="QPJ16:QPK16"/>
    <mergeCell ref="QPL16:QPN16"/>
    <mergeCell ref="QPO16:QPQ16"/>
    <mergeCell ref="QPR16:QPS16"/>
    <mergeCell ref="QPT16:QPV16"/>
    <mergeCell ref="QOV16:QOX16"/>
    <mergeCell ref="QOY16:QPA16"/>
    <mergeCell ref="QPB16:QPC16"/>
    <mergeCell ref="QPD16:QPF16"/>
    <mergeCell ref="QPG16:QPI16"/>
    <mergeCell ref="QOI16:QOK16"/>
    <mergeCell ref="QOL16:QOM16"/>
    <mergeCell ref="QON16:QOP16"/>
    <mergeCell ref="QOQ16:QOS16"/>
    <mergeCell ref="QOT16:QOU16"/>
    <mergeCell ref="QNV16:QNW16"/>
    <mergeCell ref="QNX16:QNZ16"/>
    <mergeCell ref="QOA16:QOC16"/>
    <mergeCell ref="QOD16:QOE16"/>
    <mergeCell ref="QOF16:QOH16"/>
    <mergeCell ref="QNH16:QNJ16"/>
    <mergeCell ref="QNK16:QNM16"/>
    <mergeCell ref="QNN16:QNO16"/>
    <mergeCell ref="QNP16:QNR16"/>
    <mergeCell ref="QNS16:QNU16"/>
    <mergeCell ref="QMU16:QMW16"/>
    <mergeCell ref="QMX16:QMY16"/>
    <mergeCell ref="QMZ16:QNB16"/>
    <mergeCell ref="QNC16:QNE16"/>
    <mergeCell ref="QNF16:QNG16"/>
    <mergeCell ref="QMH16:QMI16"/>
    <mergeCell ref="QMJ16:QML16"/>
    <mergeCell ref="QMM16:QMO16"/>
    <mergeCell ref="QMP16:QMQ16"/>
    <mergeCell ref="QMR16:QMT16"/>
    <mergeCell ref="QSY16:QTA16"/>
    <mergeCell ref="QTB16:QTC16"/>
    <mergeCell ref="QTD16:QTF16"/>
    <mergeCell ref="QTG16:QTI16"/>
    <mergeCell ref="QTJ16:QTK16"/>
    <mergeCell ref="QSL16:QSM16"/>
    <mergeCell ref="QSN16:QSP16"/>
    <mergeCell ref="QSQ16:QSS16"/>
    <mergeCell ref="QST16:QSU16"/>
    <mergeCell ref="QSV16:QSX16"/>
    <mergeCell ref="QRX16:QRZ16"/>
    <mergeCell ref="QSA16:QSC16"/>
    <mergeCell ref="QSD16:QSE16"/>
    <mergeCell ref="QSF16:QSH16"/>
    <mergeCell ref="QSI16:QSK16"/>
    <mergeCell ref="QRK16:QRM16"/>
    <mergeCell ref="QRN16:QRO16"/>
    <mergeCell ref="QRP16:QRR16"/>
    <mergeCell ref="QRS16:QRU16"/>
    <mergeCell ref="QRV16:QRW16"/>
    <mergeCell ref="QQX16:QQY16"/>
    <mergeCell ref="QQZ16:QRB16"/>
    <mergeCell ref="QRC16:QRE16"/>
    <mergeCell ref="QRF16:QRG16"/>
    <mergeCell ref="QRH16:QRJ16"/>
    <mergeCell ref="QQJ16:QQL16"/>
    <mergeCell ref="QQM16:QQO16"/>
    <mergeCell ref="QQP16:QQQ16"/>
    <mergeCell ref="QQR16:QQT16"/>
    <mergeCell ref="QQU16:QQW16"/>
    <mergeCell ref="QPW16:QPY16"/>
    <mergeCell ref="QPZ16:QQA16"/>
    <mergeCell ref="QQB16:QQD16"/>
    <mergeCell ref="QQE16:QQG16"/>
    <mergeCell ref="QQH16:QQI16"/>
    <mergeCell ref="QWN16:QWP16"/>
    <mergeCell ref="QWQ16:QWS16"/>
    <mergeCell ref="QWT16:QWU16"/>
    <mergeCell ref="QWV16:QWX16"/>
    <mergeCell ref="QWY16:QXA16"/>
    <mergeCell ref="QWA16:QWC16"/>
    <mergeCell ref="QWD16:QWE16"/>
    <mergeCell ref="QWF16:QWH16"/>
    <mergeCell ref="QWI16:QWK16"/>
    <mergeCell ref="QWL16:QWM16"/>
    <mergeCell ref="QVN16:QVO16"/>
    <mergeCell ref="QVP16:QVR16"/>
    <mergeCell ref="QVS16:QVU16"/>
    <mergeCell ref="QVV16:QVW16"/>
    <mergeCell ref="QVX16:QVZ16"/>
    <mergeCell ref="QUZ16:QVB16"/>
    <mergeCell ref="QVC16:QVE16"/>
    <mergeCell ref="QVF16:QVG16"/>
    <mergeCell ref="QVH16:QVJ16"/>
    <mergeCell ref="QVK16:QVM16"/>
    <mergeCell ref="QUM16:QUO16"/>
    <mergeCell ref="QUP16:QUQ16"/>
    <mergeCell ref="QUR16:QUT16"/>
    <mergeCell ref="QUU16:QUW16"/>
    <mergeCell ref="QUX16:QUY16"/>
    <mergeCell ref="QTZ16:QUA16"/>
    <mergeCell ref="QUB16:QUD16"/>
    <mergeCell ref="QUE16:QUG16"/>
    <mergeCell ref="QUH16:QUI16"/>
    <mergeCell ref="QUJ16:QUL16"/>
    <mergeCell ref="QTL16:QTN16"/>
    <mergeCell ref="QTO16:QTQ16"/>
    <mergeCell ref="QTR16:QTS16"/>
    <mergeCell ref="QTT16:QTV16"/>
    <mergeCell ref="QTW16:QTY16"/>
    <mergeCell ref="RAD16:RAE16"/>
    <mergeCell ref="RAF16:RAH16"/>
    <mergeCell ref="RAI16:RAK16"/>
    <mergeCell ref="RAL16:RAM16"/>
    <mergeCell ref="RAN16:RAP16"/>
    <mergeCell ref="QZP16:QZR16"/>
    <mergeCell ref="QZS16:QZU16"/>
    <mergeCell ref="QZV16:QZW16"/>
    <mergeCell ref="QZX16:QZZ16"/>
    <mergeCell ref="RAA16:RAC16"/>
    <mergeCell ref="QZC16:QZE16"/>
    <mergeCell ref="QZF16:QZG16"/>
    <mergeCell ref="QZH16:QZJ16"/>
    <mergeCell ref="QZK16:QZM16"/>
    <mergeCell ref="QZN16:QZO16"/>
    <mergeCell ref="QYP16:QYQ16"/>
    <mergeCell ref="QYR16:QYT16"/>
    <mergeCell ref="QYU16:QYW16"/>
    <mergeCell ref="QYX16:QYY16"/>
    <mergeCell ref="QYZ16:QZB16"/>
    <mergeCell ref="QYB16:QYD16"/>
    <mergeCell ref="QYE16:QYG16"/>
    <mergeCell ref="QYH16:QYI16"/>
    <mergeCell ref="QYJ16:QYL16"/>
    <mergeCell ref="QYM16:QYO16"/>
    <mergeCell ref="QXO16:QXQ16"/>
    <mergeCell ref="QXR16:QXS16"/>
    <mergeCell ref="QXT16:QXV16"/>
    <mergeCell ref="QXW16:QXY16"/>
    <mergeCell ref="QXZ16:QYA16"/>
    <mergeCell ref="QXB16:QXC16"/>
    <mergeCell ref="QXD16:QXF16"/>
    <mergeCell ref="QXG16:QXI16"/>
    <mergeCell ref="QXJ16:QXK16"/>
    <mergeCell ref="QXL16:QXN16"/>
    <mergeCell ref="RDS16:RDU16"/>
    <mergeCell ref="RDV16:RDW16"/>
    <mergeCell ref="RDX16:RDZ16"/>
    <mergeCell ref="REA16:REC16"/>
    <mergeCell ref="RED16:REE16"/>
    <mergeCell ref="RDF16:RDG16"/>
    <mergeCell ref="RDH16:RDJ16"/>
    <mergeCell ref="RDK16:RDM16"/>
    <mergeCell ref="RDN16:RDO16"/>
    <mergeCell ref="RDP16:RDR16"/>
    <mergeCell ref="RCR16:RCT16"/>
    <mergeCell ref="RCU16:RCW16"/>
    <mergeCell ref="RCX16:RCY16"/>
    <mergeCell ref="RCZ16:RDB16"/>
    <mergeCell ref="RDC16:RDE16"/>
    <mergeCell ref="RCE16:RCG16"/>
    <mergeCell ref="RCH16:RCI16"/>
    <mergeCell ref="RCJ16:RCL16"/>
    <mergeCell ref="RCM16:RCO16"/>
    <mergeCell ref="RCP16:RCQ16"/>
    <mergeCell ref="RBR16:RBS16"/>
    <mergeCell ref="RBT16:RBV16"/>
    <mergeCell ref="RBW16:RBY16"/>
    <mergeCell ref="RBZ16:RCA16"/>
    <mergeCell ref="RCB16:RCD16"/>
    <mergeCell ref="RBD16:RBF16"/>
    <mergeCell ref="RBG16:RBI16"/>
    <mergeCell ref="RBJ16:RBK16"/>
    <mergeCell ref="RBL16:RBN16"/>
    <mergeCell ref="RBO16:RBQ16"/>
    <mergeCell ref="RAQ16:RAS16"/>
    <mergeCell ref="RAT16:RAU16"/>
    <mergeCell ref="RAV16:RAX16"/>
    <mergeCell ref="RAY16:RBA16"/>
    <mergeCell ref="RBB16:RBC16"/>
    <mergeCell ref="RHH16:RHJ16"/>
    <mergeCell ref="RHK16:RHM16"/>
    <mergeCell ref="RHN16:RHO16"/>
    <mergeCell ref="RHP16:RHR16"/>
    <mergeCell ref="RHS16:RHU16"/>
    <mergeCell ref="RGU16:RGW16"/>
    <mergeCell ref="RGX16:RGY16"/>
    <mergeCell ref="RGZ16:RHB16"/>
    <mergeCell ref="RHC16:RHE16"/>
    <mergeCell ref="RHF16:RHG16"/>
    <mergeCell ref="RGH16:RGI16"/>
    <mergeCell ref="RGJ16:RGL16"/>
    <mergeCell ref="RGM16:RGO16"/>
    <mergeCell ref="RGP16:RGQ16"/>
    <mergeCell ref="RGR16:RGT16"/>
    <mergeCell ref="RFT16:RFV16"/>
    <mergeCell ref="RFW16:RFY16"/>
    <mergeCell ref="RFZ16:RGA16"/>
    <mergeCell ref="RGB16:RGD16"/>
    <mergeCell ref="RGE16:RGG16"/>
    <mergeCell ref="RFG16:RFI16"/>
    <mergeCell ref="RFJ16:RFK16"/>
    <mergeCell ref="RFL16:RFN16"/>
    <mergeCell ref="RFO16:RFQ16"/>
    <mergeCell ref="RFR16:RFS16"/>
    <mergeCell ref="RET16:REU16"/>
    <mergeCell ref="REV16:REX16"/>
    <mergeCell ref="REY16:RFA16"/>
    <mergeCell ref="RFB16:RFC16"/>
    <mergeCell ref="RFD16:RFF16"/>
    <mergeCell ref="REF16:REH16"/>
    <mergeCell ref="REI16:REK16"/>
    <mergeCell ref="REL16:REM16"/>
    <mergeCell ref="REN16:REP16"/>
    <mergeCell ref="REQ16:RES16"/>
    <mergeCell ref="RKX16:RKY16"/>
    <mergeCell ref="RKZ16:RLB16"/>
    <mergeCell ref="RLC16:RLE16"/>
    <mergeCell ref="RLF16:RLG16"/>
    <mergeCell ref="RLH16:RLJ16"/>
    <mergeCell ref="RKJ16:RKL16"/>
    <mergeCell ref="RKM16:RKO16"/>
    <mergeCell ref="RKP16:RKQ16"/>
    <mergeCell ref="RKR16:RKT16"/>
    <mergeCell ref="RKU16:RKW16"/>
    <mergeCell ref="RJW16:RJY16"/>
    <mergeCell ref="RJZ16:RKA16"/>
    <mergeCell ref="RKB16:RKD16"/>
    <mergeCell ref="RKE16:RKG16"/>
    <mergeCell ref="RKH16:RKI16"/>
    <mergeCell ref="RJJ16:RJK16"/>
    <mergeCell ref="RJL16:RJN16"/>
    <mergeCell ref="RJO16:RJQ16"/>
    <mergeCell ref="RJR16:RJS16"/>
    <mergeCell ref="RJT16:RJV16"/>
    <mergeCell ref="RIV16:RIX16"/>
    <mergeCell ref="RIY16:RJA16"/>
    <mergeCell ref="RJB16:RJC16"/>
    <mergeCell ref="RJD16:RJF16"/>
    <mergeCell ref="RJG16:RJI16"/>
    <mergeCell ref="RII16:RIK16"/>
    <mergeCell ref="RIL16:RIM16"/>
    <mergeCell ref="RIN16:RIP16"/>
    <mergeCell ref="RIQ16:RIS16"/>
    <mergeCell ref="RIT16:RIU16"/>
    <mergeCell ref="RHV16:RHW16"/>
    <mergeCell ref="RHX16:RHZ16"/>
    <mergeCell ref="RIA16:RIC16"/>
    <mergeCell ref="RID16:RIE16"/>
    <mergeCell ref="RIF16:RIH16"/>
    <mergeCell ref="ROM16:ROO16"/>
    <mergeCell ref="ROP16:ROQ16"/>
    <mergeCell ref="ROR16:ROT16"/>
    <mergeCell ref="ROU16:ROW16"/>
    <mergeCell ref="ROX16:ROY16"/>
    <mergeCell ref="RNZ16:ROA16"/>
    <mergeCell ref="ROB16:ROD16"/>
    <mergeCell ref="ROE16:ROG16"/>
    <mergeCell ref="ROH16:ROI16"/>
    <mergeCell ref="ROJ16:ROL16"/>
    <mergeCell ref="RNL16:RNN16"/>
    <mergeCell ref="RNO16:RNQ16"/>
    <mergeCell ref="RNR16:RNS16"/>
    <mergeCell ref="RNT16:RNV16"/>
    <mergeCell ref="RNW16:RNY16"/>
    <mergeCell ref="RMY16:RNA16"/>
    <mergeCell ref="RNB16:RNC16"/>
    <mergeCell ref="RND16:RNF16"/>
    <mergeCell ref="RNG16:RNI16"/>
    <mergeCell ref="RNJ16:RNK16"/>
    <mergeCell ref="RML16:RMM16"/>
    <mergeCell ref="RMN16:RMP16"/>
    <mergeCell ref="RMQ16:RMS16"/>
    <mergeCell ref="RMT16:RMU16"/>
    <mergeCell ref="RMV16:RMX16"/>
    <mergeCell ref="RLX16:RLZ16"/>
    <mergeCell ref="RMA16:RMC16"/>
    <mergeCell ref="RMD16:RME16"/>
    <mergeCell ref="RMF16:RMH16"/>
    <mergeCell ref="RMI16:RMK16"/>
    <mergeCell ref="RLK16:RLM16"/>
    <mergeCell ref="RLN16:RLO16"/>
    <mergeCell ref="RLP16:RLR16"/>
    <mergeCell ref="RLS16:RLU16"/>
    <mergeCell ref="RLV16:RLW16"/>
    <mergeCell ref="RSB16:RSD16"/>
    <mergeCell ref="RSE16:RSG16"/>
    <mergeCell ref="RSH16:RSI16"/>
    <mergeCell ref="RSJ16:RSL16"/>
    <mergeCell ref="RSM16:RSO16"/>
    <mergeCell ref="RRO16:RRQ16"/>
    <mergeCell ref="RRR16:RRS16"/>
    <mergeCell ref="RRT16:RRV16"/>
    <mergeCell ref="RRW16:RRY16"/>
    <mergeCell ref="RRZ16:RSA16"/>
    <mergeCell ref="RRB16:RRC16"/>
    <mergeCell ref="RRD16:RRF16"/>
    <mergeCell ref="RRG16:RRI16"/>
    <mergeCell ref="RRJ16:RRK16"/>
    <mergeCell ref="RRL16:RRN16"/>
    <mergeCell ref="RQN16:RQP16"/>
    <mergeCell ref="RQQ16:RQS16"/>
    <mergeCell ref="RQT16:RQU16"/>
    <mergeCell ref="RQV16:RQX16"/>
    <mergeCell ref="RQY16:RRA16"/>
    <mergeCell ref="RQA16:RQC16"/>
    <mergeCell ref="RQD16:RQE16"/>
    <mergeCell ref="RQF16:RQH16"/>
    <mergeCell ref="RQI16:RQK16"/>
    <mergeCell ref="RQL16:RQM16"/>
    <mergeCell ref="RPN16:RPO16"/>
    <mergeCell ref="RPP16:RPR16"/>
    <mergeCell ref="RPS16:RPU16"/>
    <mergeCell ref="RPV16:RPW16"/>
    <mergeCell ref="RPX16:RPZ16"/>
    <mergeCell ref="ROZ16:RPB16"/>
    <mergeCell ref="RPC16:RPE16"/>
    <mergeCell ref="RPF16:RPG16"/>
    <mergeCell ref="RPH16:RPJ16"/>
    <mergeCell ref="RPK16:RPM16"/>
    <mergeCell ref="RVR16:RVS16"/>
    <mergeCell ref="RVT16:RVV16"/>
    <mergeCell ref="RVW16:RVY16"/>
    <mergeCell ref="RVZ16:RWA16"/>
    <mergeCell ref="RWB16:RWD16"/>
    <mergeCell ref="RVD16:RVF16"/>
    <mergeCell ref="RVG16:RVI16"/>
    <mergeCell ref="RVJ16:RVK16"/>
    <mergeCell ref="RVL16:RVN16"/>
    <mergeCell ref="RVO16:RVQ16"/>
    <mergeCell ref="RUQ16:RUS16"/>
    <mergeCell ref="RUT16:RUU16"/>
    <mergeCell ref="RUV16:RUX16"/>
    <mergeCell ref="RUY16:RVA16"/>
    <mergeCell ref="RVB16:RVC16"/>
    <mergeCell ref="RUD16:RUE16"/>
    <mergeCell ref="RUF16:RUH16"/>
    <mergeCell ref="RUI16:RUK16"/>
    <mergeCell ref="RUL16:RUM16"/>
    <mergeCell ref="RUN16:RUP16"/>
    <mergeCell ref="RTP16:RTR16"/>
    <mergeCell ref="RTS16:RTU16"/>
    <mergeCell ref="RTV16:RTW16"/>
    <mergeCell ref="RTX16:RTZ16"/>
    <mergeCell ref="RUA16:RUC16"/>
    <mergeCell ref="RTC16:RTE16"/>
    <mergeCell ref="RTF16:RTG16"/>
    <mergeCell ref="RTH16:RTJ16"/>
    <mergeCell ref="RTK16:RTM16"/>
    <mergeCell ref="RTN16:RTO16"/>
    <mergeCell ref="RSP16:RSQ16"/>
    <mergeCell ref="RSR16:RST16"/>
    <mergeCell ref="RSU16:RSW16"/>
    <mergeCell ref="RSX16:RSY16"/>
    <mergeCell ref="RSZ16:RTB16"/>
    <mergeCell ref="RZG16:RZI16"/>
    <mergeCell ref="RZJ16:RZK16"/>
    <mergeCell ref="RZL16:RZN16"/>
    <mergeCell ref="RZO16:RZQ16"/>
    <mergeCell ref="RZR16:RZS16"/>
    <mergeCell ref="RYT16:RYU16"/>
    <mergeCell ref="RYV16:RYX16"/>
    <mergeCell ref="RYY16:RZA16"/>
    <mergeCell ref="RZB16:RZC16"/>
    <mergeCell ref="RZD16:RZF16"/>
    <mergeCell ref="RYF16:RYH16"/>
    <mergeCell ref="RYI16:RYK16"/>
    <mergeCell ref="RYL16:RYM16"/>
    <mergeCell ref="RYN16:RYP16"/>
    <mergeCell ref="RYQ16:RYS16"/>
    <mergeCell ref="RXS16:RXU16"/>
    <mergeCell ref="RXV16:RXW16"/>
    <mergeCell ref="RXX16:RXZ16"/>
    <mergeCell ref="RYA16:RYC16"/>
    <mergeCell ref="RYD16:RYE16"/>
    <mergeCell ref="RXF16:RXG16"/>
    <mergeCell ref="RXH16:RXJ16"/>
    <mergeCell ref="RXK16:RXM16"/>
    <mergeCell ref="RXN16:RXO16"/>
    <mergeCell ref="RXP16:RXR16"/>
    <mergeCell ref="RWR16:RWT16"/>
    <mergeCell ref="RWU16:RWW16"/>
    <mergeCell ref="RWX16:RWY16"/>
    <mergeCell ref="RWZ16:RXB16"/>
    <mergeCell ref="RXC16:RXE16"/>
    <mergeCell ref="RWE16:RWG16"/>
    <mergeCell ref="RWH16:RWI16"/>
    <mergeCell ref="RWJ16:RWL16"/>
    <mergeCell ref="RWM16:RWO16"/>
    <mergeCell ref="RWP16:RWQ16"/>
    <mergeCell ref="SCV16:SCX16"/>
    <mergeCell ref="SCY16:SDA16"/>
    <mergeCell ref="SDB16:SDC16"/>
    <mergeCell ref="SDD16:SDF16"/>
    <mergeCell ref="SDG16:SDI16"/>
    <mergeCell ref="SCI16:SCK16"/>
    <mergeCell ref="SCL16:SCM16"/>
    <mergeCell ref="SCN16:SCP16"/>
    <mergeCell ref="SCQ16:SCS16"/>
    <mergeCell ref="SCT16:SCU16"/>
    <mergeCell ref="SBV16:SBW16"/>
    <mergeCell ref="SBX16:SBZ16"/>
    <mergeCell ref="SCA16:SCC16"/>
    <mergeCell ref="SCD16:SCE16"/>
    <mergeCell ref="SCF16:SCH16"/>
    <mergeCell ref="SBH16:SBJ16"/>
    <mergeCell ref="SBK16:SBM16"/>
    <mergeCell ref="SBN16:SBO16"/>
    <mergeCell ref="SBP16:SBR16"/>
    <mergeCell ref="SBS16:SBU16"/>
    <mergeCell ref="SAU16:SAW16"/>
    <mergeCell ref="SAX16:SAY16"/>
    <mergeCell ref="SAZ16:SBB16"/>
    <mergeCell ref="SBC16:SBE16"/>
    <mergeCell ref="SBF16:SBG16"/>
    <mergeCell ref="SAH16:SAI16"/>
    <mergeCell ref="SAJ16:SAL16"/>
    <mergeCell ref="SAM16:SAO16"/>
    <mergeCell ref="SAP16:SAQ16"/>
    <mergeCell ref="SAR16:SAT16"/>
    <mergeCell ref="RZT16:RZV16"/>
    <mergeCell ref="RZW16:RZY16"/>
    <mergeCell ref="RZZ16:SAA16"/>
    <mergeCell ref="SAB16:SAD16"/>
    <mergeCell ref="SAE16:SAG16"/>
    <mergeCell ref="SGL16:SGM16"/>
    <mergeCell ref="SGN16:SGP16"/>
    <mergeCell ref="SGQ16:SGS16"/>
    <mergeCell ref="SGT16:SGU16"/>
    <mergeCell ref="SGV16:SGX16"/>
    <mergeCell ref="SFX16:SFZ16"/>
    <mergeCell ref="SGA16:SGC16"/>
    <mergeCell ref="SGD16:SGE16"/>
    <mergeCell ref="SGF16:SGH16"/>
    <mergeCell ref="SGI16:SGK16"/>
    <mergeCell ref="SFK16:SFM16"/>
    <mergeCell ref="SFN16:SFO16"/>
    <mergeCell ref="SFP16:SFR16"/>
    <mergeCell ref="SFS16:SFU16"/>
    <mergeCell ref="SFV16:SFW16"/>
    <mergeCell ref="SEX16:SEY16"/>
    <mergeCell ref="SEZ16:SFB16"/>
    <mergeCell ref="SFC16:SFE16"/>
    <mergeCell ref="SFF16:SFG16"/>
    <mergeCell ref="SFH16:SFJ16"/>
    <mergeCell ref="SEJ16:SEL16"/>
    <mergeCell ref="SEM16:SEO16"/>
    <mergeCell ref="SEP16:SEQ16"/>
    <mergeCell ref="SER16:SET16"/>
    <mergeCell ref="SEU16:SEW16"/>
    <mergeCell ref="SDW16:SDY16"/>
    <mergeCell ref="SDZ16:SEA16"/>
    <mergeCell ref="SEB16:SED16"/>
    <mergeCell ref="SEE16:SEG16"/>
    <mergeCell ref="SEH16:SEI16"/>
    <mergeCell ref="SDJ16:SDK16"/>
    <mergeCell ref="SDL16:SDN16"/>
    <mergeCell ref="SDO16:SDQ16"/>
    <mergeCell ref="SDR16:SDS16"/>
    <mergeCell ref="SDT16:SDV16"/>
    <mergeCell ref="SKA16:SKC16"/>
    <mergeCell ref="SKD16:SKE16"/>
    <mergeCell ref="SKF16:SKH16"/>
    <mergeCell ref="SKI16:SKK16"/>
    <mergeCell ref="SKL16:SKM16"/>
    <mergeCell ref="SJN16:SJO16"/>
    <mergeCell ref="SJP16:SJR16"/>
    <mergeCell ref="SJS16:SJU16"/>
    <mergeCell ref="SJV16:SJW16"/>
    <mergeCell ref="SJX16:SJZ16"/>
    <mergeCell ref="SIZ16:SJB16"/>
    <mergeCell ref="SJC16:SJE16"/>
    <mergeCell ref="SJF16:SJG16"/>
    <mergeCell ref="SJH16:SJJ16"/>
    <mergeCell ref="SJK16:SJM16"/>
    <mergeCell ref="SIM16:SIO16"/>
    <mergeCell ref="SIP16:SIQ16"/>
    <mergeCell ref="SIR16:SIT16"/>
    <mergeCell ref="SIU16:SIW16"/>
    <mergeCell ref="SIX16:SIY16"/>
    <mergeCell ref="SHZ16:SIA16"/>
    <mergeCell ref="SIB16:SID16"/>
    <mergeCell ref="SIE16:SIG16"/>
    <mergeCell ref="SIH16:SII16"/>
    <mergeCell ref="SIJ16:SIL16"/>
    <mergeCell ref="SHL16:SHN16"/>
    <mergeCell ref="SHO16:SHQ16"/>
    <mergeCell ref="SHR16:SHS16"/>
    <mergeCell ref="SHT16:SHV16"/>
    <mergeCell ref="SHW16:SHY16"/>
    <mergeCell ref="SGY16:SHA16"/>
    <mergeCell ref="SHB16:SHC16"/>
    <mergeCell ref="SHD16:SHF16"/>
    <mergeCell ref="SHG16:SHI16"/>
    <mergeCell ref="SHJ16:SHK16"/>
    <mergeCell ref="SNP16:SNR16"/>
    <mergeCell ref="SNS16:SNU16"/>
    <mergeCell ref="SNV16:SNW16"/>
    <mergeCell ref="SNX16:SNZ16"/>
    <mergeCell ref="SOA16:SOC16"/>
    <mergeCell ref="SNC16:SNE16"/>
    <mergeCell ref="SNF16:SNG16"/>
    <mergeCell ref="SNH16:SNJ16"/>
    <mergeCell ref="SNK16:SNM16"/>
    <mergeCell ref="SNN16:SNO16"/>
    <mergeCell ref="SMP16:SMQ16"/>
    <mergeCell ref="SMR16:SMT16"/>
    <mergeCell ref="SMU16:SMW16"/>
    <mergeCell ref="SMX16:SMY16"/>
    <mergeCell ref="SMZ16:SNB16"/>
    <mergeCell ref="SMB16:SMD16"/>
    <mergeCell ref="SME16:SMG16"/>
    <mergeCell ref="SMH16:SMI16"/>
    <mergeCell ref="SMJ16:SML16"/>
    <mergeCell ref="SMM16:SMO16"/>
    <mergeCell ref="SLO16:SLQ16"/>
    <mergeCell ref="SLR16:SLS16"/>
    <mergeCell ref="SLT16:SLV16"/>
    <mergeCell ref="SLW16:SLY16"/>
    <mergeCell ref="SLZ16:SMA16"/>
    <mergeCell ref="SLB16:SLC16"/>
    <mergeCell ref="SLD16:SLF16"/>
    <mergeCell ref="SLG16:SLI16"/>
    <mergeCell ref="SLJ16:SLK16"/>
    <mergeCell ref="SLL16:SLN16"/>
    <mergeCell ref="SKN16:SKP16"/>
    <mergeCell ref="SKQ16:SKS16"/>
    <mergeCell ref="SKT16:SKU16"/>
    <mergeCell ref="SKV16:SKX16"/>
    <mergeCell ref="SKY16:SLA16"/>
    <mergeCell ref="SRF16:SRG16"/>
    <mergeCell ref="SRH16:SRJ16"/>
    <mergeCell ref="SRK16:SRM16"/>
    <mergeCell ref="SRN16:SRO16"/>
    <mergeCell ref="SRP16:SRR16"/>
    <mergeCell ref="SQR16:SQT16"/>
    <mergeCell ref="SQU16:SQW16"/>
    <mergeCell ref="SQX16:SQY16"/>
    <mergeCell ref="SQZ16:SRB16"/>
    <mergeCell ref="SRC16:SRE16"/>
    <mergeCell ref="SQE16:SQG16"/>
    <mergeCell ref="SQH16:SQI16"/>
    <mergeCell ref="SQJ16:SQL16"/>
    <mergeCell ref="SQM16:SQO16"/>
    <mergeCell ref="SQP16:SQQ16"/>
    <mergeCell ref="SPR16:SPS16"/>
    <mergeCell ref="SPT16:SPV16"/>
    <mergeCell ref="SPW16:SPY16"/>
    <mergeCell ref="SPZ16:SQA16"/>
    <mergeCell ref="SQB16:SQD16"/>
    <mergeCell ref="SPD16:SPF16"/>
    <mergeCell ref="SPG16:SPI16"/>
    <mergeCell ref="SPJ16:SPK16"/>
    <mergeCell ref="SPL16:SPN16"/>
    <mergeCell ref="SPO16:SPQ16"/>
    <mergeCell ref="SOQ16:SOS16"/>
    <mergeCell ref="SOT16:SOU16"/>
    <mergeCell ref="SOV16:SOX16"/>
    <mergeCell ref="SOY16:SPA16"/>
    <mergeCell ref="SPB16:SPC16"/>
    <mergeCell ref="SOD16:SOE16"/>
    <mergeCell ref="SOF16:SOH16"/>
    <mergeCell ref="SOI16:SOK16"/>
    <mergeCell ref="SOL16:SOM16"/>
    <mergeCell ref="SON16:SOP16"/>
    <mergeCell ref="SUU16:SUW16"/>
    <mergeCell ref="SUX16:SUY16"/>
    <mergeCell ref="SUZ16:SVB16"/>
    <mergeCell ref="SVC16:SVE16"/>
    <mergeCell ref="SVF16:SVG16"/>
    <mergeCell ref="SUH16:SUI16"/>
    <mergeCell ref="SUJ16:SUL16"/>
    <mergeCell ref="SUM16:SUO16"/>
    <mergeCell ref="SUP16:SUQ16"/>
    <mergeCell ref="SUR16:SUT16"/>
    <mergeCell ref="STT16:STV16"/>
    <mergeCell ref="STW16:STY16"/>
    <mergeCell ref="STZ16:SUA16"/>
    <mergeCell ref="SUB16:SUD16"/>
    <mergeCell ref="SUE16:SUG16"/>
    <mergeCell ref="STG16:STI16"/>
    <mergeCell ref="STJ16:STK16"/>
    <mergeCell ref="STL16:STN16"/>
    <mergeCell ref="STO16:STQ16"/>
    <mergeCell ref="STR16:STS16"/>
    <mergeCell ref="SST16:SSU16"/>
    <mergeCell ref="SSV16:SSX16"/>
    <mergeCell ref="SSY16:STA16"/>
    <mergeCell ref="STB16:STC16"/>
    <mergeCell ref="STD16:STF16"/>
    <mergeCell ref="SSF16:SSH16"/>
    <mergeCell ref="SSI16:SSK16"/>
    <mergeCell ref="SSL16:SSM16"/>
    <mergeCell ref="SSN16:SSP16"/>
    <mergeCell ref="SSQ16:SSS16"/>
    <mergeCell ref="SRS16:SRU16"/>
    <mergeCell ref="SRV16:SRW16"/>
    <mergeCell ref="SRX16:SRZ16"/>
    <mergeCell ref="SSA16:SSC16"/>
    <mergeCell ref="SSD16:SSE16"/>
    <mergeCell ref="SYJ16:SYL16"/>
    <mergeCell ref="SYM16:SYO16"/>
    <mergeCell ref="SYP16:SYQ16"/>
    <mergeCell ref="SYR16:SYT16"/>
    <mergeCell ref="SYU16:SYW16"/>
    <mergeCell ref="SXW16:SXY16"/>
    <mergeCell ref="SXZ16:SYA16"/>
    <mergeCell ref="SYB16:SYD16"/>
    <mergeCell ref="SYE16:SYG16"/>
    <mergeCell ref="SYH16:SYI16"/>
    <mergeCell ref="SXJ16:SXK16"/>
    <mergeCell ref="SXL16:SXN16"/>
    <mergeCell ref="SXO16:SXQ16"/>
    <mergeCell ref="SXR16:SXS16"/>
    <mergeCell ref="SXT16:SXV16"/>
    <mergeCell ref="SWV16:SWX16"/>
    <mergeCell ref="SWY16:SXA16"/>
    <mergeCell ref="SXB16:SXC16"/>
    <mergeCell ref="SXD16:SXF16"/>
    <mergeCell ref="SXG16:SXI16"/>
    <mergeCell ref="SWI16:SWK16"/>
    <mergeCell ref="SWL16:SWM16"/>
    <mergeCell ref="SWN16:SWP16"/>
    <mergeCell ref="SWQ16:SWS16"/>
    <mergeCell ref="SWT16:SWU16"/>
    <mergeCell ref="SVV16:SVW16"/>
    <mergeCell ref="SVX16:SVZ16"/>
    <mergeCell ref="SWA16:SWC16"/>
    <mergeCell ref="SWD16:SWE16"/>
    <mergeCell ref="SWF16:SWH16"/>
    <mergeCell ref="SVH16:SVJ16"/>
    <mergeCell ref="SVK16:SVM16"/>
    <mergeCell ref="SVN16:SVO16"/>
    <mergeCell ref="SVP16:SVR16"/>
    <mergeCell ref="SVS16:SVU16"/>
    <mergeCell ref="TBZ16:TCA16"/>
    <mergeCell ref="TCB16:TCD16"/>
    <mergeCell ref="TCE16:TCG16"/>
    <mergeCell ref="TCH16:TCI16"/>
    <mergeCell ref="TCJ16:TCL16"/>
    <mergeCell ref="TBL16:TBN16"/>
    <mergeCell ref="TBO16:TBQ16"/>
    <mergeCell ref="TBR16:TBS16"/>
    <mergeCell ref="TBT16:TBV16"/>
    <mergeCell ref="TBW16:TBY16"/>
    <mergeCell ref="TAY16:TBA16"/>
    <mergeCell ref="TBB16:TBC16"/>
    <mergeCell ref="TBD16:TBF16"/>
    <mergeCell ref="TBG16:TBI16"/>
    <mergeCell ref="TBJ16:TBK16"/>
    <mergeCell ref="TAL16:TAM16"/>
    <mergeCell ref="TAN16:TAP16"/>
    <mergeCell ref="TAQ16:TAS16"/>
    <mergeCell ref="TAT16:TAU16"/>
    <mergeCell ref="TAV16:TAX16"/>
    <mergeCell ref="SZX16:SZZ16"/>
    <mergeCell ref="TAA16:TAC16"/>
    <mergeCell ref="TAD16:TAE16"/>
    <mergeCell ref="TAF16:TAH16"/>
    <mergeCell ref="TAI16:TAK16"/>
    <mergeCell ref="SZK16:SZM16"/>
    <mergeCell ref="SZN16:SZO16"/>
    <mergeCell ref="SZP16:SZR16"/>
    <mergeCell ref="SZS16:SZU16"/>
    <mergeCell ref="SZV16:SZW16"/>
    <mergeCell ref="SYX16:SYY16"/>
    <mergeCell ref="SYZ16:SZB16"/>
    <mergeCell ref="SZC16:SZE16"/>
    <mergeCell ref="SZF16:SZG16"/>
    <mergeCell ref="SZH16:SZJ16"/>
    <mergeCell ref="TFO16:TFQ16"/>
    <mergeCell ref="TFR16:TFS16"/>
    <mergeCell ref="TFT16:TFV16"/>
    <mergeCell ref="TFW16:TFY16"/>
    <mergeCell ref="TFZ16:TGA16"/>
    <mergeCell ref="TFB16:TFC16"/>
    <mergeCell ref="TFD16:TFF16"/>
    <mergeCell ref="TFG16:TFI16"/>
    <mergeCell ref="TFJ16:TFK16"/>
    <mergeCell ref="TFL16:TFN16"/>
    <mergeCell ref="TEN16:TEP16"/>
    <mergeCell ref="TEQ16:TES16"/>
    <mergeCell ref="TET16:TEU16"/>
    <mergeCell ref="TEV16:TEX16"/>
    <mergeCell ref="TEY16:TFA16"/>
    <mergeCell ref="TEA16:TEC16"/>
    <mergeCell ref="TED16:TEE16"/>
    <mergeCell ref="TEF16:TEH16"/>
    <mergeCell ref="TEI16:TEK16"/>
    <mergeCell ref="TEL16:TEM16"/>
    <mergeCell ref="TDN16:TDO16"/>
    <mergeCell ref="TDP16:TDR16"/>
    <mergeCell ref="TDS16:TDU16"/>
    <mergeCell ref="TDV16:TDW16"/>
    <mergeCell ref="TDX16:TDZ16"/>
    <mergeCell ref="TCZ16:TDB16"/>
    <mergeCell ref="TDC16:TDE16"/>
    <mergeCell ref="TDF16:TDG16"/>
    <mergeCell ref="TDH16:TDJ16"/>
    <mergeCell ref="TDK16:TDM16"/>
    <mergeCell ref="TCM16:TCO16"/>
    <mergeCell ref="TCP16:TCQ16"/>
    <mergeCell ref="TCR16:TCT16"/>
    <mergeCell ref="TCU16:TCW16"/>
    <mergeCell ref="TCX16:TCY16"/>
    <mergeCell ref="TJD16:TJF16"/>
    <mergeCell ref="TJG16:TJI16"/>
    <mergeCell ref="TJJ16:TJK16"/>
    <mergeCell ref="TJL16:TJN16"/>
    <mergeCell ref="TJO16:TJQ16"/>
    <mergeCell ref="TIQ16:TIS16"/>
    <mergeCell ref="TIT16:TIU16"/>
    <mergeCell ref="TIV16:TIX16"/>
    <mergeCell ref="TIY16:TJA16"/>
    <mergeCell ref="TJB16:TJC16"/>
    <mergeCell ref="TID16:TIE16"/>
    <mergeCell ref="TIF16:TIH16"/>
    <mergeCell ref="TII16:TIK16"/>
    <mergeCell ref="TIL16:TIM16"/>
    <mergeCell ref="TIN16:TIP16"/>
    <mergeCell ref="THP16:THR16"/>
    <mergeCell ref="THS16:THU16"/>
    <mergeCell ref="THV16:THW16"/>
    <mergeCell ref="THX16:THZ16"/>
    <mergeCell ref="TIA16:TIC16"/>
    <mergeCell ref="THC16:THE16"/>
    <mergeCell ref="THF16:THG16"/>
    <mergeCell ref="THH16:THJ16"/>
    <mergeCell ref="THK16:THM16"/>
    <mergeCell ref="THN16:THO16"/>
    <mergeCell ref="TGP16:TGQ16"/>
    <mergeCell ref="TGR16:TGT16"/>
    <mergeCell ref="TGU16:TGW16"/>
    <mergeCell ref="TGX16:TGY16"/>
    <mergeCell ref="TGZ16:THB16"/>
    <mergeCell ref="TGB16:TGD16"/>
    <mergeCell ref="TGE16:TGG16"/>
    <mergeCell ref="TGH16:TGI16"/>
    <mergeCell ref="TGJ16:TGL16"/>
    <mergeCell ref="TGM16:TGO16"/>
    <mergeCell ref="TMT16:TMU16"/>
    <mergeCell ref="TMV16:TMX16"/>
    <mergeCell ref="TMY16:TNA16"/>
    <mergeCell ref="TNB16:TNC16"/>
    <mergeCell ref="TND16:TNF16"/>
    <mergeCell ref="TMF16:TMH16"/>
    <mergeCell ref="TMI16:TMK16"/>
    <mergeCell ref="TML16:TMM16"/>
    <mergeCell ref="TMN16:TMP16"/>
    <mergeCell ref="TMQ16:TMS16"/>
    <mergeCell ref="TLS16:TLU16"/>
    <mergeCell ref="TLV16:TLW16"/>
    <mergeCell ref="TLX16:TLZ16"/>
    <mergeCell ref="TMA16:TMC16"/>
    <mergeCell ref="TMD16:TME16"/>
    <mergeCell ref="TLF16:TLG16"/>
    <mergeCell ref="TLH16:TLJ16"/>
    <mergeCell ref="TLK16:TLM16"/>
    <mergeCell ref="TLN16:TLO16"/>
    <mergeCell ref="TLP16:TLR16"/>
    <mergeCell ref="TKR16:TKT16"/>
    <mergeCell ref="TKU16:TKW16"/>
    <mergeCell ref="TKX16:TKY16"/>
    <mergeCell ref="TKZ16:TLB16"/>
    <mergeCell ref="TLC16:TLE16"/>
    <mergeCell ref="TKE16:TKG16"/>
    <mergeCell ref="TKH16:TKI16"/>
    <mergeCell ref="TKJ16:TKL16"/>
    <mergeCell ref="TKM16:TKO16"/>
    <mergeCell ref="TKP16:TKQ16"/>
    <mergeCell ref="TJR16:TJS16"/>
    <mergeCell ref="TJT16:TJV16"/>
    <mergeCell ref="TJW16:TJY16"/>
    <mergeCell ref="TJZ16:TKA16"/>
    <mergeCell ref="TKB16:TKD16"/>
    <mergeCell ref="TQI16:TQK16"/>
    <mergeCell ref="TQL16:TQM16"/>
    <mergeCell ref="TQN16:TQP16"/>
    <mergeCell ref="TQQ16:TQS16"/>
    <mergeCell ref="TQT16:TQU16"/>
    <mergeCell ref="TPV16:TPW16"/>
    <mergeCell ref="TPX16:TPZ16"/>
    <mergeCell ref="TQA16:TQC16"/>
    <mergeCell ref="TQD16:TQE16"/>
    <mergeCell ref="TQF16:TQH16"/>
    <mergeCell ref="TPH16:TPJ16"/>
    <mergeCell ref="TPK16:TPM16"/>
    <mergeCell ref="TPN16:TPO16"/>
    <mergeCell ref="TPP16:TPR16"/>
    <mergeCell ref="TPS16:TPU16"/>
    <mergeCell ref="TOU16:TOW16"/>
    <mergeCell ref="TOX16:TOY16"/>
    <mergeCell ref="TOZ16:TPB16"/>
    <mergeCell ref="TPC16:TPE16"/>
    <mergeCell ref="TPF16:TPG16"/>
    <mergeCell ref="TOH16:TOI16"/>
    <mergeCell ref="TOJ16:TOL16"/>
    <mergeCell ref="TOM16:TOO16"/>
    <mergeCell ref="TOP16:TOQ16"/>
    <mergeCell ref="TOR16:TOT16"/>
    <mergeCell ref="TNT16:TNV16"/>
    <mergeCell ref="TNW16:TNY16"/>
    <mergeCell ref="TNZ16:TOA16"/>
    <mergeCell ref="TOB16:TOD16"/>
    <mergeCell ref="TOE16:TOG16"/>
    <mergeCell ref="TNG16:TNI16"/>
    <mergeCell ref="TNJ16:TNK16"/>
    <mergeCell ref="TNL16:TNN16"/>
    <mergeCell ref="TNO16:TNQ16"/>
    <mergeCell ref="TNR16:TNS16"/>
    <mergeCell ref="TTX16:TTZ16"/>
    <mergeCell ref="TUA16:TUC16"/>
    <mergeCell ref="TUD16:TUE16"/>
    <mergeCell ref="TUF16:TUH16"/>
    <mergeCell ref="TUI16:TUK16"/>
    <mergeCell ref="TTK16:TTM16"/>
    <mergeCell ref="TTN16:TTO16"/>
    <mergeCell ref="TTP16:TTR16"/>
    <mergeCell ref="TTS16:TTU16"/>
    <mergeCell ref="TTV16:TTW16"/>
    <mergeCell ref="TSX16:TSY16"/>
    <mergeCell ref="TSZ16:TTB16"/>
    <mergeCell ref="TTC16:TTE16"/>
    <mergeCell ref="TTF16:TTG16"/>
    <mergeCell ref="TTH16:TTJ16"/>
    <mergeCell ref="TSJ16:TSL16"/>
    <mergeCell ref="TSM16:TSO16"/>
    <mergeCell ref="TSP16:TSQ16"/>
    <mergeCell ref="TSR16:TST16"/>
    <mergeCell ref="TSU16:TSW16"/>
    <mergeCell ref="TRW16:TRY16"/>
    <mergeCell ref="TRZ16:TSA16"/>
    <mergeCell ref="TSB16:TSD16"/>
    <mergeCell ref="TSE16:TSG16"/>
    <mergeCell ref="TSH16:TSI16"/>
    <mergeCell ref="TRJ16:TRK16"/>
    <mergeCell ref="TRL16:TRN16"/>
    <mergeCell ref="TRO16:TRQ16"/>
    <mergeCell ref="TRR16:TRS16"/>
    <mergeCell ref="TRT16:TRV16"/>
    <mergeCell ref="TQV16:TQX16"/>
    <mergeCell ref="TQY16:TRA16"/>
    <mergeCell ref="TRB16:TRC16"/>
    <mergeCell ref="TRD16:TRF16"/>
    <mergeCell ref="TRG16:TRI16"/>
    <mergeCell ref="TXN16:TXO16"/>
    <mergeCell ref="TXP16:TXR16"/>
    <mergeCell ref="TXS16:TXU16"/>
    <mergeCell ref="TXV16:TXW16"/>
    <mergeCell ref="TXX16:TXZ16"/>
    <mergeCell ref="TWZ16:TXB16"/>
    <mergeCell ref="TXC16:TXE16"/>
    <mergeCell ref="TXF16:TXG16"/>
    <mergeCell ref="TXH16:TXJ16"/>
    <mergeCell ref="TXK16:TXM16"/>
    <mergeCell ref="TWM16:TWO16"/>
    <mergeCell ref="TWP16:TWQ16"/>
    <mergeCell ref="TWR16:TWT16"/>
    <mergeCell ref="TWU16:TWW16"/>
    <mergeCell ref="TWX16:TWY16"/>
    <mergeCell ref="TVZ16:TWA16"/>
    <mergeCell ref="TWB16:TWD16"/>
    <mergeCell ref="TWE16:TWG16"/>
    <mergeCell ref="TWH16:TWI16"/>
    <mergeCell ref="TWJ16:TWL16"/>
    <mergeCell ref="TVL16:TVN16"/>
    <mergeCell ref="TVO16:TVQ16"/>
    <mergeCell ref="TVR16:TVS16"/>
    <mergeCell ref="TVT16:TVV16"/>
    <mergeCell ref="TVW16:TVY16"/>
    <mergeCell ref="TUY16:TVA16"/>
    <mergeCell ref="TVB16:TVC16"/>
    <mergeCell ref="TVD16:TVF16"/>
    <mergeCell ref="TVG16:TVI16"/>
    <mergeCell ref="TVJ16:TVK16"/>
    <mergeCell ref="TUL16:TUM16"/>
    <mergeCell ref="TUN16:TUP16"/>
    <mergeCell ref="TUQ16:TUS16"/>
    <mergeCell ref="TUT16:TUU16"/>
    <mergeCell ref="TUV16:TUX16"/>
    <mergeCell ref="UBC16:UBE16"/>
    <mergeCell ref="UBF16:UBG16"/>
    <mergeCell ref="UBH16:UBJ16"/>
    <mergeCell ref="UBK16:UBM16"/>
    <mergeCell ref="UBN16:UBO16"/>
    <mergeCell ref="UAP16:UAQ16"/>
    <mergeCell ref="UAR16:UAT16"/>
    <mergeCell ref="UAU16:UAW16"/>
    <mergeCell ref="UAX16:UAY16"/>
    <mergeCell ref="UAZ16:UBB16"/>
    <mergeCell ref="UAB16:UAD16"/>
    <mergeCell ref="UAE16:UAG16"/>
    <mergeCell ref="UAH16:UAI16"/>
    <mergeCell ref="UAJ16:UAL16"/>
    <mergeCell ref="UAM16:UAO16"/>
    <mergeCell ref="TZO16:TZQ16"/>
    <mergeCell ref="TZR16:TZS16"/>
    <mergeCell ref="TZT16:TZV16"/>
    <mergeCell ref="TZW16:TZY16"/>
    <mergeCell ref="TZZ16:UAA16"/>
    <mergeCell ref="TZB16:TZC16"/>
    <mergeCell ref="TZD16:TZF16"/>
    <mergeCell ref="TZG16:TZI16"/>
    <mergeCell ref="TZJ16:TZK16"/>
    <mergeCell ref="TZL16:TZN16"/>
    <mergeCell ref="TYN16:TYP16"/>
    <mergeCell ref="TYQ16:TYS16"/>
    <mergeCell ref="TYT16:TYU16"/>
    <mergeCell ref="TYV16:TYX16"/>
    <mergeCell ref="TYY16:TZA16"/>
    <mergeCell ref="TYA16:TYC16"/>
    <mergeCell ref="TYD16:TYE16"/>
    <mergeCell ref="TYF16:TYH16"/>
    <mergeCell ref="TYI16:TYK16"/>
    <mergeCell ref="TYL16:TYM16"/>
    <mergeCell ref="UER16:UET16"/>
    <mergeCell ref="UEU16:UEW16"/>
    <mergeCell ref="UEX16:UEY16"/>
    <mergeCell ref="UEZ16:UFB16"/>
    <mergeCell ref="UFC16:UFE16"/>
    <mergeCell ref="UEE16:UEG16"/>
    <mergeCell ref="UEH16:UEI16"/>
    <mergeCell ref="UEJ16:UEL16"/>
    <mergeCell ref="UEM16:UEO16"/>
    <mergeCell ref="UEP16:UEQ16"/>
    <mergeCell ref="UDR16:UDS16"/>
    <mergeCell ref="UDT16:UDV16"/>
    <mergeCell ref="UDW16:UDY16"/>
    <mergeCell ref="UDZ16:UEA16"/>
    <mergeCell ref="UEB16:UED16"/>
    <mergeCell ref="UDD16:UDF16"/>
    <mergeCell ref="UDG16:UDI16"/>
    <mergeCell ref="UDJ16:UDK16"/>
    <mergeCell ref="UDL16:UDN16"/>
    <mergeCell ref="UDO16:UDQ16"/>
    <mergeCell ref="UCQ16:UCS16"/>
    <mergeCell ref="UCT16:UCU16"/>
    <mergeCell ref="UCV16:UCX16"/>
    <mergeCell ref="UCY16:UDA16"/>
    <mergeCell ref="UDB16:UDC16"/>
    <mergeCell ref="UCD16:UCE16"/>
    <mergeCell ref="UCF16:UCH16"/>
    <mergeCell ref="UCI16:UCK16"/>
    <mergeCell ref="UCL16:UCM16"/>
    <mergeCell ref="UCN16:UCP16"/>
    <mergeCell ref="UBP16:UBR16"/>
    <mergeCell ref="UBS16:UBU16"/>
    <mergeCell ref="UBV16:UBW16"/>
    <mergeCell ref="UBX16:UBZ16"/>
    <mergeCell ref="UCA16:UCC16"/>
    <mergeCell ref="UIH16:UII16"/>
    <mergeCell ref="UIJ16:UIL16"/>
    <mergeCell ref="UIM16:UIO16"/>
    <mergeCell ref="UIP16:UIQ16"/>
    <mergeCell ref="UIR16:UIT16"/>
    <mergeCell ref="UHT16:UHV16"/>
    <mergeCell ref="UHW16:UHY16"/>
    <mergeCell ref="UHZ16:UIA16"/>
    <mergeCell ref="UIB16:UID16"/>
    <mergeCell ref="UIE16:UIG16"/>
    <mergeCell ref="UHG16:UHI16"/>
    <mergeCell ref="UHJ16:UHK16"/>
    <mergeCell ref="UHL16:UHN16"/>
    <mergeCell ref="UHO16:UHQ16"/>
    <mergeCell ref="UHR16:UHS16"/>
    <mergeCell ref="UGT16:UGU16"/>
    <mergeCell ref="UGV16:UGX16"/>
    <mergeCell ref="UGY16:UHA16"/>
    <mergeCell ref="UHB16:UHC16"/>
    <mergeCell ref="UHD16:UHF16"/>
    <mergeCell ref="UGF16:UGH16"/>
    <mergeCell ref="UGI16:UGK16"/>
    <mergeCell ref="UGL16:UGM16"/>
    <mergeCell ref="UGN16:UGP16"/>
    <mergeCell ref="UGQ16:UGS16"/>
    <mergeCell ref="UFS16:UFU16"/>
    <mergeCell ref="UFV16:UFW16"/>
    <mergeCell ref="UFX16:UFZ16"/>
    <mergeCell ref="UGA16:UGC16"/>
    <mergeCell ref="UGD16:UGE16"/>
    <mergeCell ref="UFF16:UFG16"/>
    <mergeCell ref="UFH16:UFJ16"/>
    <mergeCell ref="UFK16:UFM16"/>
    <mergeCell ref="UFN16:UFO16"/>
    <mergeCell ref="UFP16:UFR16"/>
    <mergeCell ref="ULW16:ULY16"/>
    <mergeCell ref="ULZ16:UMA16"/>
    <mergeCell ref="UMB16:UMD16"/>
    <mergeCell ref="UME16:UMG16"/>
    <mergeCell ref="UMH16:UMI16"/>
    <mergeCell ref="ULJ16:ULK16"/>
    <mergeCell ref="ULL16:ULN16"/>
    <mergeCell ref="ULO16:ULQ16"/>
    <mergeCell ref="ULR16:ULS16"/>
    <mergeCell ref="ULT16:ULV16"/>
    <mergeCell ref="UKV16:UKX16"/>
    <mergeCell ref="UKY16:ULA16"/>
    <mergeCell ref="ULB16:ULC16"/>
    <mergeCell ref="ULD16:ULF16"/>
    <mergeCell ref="ULG16:ULI16"/>
    <mergeCell ref="UKI16:UKK16"/>
    <mergeCell ref="UKL16:UKM16"/>
    <mergeCell ref="UKN16:UKP16"/>
    <mergeCell ref="UKQ16:UKS16"/>
    <mergeCell ref="UKT16:UKU16"/>
    <mergeCell ref="UJV16:UJW16"/>
    <mergeCell ref="UJX16:UJZ16"/>
    <mergeCell ref="UKA16:UKC16"/>
    <mergeCell ref="UKD16:UKE16"/>
    <mergeCell ref="UKF16:UKH16"/>
    <mergeCell ref="UJH16:UJJ16"/>
    <mergeCell ref="UJK16:UJM16"/>
    <mergeCell ref="UJN16:UJO16"/>
    <mergeCell ref="UJP16:UJR16"/>
    <mergeCell ref="UJS16:UJU16"/>
    <mergeCell ref="UIU16:UIW16"/>
    <mergeCell ref="UIX16:UIY16"/>
    <mergeCell ref="UIZ16:UJB16"/>
    <mergeCell ref="UJC16:UJE16"/>
    <mergeCell ref="UJF16:UJG16"/>
    <mergeCell ref="UPL16:UPN16"/>
    <mergeCell ref="UPO16:UPQ16"/>
    <mergeCell ref="UPR16:UPS16"/>
    <mergeCell ref="UPT16:UPV16"/>
    <mergeCell ref="UPW16:UPY16"/>
    <mergeCell ref="UOY16:UPA16"/>
    <mergeCell ref="UPB16:UPC16"/>
    <mergeCell ref="UPD16:UPF16"/>
    <mergeCell ref="UPG16:UPI16"/>
    <mergeCell ref="UPJ16:UPK16"/>
    <mergeCell ref="UOL16:UOM16"/>
    <mergeCell ref="UON16:UOP16"/>
    <mergeCell ref="UOQ16:UOS16"/>
    <mergeCell ref="UOT16:UOU16"/>
    <mergeCell ref="UOV16:UOX16"/>
    <mergeCell ref="UNX16:UNZ16"/>
    <mergeCell ref="UOA16:UOC16"/>
    <mergeCell ref="UOD16:UOE16"/>
    <mergeCell ref="UOF16:UOH16"/>
    <mergeCell ref="UOI16:UOK16"/>
    <mergeCell ref="UNK16:UNM16"/>
    <mergeCell ref="UNN16:UNO16"/>
    <mergeCell ref="UNP16:UNR16"/>
    <mergeCell ref="UNS16:UNU16"/>
    <mergeCell ref="UNV16:UNW16"/>
    <mergeCell ref="UMX16:UMY16"/>
    <mergeCell ref="UMZ16:UNB16"/>
    <mergeCell ref="UNC16:UNE16"/>
    <mergeCell ref="UNF16:UNG16"/>
    <mergeCell ref="UNH16:UNJ16"/>
    <mergeCell ref="UMJ16:UML16"/>
    <mergeCell ref="UMM16:UMO16"/>
    <mergeCell ref="UMP16:UMQ16"/>
    <mergeCell ref="UMR16:UMT16"/>
    <mergeCell ref="UMU16:UMW16"/>
    <mergeCell ref="UTB16:UTC16"/>
    <mergeCell ref="UTD16:UTF16"/>
    <mergeCell ref="UTG16:UTI16"/>
    <mergeCell ref="UTJ16:UTK16"/>
    <mergeCell ref="UTL16:UTN16"/>
    <mergeCell ref="USN16:USP16"/>
    <mergeCell ref="USQ16:USS16"/>
    <mergeCell ref="UST16:USU16"/>
    <mergeCell ref="USV16:USX16"/>
    <mergeCell ref="USY16:UTA16"/>
    <mergeCell ref="USA16:USC16"/>
    <mergeCell ref="USD16:USE16"/>
    <mergeCell ref="USF16:USH16"/>
    <mergeCell ref="USI16:USK16"/>
    <mergeCell ref="USL16:USM16"/>
    <mergeCell ref="URN16:URO16"/>
    <mergeCell ref="URP16:URR16"/>
    <mergeCell ref="URS16:URU16"/>
    <mergeCell ref="URV16:URW16"/>
    <mergeCell ref="URX16:URZ16"/>
    <mergeCell ref="UQZ16:URB16"/>
    <mergeCell ref="URC16:URE16"/>
    <mergeCell ref="URF16:URG16"/>
    <mergeCell ref="URH16:URJ16"/>
    <mergeCell ref="URK16:URM16"/>
    <mergeCell ref="UQM16:UQO16"/>
    <mergeCell ref="UQP16:UQQ16"/>
    <mergeCell ref="UQR16:UQT16"/>
    <mergeCell ref="UQU16:UQW16"/>
    <mergeCell ref="UQX16:UQY16"/>
    <mergeCell ref="UPZ16:UQA16"/>
    <mergeCell ref="UQB16:UQD16"/>
    <mergeCell ref="UQE16:UQG16"/>
    <mergeCell ref="UQH16:UQI16"/>
    <mergeCell ref="UQJ16:UQL16"/>
    <mergeCell ref="UWQ16:UWS16"/>
    <mergeCell ref="UWT16:UWU16"/>
    <mergeCell ref="UWV16:UWX16"/>
    <mergeCell ref="UWY16:UXA16"/>
    <mergeCell ref="UXB16:UXC16"/>
    <mergeCell ref="UWD16:UWE16"/>
    <mergeCell ref="UWF16:UWH16"/>
    <mergeCell ref="UWI16:UWK16"/>
    <mergeCell ref="UWL16:UWM16"/>
    <mergeCell ref="UWN16:UWP16"/>
    <mergeCell ref="UVP16:UVR16"/>
    <mergeCell ref="UVS16:UVU16"/>
    <mergeCell ref="UVV16:UVW16"/>
    <mergeCell ref="UVX16:UVZ16"/>
    <mergeCell ref="UWA16:UWC16"/>
    <mergeCell ref="UVC16:UVE16"/>
    <mergeCell ref="UVF16:UVG16"/>
    <mergeCell ref="UVH16:UVJ16"/>
    <mergeCell ref="UVK16:UVM16"/>
    <mergeCell ref="UVN16:UVO16"/>
    <mergeCell ref="UUP16:UUQ16"/>
    <mergeCell ref="UUR16:UUT16"/>
    <mergeCell ref="UUU16:UUW16"/>
    <mergeCell ref="UUX16:UUY16"/>
    <mergeCell ref="UUZ16:UVB16"/>
    <mergeCell ref="UUB16:UUD16"/>
    <mergeCell ref="UUE16:UUG16"/>
    <mergeCell ref="UUH16:UUI16"/>
    <mergeCell ref="UUJ16:UUL16"/>
    <mergeCell ref="UUM16:UUO16"/>
    <mergeCell ref="UTO16:UTQ16"/>
    <mergeCell ref="UTR16:UTS16"/>
    <mergeCell ref="UTT16:UTV16"/>
    <mergeCell ref="UTW16:UTY16"/>
    <mergeCell ref="UTZ16:UUA16"/>
    <mergeCell ref="VAF16:VAH16"/>
    <mergeCell ref="VAI16:VAK16"/>
    <mergeCell ref="VAL16:VAM16"/>
    <mergeCell ref="VAN16:VAP16"/>
    <mergeCell ref="VAQ16:VAS16"/>
    <mergeCell ref="UZS16:UZU16"/>
    <mergeCell ref="UZV16:UZW16"/>
    <mergeCell ref="UZX16:UZZ16"/>
    <mergeCell ref="VAA16:VAC16"/>
    <mergeCell ref="VAD16:VAE16"/>
    <mergeCell ref="UZF16:UZG16"/>
    <mergeCell ref="UZH16:UZJ16"/>
    <mergeCell ref="UZK16:UZM16"/>
    <mergeCell ref="UZN16:UZO16"/>
    <mergeCell ref="UZP16:UZR16"/>
    <mergeCell ref="UYR16:UYT16"/>
    <mergeCell ref="UYU16:UYW16"/>
    <mergeCell ref="UYX16:UYY16"/>
    <mergeCell ref="UYZ16:UZB16"/>
    <mergeCell ref="UZC16:UZE16"/>
    <mergeCell ref="UYE16:UYG16"/>
    <mergeCell ref="UYH16:UYI16"/>
    <mergeCell ref="UYJ16:UYL16"/>
    <mergeCell ref="UYM16:UYO16"/>
    <mergeCell ref="UYP16:UYQ16"/>
    <mergeCell ref="UXR16:UXS16"/>
    <mergeCell ref="UXT16:UXV16"/>
    <mergeCell ref="UXW16:UXY16"/>
    <mergeCell ref="UXZ16:UYA16"/>
    <mergeCell ref="UYB16:UYD16"/>
    <mergeCell ref="UXD16:UXF16"/>
    <mergeCell ref="UXG16:UXI16"/>
    <mergeCell ref="UXJ16:UXK16"/>
    <mergeCell ref="UXL16:UXN16"/>
    <mergeCell ref="UXO16:UXQ16"/>
    <mergeCell ref="VDV16:VDW16"/>
    <mergeCell ref="VDX16:VDZ16"/>
    <mergeCell ref="VEA16:VEC16"/>
    <mergeCell ref="VED16:VEE16"/>
    <mergeCell ref="VEF16:VEH16"/>
    <mergeCell ref="VDH16:VDJ16"/>
    <mergeCell ref="VDK16:VDM16"/>
    <mergeCell ref="VDN16:VDO16"/>
    <mergeCell ref="VDP16:VDR16"/>
    <mergeCell ref="VDS16:VDU16"/>
    <mergeCell ref="VCU16:VCW16"/>
    <mergeCell ref="VCX16:VCY16"/>
    <mergeCell ref="VCZ16:VDB16"/>
    <mergeCell ref="VDC16:VDE16"/>
    <mergeCell ref="VDF16:VDG16"/>
    <mergeCell ref="VCH16:VCI16"/>
    <mergeCell ref="VCJ16:VCL16"/>
    <mergeCell ref="VCM16:VCO16"/>
    <mergeCell ref="VCP16:VCQ16"/>
    <mergeCell ref="VCR16:VCT16"/>
    <mergeCell ref="VBT16:VBV16"/>
    <mergeCell ref="VBW16:VBY16"/>
    <mergeCell ref="VBZ16:VCA16"/>
    <mergeCell ref="VCB16:VCD16"/>
    <mergeCell ref="VCE16:VCG16"/>
    <mergeCell ref="VBG16:VBI16"/>
    <mergeCell ref="VBJ16:VBK16"/>
    <mergeCell ref="VBL16:VBN16"/>
    <mergeCell ref="VBO16:VBQ16"/>
    <mergeCell ref="VBR16:VBS16"/>
    <mergeCell ref="VAT16:VAU16"/>
    <mergeCell ref="VAV16:VAX16"/>
    <mergeCell ref="VAY16:VBA16"/>
    <mergeCell ref="VBB16:VBC16"/>
    <mergeCell ref="VBD16:VBF16"/>
    <mergeCell ref="VHK16:VHM16"/>
    <mergeCell ref="VHN16:VHO16"/>
    <mergeCell ref="VHP16:VHR16"/>
    <mergeCell ref="VHS16:VHU16"/>
    <mergeCell ref="VHV16:VHW16"/>
    <mergeCell ref="VGX16:VGY16"/>
    <mergeCell ref="VGZ16:VHB16"/>
    <mergeCell ref="VHC16:VHE16"/>
    <mergeCell ref="VHF16:VHG16"/>
    <mergeCell ref="VHH16:VHJ16"/>
    <mergeCell ref="VGJ16:VGL16"/>
    <mergeCell ref="VGM16:VGO16"/>
    <mergeCell ref="VGP16:VGQ16"/>
    <mergeCell ref="VGR16:VGT16"/>
    <mergeCell ref="VGU16:VGW16"/>
    <mergeCell ref="VFW16:VFY16"/>
    <mergeCell ref="VFZ16:VGA16"/>
    <mergeCell ref="VGB16:VGD16"/>
    <mergeCell ref="VGE16:VGG16"/>
    <mergeCell ref="VGH16:VGI16"/>
    <mergeCell ref="VFJ16:VFK16"/>
    <mergeCell ref="VFL16:VFN16"/>
    <mergeCell ref="VFO16:VFQ16"/>
    <mergeCell ref="VFR16:VFS16"/>
    <mergeCell ref="VFT16:VFV16"/>
    <mergeCell ref="VEV16:VEX16"/>
    <mergeCell ref="VEY16:VFA16"/>
    <mergeCell ref="VFB16:VFC16"/>
    <mergeCell ref="VFD16:VFF16"/>
    <mergeCell ref="VFG16:VFI16"/>
    <mergeCell ref="VEI16:VEK16"/>
    <mergeCell ref="VEL16:VEM16"/>
    <mergeCell ref="VEN16:VEP16"/>
    <mergeCell ref="VEQ16:VES16"/>
    <mergeCell ref="VET16:VEU16"/>
    <mergeCell ref="VKZ16:VLB16"/>
    <mergeCell ref="VLC16:VLE16"/>
    <mergeCell ref="VLF16:VLG16"/>
    <mergeCell ref="VLH16:VLJ16"/>
    <mergeCell ref="VLK16:VLM16"/>
    <mergeCell ref="VKM16:VKO16"/>
    <mergeCell ref="VKP16:VKQ16"/>
    <mergeCell ref="VKR16:VKT16"/>
    <mergeCell ref="VKU16:VKW16"/>
    <mergeCell ref="VKX16:VKY16"/>
    <mergeCell ref="VJZ16:VKA16"/>
    <mergeCell ref="VKB16:VKD16"/>
    <mergeCell ref="VKE16:VKG16"/>
    <mergeCell ref="VKH16:VKI16"/>
    <mergeCell ref="VKJ16:VKL16"/>
    <mergeCell ref="VJL16:VJN16"/>
    <mergeCell ref="VJO16:VJQ16"/>
    <mergeCell ref="VJR16:VJS16"/>
    <mergeCell ref="VJT16:VJV16"/>
    <mergeCell ref="VJW16:VJY16"/>
    <mergeCell ref="VIY16:VJA16"/>
    <mergeCell ref="VJB16:VJC16"/>
    <mergeCell ref="VJD16:VJF16"/>
    <mergeCell ref="VJG16:VJI16"/>
    <mergeCell ref="VJJ16:VJK16"/>
    <mergeCell ref="VIL16:VIM16"/>
    <mergeCell ref="VIN16:VIP16"/>
    <mergeCell ref="VIQ16:VIS16"/>
    <mergeCell ref="VIT16:VIU16"/>
    <mergeCell ref="VIV16:VIX16"/>
    <mergeCell ref="VHX16:VHZ16"/>
    <mergeCell ref="VIA16:VIC16"/>
    <mergeCell ref="VID16:VIE16"/>
    <mergeCell ref="VIF16:VIH16"/>
    <mergeCell ref="VII16:VIK16"/>
    <mergeCell ref="VOP16:VOQ16"/>
    <mergeCell ref="VOR16:VOT16"/>
    <mergeCell ref="VOU16:VOW16"/>
    <mergeCell ref="VOX16:VOY16"/>
    <mergeCell ref="VOZ16:VPB16"/>
    <mergeCell ref="VOB16:VOD16"/>
    <mergeCell ref="VOE16:VOG16"/>
    <mergeCell ref="VOH16:VOI16"/>
    <mergeCell ref="VOJ16:VOL16"/>
    <mergeCell ref="VOM16:VOO16"/>
    <mergeCell ref="VNO16:VNQ16"/>
    <mergeCell ref="VNR16:VNS16"/>
    <mergeCell ref="VNT16:VNV16"/>
    <mergeCell ref="VNW16:VNY16"/>
    <mergeCell ref="VNZ16:VOA16"/>
    <mergeCell ref="VNB16:VNC16"/>
    <mergeCell ref="VND16:VNF16"/>
    <mergeCell ref="VNG16:VNI16"/>
    <mergeCell ref="VNJ16:VNK16"/>
    <mergeCell ref="VNL16:VNN16"/>
    <mergeCell ref="VMN16:VMP16"/>
    <mergeCell ref="VMQ16:VMS16"/>
    <mergeCell ref="VMT16:VMU16"/>
    <mergeCell ref="VMV16:VMX16"/>
    <mergeCell ref="VMY16:VNA16"/>
    <mergeCell ref="VMA16:VMC16"/>
    <mergeCell ref="VMD16:VME16"/>
    <mergeCell ref="VMF16:VMH16"/>
    <mergeCell ref="VMI16:VMK16"/>
    <mergeCell ref="VML16:VMM16"/>
    <mergeCell ref="VLN16:VLO16"/>
    <mergeCell ref="VLP16:VLR16"/>
    <mergeCell ref="VLS16:VLU16"/>
    <mergeCell ref="VLV16:VLW16"/>
    <mergeCell ref="VLX16:VLZ16"/>
    <mergeCell ref="VSE16:VSG16"/>
    <mergeCell ref="VSH16:VSI16"/>
    <mergeCell ref="VSJ16:VSL16"/>
    <mergeCell ref="VSM16:VSO16"/>
    <mergeCell ref="VSP16:VSQ16"/>
    <mergeCell ref="VRR16:VRS16"/>
    <mergeCell ref="VRT16:VRV16"/>
    <mergeCell ref="VRW16:VRY16"/>
    <mergeCell ref="VRZ16:VSA16"/>
    <mergeCell ref="VSB16:VSD16"/>
    <mergeCell ref="VRD16:VRF16"/>
    <mergeCell ref="VRG16:VRI16"/>
    <mergeCell ref="VRJ16:VRK16"/>
    <mergeCell ref="VRL16:VRN16"/>
    <mergeCell ref="VRO16:VRQ16"/>
    <mergeCell ref="VQQ16:VQS16"/>
    <mergeCell ref="VQT16:VQU16"/>
    <mergeCell ref="VQV16:VQX16"/>
    <mergeCell ref="VQY16:VRA16"/>
    <mergeCell ref="VRB16:VRC16"/>
    <mergeCell ref="VQD16:VQE16"/>
    <mergeCell ref="VQF16:VQH16"/>
    <mergeCell ref="VQI16:VQK16"/>
    <mergeCell ref="VQL16:VQM16"/>
    <mergeCell ref="VQN16:VQP16"/>
    <mergeCell ref="VPP16:VPR16"/>
    <mergeCell ref="VPS16:VPU16"/>
    <mergeCell ref="VPV16:VPW16"/>
    <mergeCell ref="VPX16:VPZ16"/>
    <mergeCell ref="VQA16:VQC16"/>
    <mergeCell ref="VPC16:VPE16"/>
    <mergeCell ref="VPF16:VPG16"/>
    <mergeCell ref="VPH16:VPJ16"/>
    <mergeCell ref="VPK16:VPM16"/>
    <mergeCell ref="VPN16:VPO16"/>
    <mergeCell ref="VVT16:VVV16"/>
    <mergeCell ref="VVW16:VVY16"/>
    <mergeCell ref="VVZ16:VWA16"/>
    <mergeCell ref="VWB16:VWD16"/>
    <mergeCell ref="VWE16:VWG16"/>
    <mergeCell ref="VVG16:VVI16"/>
    <mergeCell ref="VVJ16:VVK16"/>
    <mergeCell ref="VVL16:VVN16"/>
    <mergeCell ref="VVO16:VVQ16"/>
    <mergeCell ref="VVR16:VVS16"/>
    <mergeCell ref="VUT16:VUU16"/>
    <mergeCell ref="VUV16:VUX16"/>
    <mergeCell ref="VUY16:VVA16"/>
    <mergeCell ref="VVB16:VVC16"/>
    <mergeCell ref="VVD16:VVF16"/>
    <mergeCell ref="VUF16:VUH16"/>
    <mergeCell ref="VUI16:VUK16"/>
    <mergeCell ref="VUL16:VUM16"/>
    <mergeCell ref="VUN16:VUP16"/>
    <mergeCell ref="VUQ16:VUS16"/>
    <mergeCell ref="VTS16:VTU16"/>
    <mergeCell ref="VTV16:VTW16"/>
    <mergeCell ref="VTX16:VTZ16"/>
    <mergeCell ref="VUA16:VUC16"/>
    <mergeCell ref="VUD16:VUE16"/>
    <mergeCell ref="VTF16:VTG16"/>
    <mergeCell ref="VTH16:VTJ16"/>
    <mergeCell ref="VTK16:VTM16"/>
    <mergeCell ref="VTN16:VTO16"/>
    <mergeCell ref="VTP16:VTR16"/>
    <mergeCell ref="VSR16:VST16"/>
    <mergeCell ref="VSU16:VSW16"/>
    <mergeCell ref="VSX16:VSY16"/>
    <mergeCell ref="VSZ16:VTB16"/>
    <mergeCell ref="VTC16:VTE16"/>
    <mergeCell ref="VZJ16:VZK16"/>
    <mergeCell ref="VZL16:VZN16"/>
    <mergeCell ref="VZO16:VZQ16"/>
    <mergeCell ref="VZR16:VZS16"/>
    <mergeCell ref="VZT16:VZV16"/>
    <mergeCell ref="VYV16:VYX16"/>
    <mergeCell ref="VYY16:VZA16"/>
    <mergeCell ref="VZB16:VZC16"/>
    <mergeCell ref="VZD16:VZF16"/>
    <mergeCell ref="VZG16:VZI16"/>
    <mergeCell ref="VYI16:VYK16"/>
    <mergeCell ref="VYL16:VYM16"/>
    <mergeCell ref="VYN16:VYP16"/>
    <mergeCell ref="VYQ16:VYS16"/>
    <mergeCell ref="VYT16:VYU16"/>
    <mergeCell ref="VXV16:VXW16"/>
    <mergeCell ref="VXX16:VXZ16"/>
    <mergeCell ref="VYA16:VYC16"/>
    <mergeCell ref="VYD16:VYE16"/>
    <mergeCell ref="VYF16:VYH16"/>
    <mergeCell ref="VXH16:VXJ16"/>
    <mergeCell ref="VXK16:VXM16"/>
    <mergeCell ref="VXN16:VXO16"/>
    <mergeCell ref="VXP16:VXR16"/>
    <mergeCell ref="VXS16:VXU16"/>
    <mergeCell ref="VWU16:VWW16"/>
    <mergeCell ref="VWX16:VWY16"/>
    <mergeCell ref="VWZ16:VXB16"/>
    <mergeCell ref="VXC16:VXE16"/>
    <mergeCell ref="VXF16:VXG16"/>
    <mergeCell ref="VWH16:VWI16"/>
    <mergeCell ref="VWJ16:VWL16"/>
    <mergeCell ref="VWM16:VWO16"/>
    <mergeCell ref="VWP16:VWQ16"/>
    <mergeCell ref="VWR16:VWT16"/>
    <mergeCell ref="WCY16:WDA16"/>
    <mergeCell ref="WDB16:WDC16"/>
    <mergeCell ref="WDD16:WDF16"/>
    <mergeCell ref="WDG16:WDI16"/>
    <mergeCell ref="WDJ16:WDK16"/>
    <mergeCell ref="WCL16:WCM16"/>
    <mergeCell ref="WCN16:WCP16"/>
    <mergeCell ref="WCQ16:WCS16"/>
    <mergeCell ref="WCT16:WCU16"/>
    <mergeCell ref="WCV16:WCX16"/>
    <mergeCell ref="WBX16:WBZ16"/>
    <mergeCell ref="WCA16:WCC16"/>
    <mergeCell ref="WCD16:WCE16"/>
    <mergeCell ref="WCF16:WCH16"/>
    <mergeCell ref="WCI16:WCK16"/>
    <mergeCell ref="WBK16:WBM16"/>
    <mergeCell ref="WBN16:WBO16"/>
    <mergeCell ref="WBP16:WBR16"/>
    <mergeCell ref="WBS16:WBU16"/>
    <mergeCell ref="WBV16:WBW16"/>
    <mergeCell ref="WAX16:WAY16"/>
    <mergeCell ref="WAZ16:WBB16"/>
    <mergeCell ref="WBC16:WBE16"/>
    <mergeCell ref="WBF16:WBG16"/>
    <mergeCell ref="WBH16:WBJ16"/>
    <mergeCell ref="WAJ16:WAL16"/>
    <mergeCell ref="WAM16:WAO16"/>
    <mergeCell ref="WAP16:WAQ16"/>
    <mergeCell ref="WAR16:WAT16"/>
    <mergeCell ref="WAU16:WAW16"/>
    <mergeCell ref="VZW16:VZY16"/>
    <mergeCell ref="VZZ16:WAA16"/>
    <mergeCell ref="WAB16:WAD16"/>
    <mergeCell ref="WAE16:WAG16"/>
    <mergeCell ref="WAH16:WAI16"/>
    <mergeCell ref="WGN16:WGP16"/>
    <mergeCell ref="WGQ16:WGS16"/>
    <mergeCell ref="WGT16:WGU16"/>
    <mergeCell ref="WGV16:WGX16"/>
    <mergeCell ref="WGY16:WHA16"/>
    <mergeCell ref="WGA16:WGC16"/>
    <mergeCell ref="WGD16:WGE16"/>
    <mergeCell ref="WGF16:WGH16"/>
    <mergeCell ref="WGI16:WGK16"/>
    <mergeCell ref="WGL16:WGM16"/>
    <mergeCell ref="WFN16:WFO16"/>
    <mergeCell ref="WFP16:WFR16"/>
    <mergeCell ref="WFS16:WFU16"/>
    <mergeCell ref="WFV16:WFW16"/>
    <mergeCell ref="WFX16:WFZ16"/>
    <mergeCell ref="WEZ16:WFB16"/>
    <mergeCell ref="WFC16:WFE16"/>
    <mergeCell ref="WFF16:WFG16"/>
    <mergeCell ref="WFH16:WFJ16"/>
    <mergeCell ref="WFK16:WFM16"/>
    <mergeCell ref="WEM16:WEO16"/>
    <mergeCell ref="WEP16:WEQ16"/>
    <mergeCell ref="WER16:WET16"/>
    <mergeCell ref="WEU16:WEW16"/>
    <mergeCell ref="WEX16:WEY16"/>
    <mergeCell ref="WDZ16:WEA16"/>
    <mergeCell ref="WEB16:WED16"/>
    <mergeCell ref="WEE16:WEG16"/>
    <mergeCell ref="WEH16:WEI16"/>
    <mergeCell ref="WEJ16:WEL16"/>
    <mergeCell ref="WDL16:WDN16"/>
    <mergeCell ref="WDO16:WDQ16"/>
    <mergeCell ref="WDR16:WDS16"/>
    <mergeCell ref="WDT16:WDV16"/>
    <mergeCell ref="WDW16:WDY16"/>
    <mergeCell ref="WKD16:WKE16"/>
    <mergeCell ref="WKF16:WKH16"/>
    <mergeCell ref="WKI16:WKK16"/>
    <mergeCell ref="WKL16:WKM16"/>
    <mergeCell ref="WKN16:WKP16"/>
    <mergeCell ref="WJP16:WJR16"/>
    <mergeCell ref="WJS16:WJU16"/>
    <mergeCell ref="WJV16:WJW16"/>
    <mergeCell ref="WJX16:WJZ16"/>
    <mergeCell ref="WKA16:WKC16"/>
    <mergeCell ref="WJC16:WJE16"/>
    <mergeCell ref="WJF16:WJG16"/>
    <mergeCell ref="WJH16:WJJ16"/>
    <mergeCell ref="WJK16:WJM16"/>
    <mergeCell ref="WJN16:WJO16"/>
    <mergeCell ref="WIP16:WIQ16"/>
    <mergeCell ref="WIR16:WIT16"/>
    <mergeCell ref="WIU16:WIW16"/>
    <mergeCell ref="WIX16:WIY16"/>
    <mergeCell ref="WIZ16:WJB16"/>
    <mergeCell ref="WIB16:WID16"/>
    <mergeCell ref="WIE16:WIG16"/>
    <mergeCell ref="WIH16:WII16"/>
    <mergeCell ref="WIJ16:WIL16"/>
    <mergeCell ref="WIM16:WIO16"/>
    <mergeCell ref="WHO16:WHQ16"/>
    <mergeCell ref="WHR16:WHS16"/>
    <mergeCell ref="WHT16:WHV16"/>
    <mergeCell ref="WHW16:WHY16"/>
    <mergeCell ref="WHZ16:WIA16"/>
    <mergeCell ref="WHB16:WHC16"/>
    <mergeCell ref="WHD16:WHF16"/>
    <mergeCell ref="WHG16:WHI16"/>
    <mergeCell ref="WHJ16:WHK16"/>
    <mergeCell ref="WHL16:WHN16"/>
    <mergeCell ref="WNS16:WNU16"/>
    <mergeCell ref="WNV16:WNW16"/>
    <mergeCell ref="WNX16:WNZ16"/>
    <mergeCell ref="WOA16:WOC16"/>
    <mergeCell ref="WOD16:WOE16"/>
    <mergeCell ref="WNF16:WNG16"/>
    <mergeCell ref="WNH16:WNJ16"/>
    <mergeCell ref="WNK16:WNM16"/>
    <mergeCell ref="WNN16:WNO16"/>
    <mergeCell ref="WNP16:WNR16"/>
    <mergeCell ref="WMR16:WMT16"/>
    <mergeCell ref="WMU16:WMW16"/>
    <mergeCell ref="WMX16:WMY16"/>
    <mergeCell ref="WMZ16:WNB16"/>
    <mergeCell ref="WNC16:WNE16"/>
    <mergeCell ref="WME16:WMG16"/>
    <mergeCell ref="WMH16:WMI16"/>
    <mergeCell ref="WMJ16:WML16"/>
    <mergeCell ref="WMM16:WMO16"/>
    <mergeCell ref="WMP16:WMQ16"/>
    <mergeCell ref="WLR16:WLS16"/>
    <mergeCell ref="WLT16:WLV16"/>
    <mergeCell ref="WLW16:WLY16"/>
    <mergeCell ref="WLZ16:WMA16"/>
    <mergeCell ref="WMB16:WMD16"/>
    <mergeCell ref="WLD16:WLF16"/>
    <mergeCell ref="WLG16:WLI16"/>
    <mergeCell ref="WLJ16:WLK16"/>
    <mergeCell ref="WLL16:WLN16"/>
    <mergeCell ref="WLO16:WLQ16"/>
    <mergeCell ref="WKQ16:WKS16"/>
    <mergeCell ref="WKT16:WKU16"/>
    <mergeCell ref="WKV16:WKX16"/>
    <mergeCell ref="WKY16:WLA16"/>
    <mergeCell ref="WLB16:WLC16"/>
    <mergeCell ref="WRH16:WRJ16"/>
    <mergeCell ref="WRK16:WRM16"/>
    <mergeCell ref="WRN16:WRO16"/>
    <mergeCell ref="WRP16:WRR16"/>
    <mergeCell ref="WRS16:WRU16"/>
    <mergeCell ref="WQU16:WQW16"/>
    <mergeCell ref="WQX16:WQY16"/>
    <mergeCell ref="WQZ16:WRB16"/>
    <mergeCell ref="WRC16:WRE16"/>
    <mergeCell ref="WRF16:WRG16"/>
    <mergeCell ref="WQH16:WQI16"/>
    <mergeCell ref="WQJ16:WQL16"/>
    <mergeCell ref="WQM16:WQO16"/>
    <mergeCell ref="WQP16:WQQ16"/>
    <mergeCell ref="WQR16:WQT16"/>
    <mergeCell ref="WPT16:WPV16"/>
    <mergeCell ref="WPW16:WPY16"/>
    <mergeCell ref="WPZ16:WQA16"/>
    <mergeCell ref="WQB16:WQD16"/>
    <mergeCell ref="WQE16:WQG16"/>
    <mergeCell ref="WPG16:WPI16"/>
    <mergeCell ref="WPJ16:WPK16"/>
    <mergeCell ref="WPL16:WPN16"/>
    <mergeCell ref="WPO16:WPQ16"/>
    <mergeCell ref="WPR16:WPS16"/>
    <mergeCell ref="WOT16:WOU16"/>
    <mergeCell ref="WOV16:WOX16"/>
    <mergeCell ref="WOY16:WPA16"/>
    <mergeCell ref="WPB16:WPC16"/>
    <mergeCell ref="WPD16:WPF16"/>
    <mergeCell ref="WOF16:WOH16"/>
    <mergeCell ref="WOI16:WOK16"/>
    <mergeCell ref="WOL16:WOM16"/>
    <mergeCell ref="WON16:WOP16"/>
    <mergeCell ref="WOQ16:WOS16"/>
    <mergeCell ref="WUX16:WUY16"/>
    <mergeCell ref="WUZ16:WVB16"/>
    <mergeCell ref="WVC16:WVE16"/>
    <mergeCell ref="WVF16:WVG16"/>
    <mergeCell ref="WVH16:WVJ16"/>
    <mergeCell ref="WUJ16:WUL16"/>
    <mergeCell ref="WUM16:WUO16"/>
    <mergeCell ref="WUP16:WUQ16"/>
    <mergeCell ref="WUR16:WUT16"/>
    <mergeCell ref="WUU16:WUW16"/>
    <mergeCell ref="WTW16:WTY16"/>
    <mergeCell ref="WTZ16:WUA16"/>
    <mergeCell ref="WUB16:WUD16"/>
    <mergeCell ref="WUE16:WUG16"/>
    <mergeCell ref="WUH16:WUI16"/>
    <mergeCell ref="WTJ16:WTK16"/>
    <mergeCell ref="WTL16:WTN16"/>
    <mergeCell ref="WTO16:WTQ16"/>
    <mergeCell ref="WTR16:WTS16"/>
    <mergeCell ref="WTT16:WTV16"/>
    <mergeCell ref="WSV16:WSX16"/>
    <mergeCell ref="WSY16:WTA16"/>
    <mergeCell ref="WTB16:WTC16"/>
    <mergeCell ref="WTD16:WTF16"/>
    <mergeCell ref="WTG16:WTI16"/>
    <mergeCell ref="WSI16:WSK16"/>
    <mergeCell ref="WSL16:WSM16"/>
    <mergeCell ref="WSN16:WSP16"/>
    <mergeCell ref="WSQ16:WSS16"/>
    <mergeCell ref="WST16:WSU16"/>
    <mergeCell ref="WRV16:WRW16"/>
    <mergeCell ref="WRX16:WRZ16"/>
    <mergeCell ref="WSA16:WSC16"/>
    <mergeCell ref="WSD16:WSE16"/>
    <mergeCell ref="WSF16:WSH16"/>
    <mergeCell ref="WZH16:WZJ16"/>
    <mergeCell ref="WZK16:WZM16"/>
    <mergeCell ref="WYM16:WYO16"/>
    <mergeCell ref="WYP16:WYQ16"/>
    <mergeCell ref="WYR16:WYT16"/>
    <mergeCell ref="WYU16:WYW16"/>
    <mergeCell ref="WYX16:WYY16"/>
    <mergeCell ref="WXZ16:WYA16"/>
    <mergeCell ref="WYB16:WYD16"/>
    <mergeCell ref="WYE16:WYG16"/>
    <mergeCell ref="WYH16:WYI16"/>
    <mergeCell ref="WYJ16:WYL16"/>
    <mergeCell ref="WXL16:WXN16"/>
    <mergeCell ref="WXO16:WXQ16"/>
    <mergeCell ref="WXR16:WXS16"/>
    <mergeCell ref="WXT16:WXV16"/>
    <mergeCell ref="WXW16:WXY16"/>
    <mergeCell ref="WWY16:WXA16"/>
    <mergeCell ref="WXB16:WXC16"/>
    <mergeCell ref="WXD16:WXF16"/>
    <mergeCell ref="WXG16:WXI16"/>
    <mergeCell ref="WXJ16:WXK16"/>
    <mergeCell ref="WWL16:WWM16"/>
    <mergeCell ref="WWN16:WWP16"/>
    <mergeCell ref="WWQ16:WWS16"/>
    <mergeCell ref="WWT16:WWU16"/>
    <mergeCell ref="WWV16:WWX16"/>
    <mergeCell ref="WVX16:WVZ16"/>
    <mergeCell ref="WWA16:WWC16"/>
    <mergeCell ref="WWD16:WWE16"/>
    <mergeCell ref="WWF16:WWH16"/>
    <mergeCell ref="WWI16:WWK16"/>
    <mergeCell ref="WVK16:WVM16"/>
    <mergeCell ref="WVN16:WVO16"/>
    <mergeCell ref="WVP16:WVR16"/>
    <mergeCell ref="WVS16:WVU16"/>
    <mergeCell ref="WVV16:WVW16"/>
    <mergeCell ref="F30:H30"/>
    <mergeCell ref="C31:E31"/>
    <mergeCell ref="F31:H31"/>
    <mergeCell ref="XEQ16:XES16"/>
    <mergeCell ref="XET16:XEU16"/>
    <mergeCell ref="XEV16:XEX16"/>
    <mergeCell ref="XEY16:XFA16"/>
    <mergeCell ref="F6:G6"/>
    <mergeCell ref="C11:D11"/>
    <mergeCell ref="C12:D12"/>
    <mergeCell ref="C13:D13"/>
    <mergeCell ref="XED16:XEE16"/>
    <mergeCell ref="XEF16:XEH16"/>
    <mergeCell ref="XEI16:XEK16"/>
    <mergeCell ref="XEL16:XEM16"/>
    <mergeCell ref="XEN16:XEP16"/>
    <mergeCell ref="XDP16:XDR16"/>
    <mergeCell ref="XDS16:XDU16"/>
    <mergeCell ref="XDV16:XDW16"/>
    <mergeCell ref="XDX16:XDZ16"/>
    <mergeCell ref="XEA16:XEC16"/>
    <mergeCell ref="XDC16:XDE16"/>
    <mergeCell ref="XDF16:XDG16"/>
    <mergeCell ref="XDH16:XDJ16"/>
    <mergeCell ref="XDK16:XDM16"/>
    <mergeCell ref="XDN16:XDO16"/>
    <mergeCell ref="XCP16:XCQ16"/>
    <mergeCell ref="XCR16:XCT16"/>
    <mergeCell ref="XCU16:XCW16"/>
    <mergeCell ref="XCX16:XCY16"/>
    <mergeCell ref="XCZ16:XDB16"/>
    <mergeCell ref="XCB16:XCD16"/>
    <mergeCell ref="XCE16:XCG16"/>
    <mergeCell ref="XCH16:XCI16"/>
    <mergeCell ref="XCJ16:XCL16"/>
    <mergeCell ref="XCM16:XCO16"/>
    <mergeCell ref="XBO16:XBQ16"/>
    <mergeCell ref="XBR16:XBS16"/>
    <mergeCell ref="XBT16:XBV16"/>
    <mergeCell ref="XBW16:XBY16"/>
    <mergeCell ref="XBZ16:XCA16"/>
    <mergeCell ref="XBB16:XBC16"/>
    <mergeCell ref="XBD16:XBF16"/>
    <mergeCell ref="XBG16:XBI16"/>
    <mergeCell ref="XBJ16:XBK16"/>
    <mergeCell ref="XBL16:XBN16"/>
    <mergeCell ref="XAN16:XAP16"/>
    <mergeCell ref="XAQ16:XAS16"/>
    <mergeCell ref="XAT16:XAU16"/>
    <mergeCell ref="XAV16:XAX16"/>
    <mergeCell ref="XAY16:XBA16"/>
    <mergeCell ref="XAA16:XAC16"/>
    <mergeCell ref="XAD16:XAE16"/>
    <mergeCell ref="XAF16:XAH16"/>
    <mergeCell ref="XAI16:XAK16"/>
    <mergeCell ref="XAL16:XAM16"/>
    <mergeCell ref="WZN16:WZO16"/>
    <mergeCell ref="WZP16:WZR16"/>
    <mergeCell ref="WZS16:WZU16"/>
    <mergeCell ref="WZV16:WZW16"/>
    <mergeCell ref="WZX16:WZZ16"/>
    <mergeCell ref="WYZ16:WZB16"/>
    <mergeCell ref="WZC16:WZE16"/>
    <mergeCell ref="WZF16:WZG16"/>
  </mergeCells>
  <phoneticPr fontId="19" type="noConversion"/>
  <pageMargins left="0.25" right="0.25" top="0.75" bottom="0.75" header="0.3" footer="0.3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opLeftCell="A28" zoomScaleNormal="100" workbookViewId="0">
      <selection activeCell="G48" sqref="G48"/>
    </sheetView>
  </sheetViews>
  <sheetFormatPr defaultColWidth="8.6875" defaultRowHeight="16.899999999999999"/>
  <cols>
    <col min="1" max="1" width="10" style="1" customWidth="1"/>
    <col min="2" max="2" width="37.375" style="1" customWidth="1"/>
    <col min="3" max="3" width="12.5" style="1" customWidth="1"/>
    <col min="4" max="4" width="10.5" style="1" customWidth="1"/>
    <col min="5" max="5" width="9.1875" style="1" customWidth="1"/>
    <col min="6" max="6" width="16.5" style="1" customWidth="1"/>
    <col min="7" max="7" width="13.125" style="1" customWidth="1"/>
    <col min="8" max="8" width="24.875" style="37" customWidth="1"/>
    <col min="9" max="9" width="14.375" style="37" bestFit="1" customWidth="1"/>
    <col min="10" max="10" width="14.125" style="37" bestFit="1" customWidth="1"/>
    <col min="11" max="11" width="25.875" style="37" bestFit="1" customWidth="1"/>
    <col min="12" max="12" width="22.875" style="1" customWidth="1"/>
    <col min="13" max="13" width="16" style="1" customWidth="1"/>
    <col min="14" max="14" width="8.6875" style="1"/>
    <col min="15" max="16" width="13.625" style="1" bestFit="1" customWidth="1"/>
    <col min="17" max="16384" width="8.6875" style="1"/>
  </cols>
  <sheetData>
    <row r="1" spans="1:16" ht="17.25" thickBot="1">
      <c r="A1" s="466"/>
      <c r="B1" s="467"/>
      <c r="C1" s="14"/>
      <c r="D1" s="14"/>
      <c r="E1" s="14"/>
      <c r="F1" s="14"/>
      <c r="G1" s="15" t="s">
        <v>6</v>
      </c>
    </row>
    <row r="2" spans="1:16" ht="17.25" thickBot="1">
      <c r="A2" s="16" t="s">
        <v>7</v>
      </c>
      <c r="B2" s="243" t="s">
        <v>13</v>
      </c>
      <c r="C2" s="468" t="s">
        <v>14</v>
      </c>
      <c r="D2" s="468"/>
      <c r="E2" s="243" t="s">
        <v>8</v>
      </c>
      <c r="F2" s="243" t="s">
        <v>269</v>
      </c>
      <c r="G2" s="245" t="s">
        <v>15</v>
      </c>
      <c r="H2" s="244" t="s">
        <v>33</v>
      </c>
      <c r="I2" s="34" t="s">
        <v>34</v>
      </c>
      <c r="J2" s="34" t="s">
        <v>35</v>
      </c>
      <c r="K2" s="35" t="s">
        <v>36</v>
      </c>
      <c r="L2" s="264" t="s">
        <v>203</v>
      </c>
      <c r="M2" s="40"/>
    </row>
    <row r="3" spans="1:16">
      <c r="A3" s="469" t="s">
        <v>196</v>
      </c>
      <c r="B3" s="279"/>
      <c r="C3" s="472"/>
      <c r="D3" s="473"/>
      <c r="E3" s="288"/>
      <c r="F3" s="314"/>
      <c r="G3" s="281"/>
      <c r="H3" s="282"/>
      <c r="I3" s="491"/>
      <c r="J3" s="491"/>
      <c r="K3" s="493"/>
      <c r="L3" s="265"/>
    </row>
    <row r="4" spans="1:16">
      <c r="A4" s="469"/>
      <c r="B4" s="283"/>
      <c r="C4" s="479"/>
      <c r="D4" s="480"/>
      <c r="E4" s="284"/>
      <c r="F4" s="315"/>
      <c r="G4" s="285"/>
      <c r="H4" s="286"/>
      <c r="I4" s="492"/>
      <c r="J4" s="492"/>
      <c r="K4" s="371"/>
      <c r="L4" s="265"/>
    </row>
    <row r="5" spans="1:16">
      <c r="A5" s="469"/>
      <c r="B5" s="287"/>
      <c r="C5" s="479"/>
      <c r="D5" s="480"/>
      <c r="E5" s="284"/>
      <c r="F5" s="315"/>
      <c r="G5" s="285"/>
      <c r="H5" s="283"/>
      <c r="I5" s="492"/>
      <c r="J5" s="492"/>
      <c r="K5" s="371"/>
      <c r="L5" s="265"/>
    </row>
    <row r="6" spans="1:16">
      <c r="A6" s="469"/>
      <c r="B6" s="287"/>
      <c r="C6" s="479"/>
      <c r="D6" s="480"/>
      <c r="E6" s="284"/>
      <c r="F6" s="315"/>
      <c r="G6" s="285"/>
      <c r="H6" s="283"/>
      <c r="I6" s="492"/>
      <c r="J6" s="492"/>
      <c r="K6" s="371"/>
      <c r="L6" s="265"/>
    </row>
    <row r="7" spans="1:16">
      <c r="A7" s="470"/>
      <c r="B7" s="304"/>
      <c r="C7" s="477"/>
      <c r="D7" s="478"/>
      <c r="E7" s="298"/>
      <c r="F7" s="316"/>
      <c r="G7" s="305"/>
      <c r="H7" s="306"/>
      <c r="I7" s="271"/>
      <c r="J7" s="271"/>
      <c r="K7" s="272"/>
      <c r="L7" s="265"/>
      <c r="O7" s="248"/>
      <c r="P7" s="40"/>
    </row>
    <row r="8" spans="1:16" ht="31.5" customHeight="1" thickBot="1">
      <c r="A8" s="471"/>
      <c r="B8" s="474" t="s">
        <v>16</v>
      </c>
      <c r="C8" s="475"/>
      <c r="D8" s="476"/>
      <c r="E8" s="307">
        <f>SUM(E3:E7)</f>
        <v>0</v>
      </c>
      <c r="F8" s="317"/>
      <c r="G8" s="308">
        <f>SUM(G3:G7)</f>
        <v>0</v>
      </c>
      <c r="H8" s="310"/>
      <c r="I8" s="310"/>
      <c r="J8" s="310"/>
      <c r="K8" s="311"/>
      <c r="L8" s="267"/>
      <c r="M8" s="228"/>
      <c r="O8" s="40"/>
      <c r="P8" s="40"/>
    </row>
    <row r="9" spans="1:16">
      <c r="A9" s="469" t="s">
        <v>151</v>
      </c>
      <c r="B9" s="289" t="s">
        <v>219</v>
      </c>
      <c r="C9" s="489"/>
      <c r="D9" s="490"/>
      <c r="E9" s="303">
        <v>2</v>
      </c>
      <c r="F9" s="320"/>
      <c r="G9" s="290"/>
      <c r="H9" s="309" t="s">
        <v>240</v>
      </c>
      <c r="I9" s="277"/>
      <c r="J9" s="492"/>
      <c r="K9" s="371"/>
      <c r="L9" s="266"/>
      <c r="M9" s="179"/>
    </row>
    <row r="10" spans="1:16" ht="16.5" customHeight="1">
      <c r="A10" s="470"/>
      <c r="B10" s="293" t="s">
        <v>220</v>
      </c>
      <c r="C10" s="487"/>
      <c r="D10" s="488"/>
      <c r="E10" s="284">
        <v>2</v>
      </c>
      <c r="F10" s="321"/>
      <c r="G10" s="294"/>
      <c r="H10" s="293" t="s">
        <v>241</v>
      </c>
      <c r="I10" s="277"/>
      <c r="J10" s="492"/>
      <c r="K10" s="371"/>
      <c r="L10" s="266"/>
      <c r="M10" s="247"/>
      <c r="O10" s="249"/>
      <c r="P10" s="249"/>
    </row>
    <row r="11" spans="1:16" ht="16.5" customHeight="1">
      <c r="A11" s="470"/>
      <c r="B11" s="293" t="s">
        <v>221</v>
      </c>
      <c r="C11" s="487"/>
      <c r="D11" s="488"/>
      <c r="E11" s="284">
        <v>2</v>
      </c>
      <c r="F11" s="321"/>
      <c r="G11" s="294"/>
      <c r="H11" s="293" t="s">
        <v>242</v>
      </c>
      <c r="I11" s="277"/>
      <c r="J11" s="277"/>
      <c r="K11" s="276"/>
      <c r="L11" s="266"/>
      <c r="M11" s="247"/>
      <c r="O11" s="249"/>
      <c r="P11" s="249"/>
    </row>
    <row r="12" spans="1:16" ht="16.5" customHeight="1">
      <c r="A12" s="470"/>
      <c r="B12" s="283" t="s">
        <v>222</v>
      </c>
      <c r="C12" s="487"/>
      <c r="D12" s="488"/>
      <c r="E12" s="284">
        <v>2</v>
      </c>
      <c r="F12" s="321"/>
      <c r="G12" s="294"/>
      <c r="H12" s="283" t="s">
        <v>243</v>
      </c>
      <c r="I12" s="277"/>
      <c r="J12" s="277"/>
      <c r="K12" s="276"/>
      <c r="L12" s="266"/>
      <c r="M12" s="247"/>
      <c r="O12" s="249"/>
      <c r="P12" s="249"/>
    </row>
    <row r="13" spans="1:16" ht="16.5" customHeight="1">
      <c r="A13" s="470"/>
      <c r="B13" s="283" t="s">
        <v>223</v>
      </c>
      <c r="C13" s="487"/>
      <c r="D13" s="488"/>
      <c r="E13" s="284">
        <v>2</v>
      </c>
      <c r="F13" s="321"/>
      <c r="G13" s="294"/>
      <c r="H13" s="283" t="s">
        <v>244</v>
      </c>
      <c r="I13" s="277"/>
      <c r="J13" s="277"/>
      <c r="K13" s="276"/>
      <c r="L13" s="266"/>
      <c r="M13" s="247"/>
      <c r="O13" s="249"/>
      <c r="P13" s="249"/>
    </row>
    <row r="14" spans="1:16" ht="16.5" customHeight="1">
      <c r="A14" s="470"/>
      <c r="B14" s="295" t="s">
        <v>224</v>
      </c>
      <c r="C14" s="487"/>
      <c r="D14" s="488"/>
      <c r="E14" s="284">
        <v>2</v>
      </c>
      <c r="F14" s="321"/>
      <c r="G14" s="294"/>
      <c r="H14" s="283" t="s">
        <v>245</v>
      </c>
      <c r="I14" s="277"/>
      <c r="J14" s="277"/>
      <c r="K14" s="276"/>
      <c r="L14" s="266"/>
      <c r="M14" s="247"/>
      <c r="O14" s="249"/>
      <c r="P14" s="249"/>
    </row>
    <row r="15" spans="1:16" ht="16.5" customHeight="1">
      <c r="A15" s="470"/>
      <c r="B15" s="283" t="s">
        <v>225</v>
      </c>
      <c r="C15" s="487"/>
      <c r="D15" s="488"/>
      <c r="E15" s="284">
        <v>2</v>
      </c>
      <c r="F15" s="321"/>
      <c r="G15" s="294"/>
      <c r="H15" s="283" t="s">
        <v>246</v>
      </c>
      <c r="I15" s="277"/>
      <c r="J15" s="277"/>
      <c r="K15" s="276"/>
      <c r="L15" s="266"/>
      <c r="M15" s="247"/>
      <c r="O15" s="249"/>
      <c r="P15" s="249"/>
    </row>
    <row r="16" spans="1:16" ht="16.5" customHeight="1">
      <c r="A16" s="470"/>
      <c r="B16" s="283" t="s">
        <v>226</v>
      </c>
      <c r="C16" s="487"/>
      <c r="D16" s="488"/>
      <c r="E16" s="284">
        <v>2</v>
      </c>
      <c r="F16" s="321"/>
      <c r="G16" s="294"/>
      <c r="H16" s="283" t="s">
        <v>247</v>
      </c>
      <c r="I16" s="277"/>
      <c r="J16" s="277"/>
      <c r="K16" s="276"/>
      <c r="L16" s="266"/>
      <c r="M16" s="247"/>
      <c r="O16" s="249"/>
      <c r="P16" s="249"/>
    </row>
    <row r="17" spans="1:16" ht="16.5" customHeight="1">
      <c r="A17" s="470"/>
      <c r="B17" s="283" t="s">
        <v>227</v>
      </c>
      <c r="C17" s="487"/>
      <c r="D17" s="488"/>
      <c r="E17" s="284">
        <v>2</v>
      </c>
      <c r="F17" s="321"/>
      <c r="G17" s="294"/>
      <c r="H17" s="293" t="s">
        <v>248</v>
      </c>
      <c r="I17" s="277"/>
      <c r="J17" s="277"/>
      <c r="K17" s="276"/>
      <c r="L17" s="266"/>
      <c r="M17" s="247"/>
      <c r="O17" s="249"/>
      <c r="P17" s="249"/>
    </row>
    <row r="18" spans="1:16" ht="16.5" customHeight="1">
      <c r="A18" s="470"/>
      <c r="B18" s="283" t="s">
        <v>228</v>
      </c>
      <c r="C18" s="487"/>
      <c r="D18" s="488"/>
      <c r="E18" s="284">
        <v>2</v>
      </c>
      <c r="F18" s="321"/>
      <c r="G18" s="294"/>
      <c r="H18" s="283" t="s">
        <v>249</v>
      </c>
      <c r="I18" s="277"/>
      <c r="J18" s="277"/>
      <c r="K18" s="276"/>
      <c r="L18" s="266"/>
      <c r="M18" s="247"/>
      <c r="O18" s="249"/>
      <c r="P18" s="249"/>
    </row>
    <row r="19" spans="1:16" ht="16.5" customHeight="1">
      <c r="A19" s="470"/>
      <c r="B19" s="293" t="s">
        <v>229</v>
      </c>
      <c r="C19" s="487"/>
      <c r="D19" s="488"/>
      <c r="E19" s="284">
        <v>2</v>
      </c>
      <c r="F19" s="321"/>
      <c r="G19" s="294"/>
      <c r="H19" s="293" t="s">
        <v>250</v>
      </c>
      <c r="I19" s="277"/>
      <c r="J19" s="277"/>
      <c r="K19" s="276"/>
      <c r="L19" s="266"/>
      <c r="M19" s="247"/>
      <c r="O19" s="249"/>
      <c r="P19" s="249"/>
    </row>
    <row r="20" spans="1:16" ht="16.5" customHeight="1">
      <c r="A20" s="470"/>
      <c r="B20" s="283" t="s">
        <v>230</v>
      </c>
      <c r="C20" s="487"/>
      <c r="D20" s="488"/>
      <c r="E20" s="284">
        <v>2</v>
      </c>
      <c r="F20" s="321"/>
      <c r="G20" s="294"/>
      <c r="H20" s="283" t="s">
        <v>251</v>
      </c>
      <c r="I20" s="277"/>
      <c r="J20" s="277"/>
      <c r="K20" s="276"/>
      <c r="L20" s="266"/>
      <c r="M20" s="247"/>
      <c r="O20" s="249"/>
      <c r="P20" s="249"/>
    </row>
    <row r="21" spans="1:16" ht="16.5" customHeight="1">
      <c r="A21" s="470"/>
      <c r="B21" s="283" t="s">
        <v>231</v>
      </c>
      <c r="C21" s="487"/>
      <c r="D21" s="488"/>
      <c r="E21" s="284">
        <v>2</v>
      </c>
      <c r="F21" s="321"/>
      <c r="G21" s="294"/>
      <c r="H21" s="283" t="s">
        <v>252</v>
      </c>
      <c r="I21" s="277"/>
      <c r="J21" s="277"/>
      <c r="K21" s="276"/>
      <c r="L21" s="266"/>
      <c r="M21" s="247"/>
      <c r="O21" s="249"/>
      <c r="P21" s="249"/>
    </row>
    <row r="22" spans="1:16" ht="16.5" customHeight="1">
      <c r="A22" s="470"/>
      <c r="B22" s="293" t="s">
        <v>232</v>
      </c>
      <c r="C22" s="487"/>
      <c r="D22" s="488"/>
      <c r="E22" s="284">
        <v>2</v>
      </c>
      <c r="F22" s="321"/>
      <c r="G22" s="294"/>
      <c r="H22" s="293" t="s">
        <v>253</v>
      </c>
      <c r="I22" s="277"/>
      <c r="J22" s="277"/>
      <c r="K22" s="276"/>
      <c r="L22" s="266"/>
      <c r="M22" s="247"/>
      <c r="O22" s="249"/>
      <c r="P22" s="249"/>
    </row>
    <row r="23" spans="1:16" ht="16.5" customHeight="1">
      <c r="A23" s="470"/>
      <c r="B23" s="283" t="s">
        <v>233</v>
      </c>
      <c r="C23" s="487"/>
      <c r="D23" s="488"/>
      <c r="E23" s="284">
        <v>2</v>
      </c>
      <c r="F23" s="321"/>
      <c r="G23" s="294"/>
      <c r="H23" s="283" t="s">
        <v>254</v>
      </c>
      <c r="I23" s="277"/>
      <c r="J23" s="277"/>
      <c r="K23" s="276"/>
      <c r="L23" s="266"/>
      <c r="M23" s="247"/>
      <c r="O23" s="249"/>
      <c r="P23" s="249"/>
    </row>
    <row r="24" spans="1:16" ht="16.5" customHeight="1">
      <c r="A24" s="470"/>
      <c r="B24" s="283" t="s">
        <v>234</v>
      </c>
      <c r="C24" s="487"/>
      <c r="D24" s="488"/>
      <c r="E24" s="284">
        <v>2</v>
      </c>
      <c r="F24" s="321"/>
      <c r="G24" s="294"/>
      <c r="H24" s="283" t="s">
        <v>255</v>
      </c>
      <c r="I24" s="277"/>
      <c r="J24" s="277"/>
      <c r="K24" s="276"/>
      <c r="L24" s="266"/>
      <c r="M24" s="247"/>
      <c r="O24" s="249"/>
      <c r="P24" s="249"/>
    </row>
    <row r="25" spans="1:16" ht="16.5" customHeight="1">
      <c r="A25" s="470"/>
      <c r="B25" s="283" t="s">
        <v>235</v>
      </c>
      <c r="C25" s="487"/>
      <c r="D25" s="488"/>
      <c r="E25" s="284">
        <v>2</v>
      </c>
      <c r="F25" s="321"/>
      <c r="G25" s="294"/>
      <c r="H25" s="283" t="s">
        <v>256</v>
      </c>
      <c r="I25" s="277"/>
      <c r="J25" s="277"/>
      <c r="K25" s="276"/>
      <c r="L25" s="266"/>
      <c r="M25" s="247"/>
      <c r="O25" s="249"/>
      <c r="P25" s="249"/>
    </row>
    <row r="26" spans="1:16" ht="16.5" customHeight="1">
      <c r="A26" s="470"/>
      <c r="B26" s="293" t="s">
        <v>236</v>
      </c>
      <c r="C26" s="487"/>
      <c r="D26" s="488"/>
      <c r="E26" s="284">
        <v>2</v>
      </c>
      <c r="F26" s="321"/>
      <c r="G26" s="294"/>
      <c r="H26" s="293" t="s">
        <v>257</v>
      </c>
      <c r="I26" s="277"/>
      <c r="J26" s="277"/>
      <c r="K26" s="276"/>
      <c r="L26" s="266"/>
      <c r="M26" s="247"/>
      <c r="O26" s="249"/>
      <c r="P26" s="249"/>
    </row>
    <row r="27" spans="1:16" ht="16.5" customHeight="1">
      <c r="A27" s="470"/>
      <c r="B27" s="283" t="s">
        <v>237</v>
      </c>
      <c r="C27" s="487"/>
      <c r="D27" s="488"/>
      <c r="E27" s="284">
        <v>2</v>
      </c>
      <c r="F27" s="321"/>
      <c r="G27" s="294"/>
      <c r="H27" s="283" t="s">
        <v>258</v>
      </c>
      <c r="I27" s="277"/>
      <c r="J27" s="277"/>
      <c r="K27" s="276"/>
      <c r="L27" s="266"/>
      <c r="M27" s="247"/>
      <c r="O27" s="249"/>
      <c r="P27" s="249"/>
    </row>
    <row r="28" spans="1:16" ht="16.5" customHeight="1">
      <c r="A28" s="470"/>
      <c r="B28" s="283" t="s">
        <v>238</v>
      </c>
      <c r="C28" s="487"/>
      <c r="D28" s="488"/>
      <c r="E28" s="284">
        <v>2</v>
      </c>
      <c r="F28" s="321"/>
      <c r="G28" s="294"/>
      <c r="H28" s="293" t="s">
        <v>259</v>
      </c>
      <c r="I28" s="277"/>
      <c r="J28" s="277"/>
      <c r="K28" s="276"/>
      <c r="L28" s="266"/>
      <c r="M28" s="247"/>
      <c r="O28" s="249"/>
      <c r="P28" s="249"/>
    </row>
    <row r="29" spans="1:16" ht="16.5" customHeight="1">
      <c r="A29" s="470"/>
      <c r="B29" s="283"/>
      <c r="C29" s="487"/>
      <c r="D29" s="488"/>
      <c r="E29" s="284"/>
      <c r="F29" s="321"/>
      <c r="G29" s="294"/>
      <c r="H29" s="283"/>
      <c r="I29" s="277"/>
      <c r="J29" s="277"/>
      <c r="K29" s="276"/>
      <c r="L29" s="266"/>
      <c r="M29" s="247"/>
      <c r="O29" s="249"/>
      <c r="P29" s="249"/>
    </row>
    <row r="30" spans="1:16" ht="16.5" customHeight="1">
      <c r="A30" s="470"/>
      <c r="B30" s="283"/>
      <c r="C30" s="487"/>
      <c r="D30" s="488"/>
      <c r="E30" s="284"/>
      <c r="F30" s="321"/>
      <c r="G30" s="294"/>
      <c r="H30" s="283"/>
      <c r="I30" s="277"/>
      <c r="J30" s="277"/>
      <c r="K30" s="276"/>
      <c r="L30" s="266"/>
      <c r="M30" s="247"/>
      <c r="O30" s="249"/>
      <c r="P30" s="249"/>
    </row>
    <row r="31" spans="1:16" ht="16.5" customHeight="1">
      <c r="A31" s="470"/>
      <c r="B31" s="283"/>
      <c r="C31" s="487"/>
      <c r="D31" s="488"/>
      <c r="E31" s="284"/>
      <c r="F31" s="321"/>
      <c r="G31" s="294"/>
      <c r="H31" s="283"/>
      <c r="I31" s="277"/>
      <c r="J31" s="277"/>
      <c r="K31" s="276"/>
      <c r="L31" s="266"/>
      <c r="M31" s="247"/>
      <c r="O31" s="249"/>
      <c r="P31" s="249"/>
    </row>
    <row r="32" spans="1:16" ht="16.5" customHeight="1">
      <c r="A32" s="470"/>
      <c r="B32" s="283"/>
      <c r="C32" s="487"/>
      <c r="D32" s="488"/>
      <c r="E32" s="284"/>
      <c r="F32" s="321"/>
      <c r="G32" s="294"/>
      <c r="H32" s="283"/>
      <c r="I32" s="277"/>
      <c r="J32" s="277"/>
      <c r="K32" s="276"/>
      <c r="L32" s="266"/>
      <c r="M32" s="247"/>
      <c r="O32" s="249"/>
      <c r="P32" s="249"/>
    </row>
    <row r="33" spans="1:16" ht="16.5" customHeight="1">
      <c r="A33" s="470"/>
      <c r="B33" s="283"/>
      <c r="C33" s="487"/>
      <c r="D33" s="488"/>
      <c r="E33" s="284"/>
      <c r="F33" s="321"/>
      <c r="G33" s="294"/>
      <c r="H33" s="283"/>
      <c r="I33" s="277"/>
      <c r="J33" s="277"/>
      <c r="K33" s="276"/>
      <c r="L33" s="266"/>
      <c r="M33" s="247"/>
      <c r="O33" s="249"/>
      <c r="P33" s="249"/>
    </row>
    <row r="34" spans="1:16" ht="16.5" customHeight="1">
      <c r="A34" s="470"/>
      <c r="B34" s="283"/>
      <c r="C34" s="487"/>
      <c r="D34" s="488"/>
      <c r="E34" s="284"/>
      <c r="F34" s="321"/>
      <c r="G34" s="294"/>
      <c r="H34" s="283"/>
      <c r="I34" s="277"/>
      <c r="J34" s="277"/>
      <c r="K34" s="276"/>
      <c r="L34" s="266"/>
      <c r="M34" s="247"/>
      <c r="O34" s="249"/>
      <c r="P34" s="249"/>
    </row>
    <row r="35" spans="1:16" ht="16.5" customHeight="1">
      <c r="A35" s="470"/>
      <c r="B35" s="283"/>
      <c r="C35" s="487"/>
      <c r="D35" s="488"/>
      <c r="E35" s="284"/>
      <c r="F35" s="321"/>
      <c r="G35" s="294"/>
      <c r="H35" s="283"/>
      <c r="I35" s="277"/>
      <c r="J35" s="277"/>
      <c r="K35" s="276"/>
      <c r="L35" s="266"/>
      <c r="M35" s="247"/>
      <c r="O35" s="249"/>
      <c r="P35" s="249"/>
    </row>
    <row r="36" spans="1:16" ht="16.5" customHeight="1">
      <c r="A36" s="470"/>
      <c r="B36" s="283"/>
      <c r="C36" s="487"/>
      <c r="D36" s="488"/>
      <c r="E36" s="284"/>
      <c r="F36" s="321"/>
      <c r="G36" s="294"/>
      <c r="H36" s="283"/>
      <c r="I36" s="277"/>
      <c r="J36" s="277"/>
      <c r="K36" s="276"/>
      <c r="L36" s="266"/>
      <c r="M36" s="247"/>
      <c r="O36" s="249"/>
      <c r="P36" s="249"/>
    </row>
    <row r="37" spans="1:16" ht="16.5" customHeight="1">
      <c r="A37" s="470"/>
      <c r="B37" s="296"/>
      <c r="C37" s="487"/>
      <c r="D37" s="488"/>
      <c r="E37" s="284"/>
      <c r="F37" s="321"/>
      <c r="G37" s="294"/>
      <c r="H37" s="296"/>
      <c r="I37" s="277"/>
      <c r="J37" s="277"/>
      <c r="K37" s="276"/>
      <c r="L37" s="266"/>
      <c r="M37" s="247"/>
      <c r="O37" s="249"/>
      <c r="P37" s="249"/>
    </row>
    <row r="38" spans="1:16" ht="16.5" customHeight="1">
      <c r="A38" s="470"/>
      <c r="B38" s="283"/>
      <c r="C38" s="487"/>
      <c r="D38" s="488"/>
      <c r="E38" s="284"/>
      <c r="F38" s="321"/>
      <c r="G38" s="294"/>
      <c r="H38" s="283"/>
      <c r="I38" s="277"/>
      <c r="J38" s="277"/>
      <c r="K38" s="276"/>
      <c r="L38" s="266"/>
      <c r="M38" s="247"/>
      <c r="O38" s="249"/>
      <c r="P38" s="249"/>
    </row>
    <row r="39" spans="1:16" ht="16.5" customHeight="1">
      <c r="A39" s="470"/>
      <c r="B39" s="293"/>
      <c r="C39" s="487"/>
      <c r="D39" s="488"/>
      <c r="E39" s="284"/>
      <c r="F39" s="321"/>
      <c r="G39" s="294"/>
      <c r="H39" s="293"/>
      <c r="I39" s="277"/>
      <c r="J39" s="277"/>
      <c r="K39" s="276"/>
      <c r="L39" s="266"/>
      <c r="M39" s="247"/>
      <c r="O39" s="249"/>
      <c r="P39" s="249"/>
    </row>
    <row r="40" spans="1:16" ht="16.5" customHeight="1">
      <c r="A40" s="470"/>
      <c r="B40" s="283"/>
      <c r="C40" s="487"/>
      <c r="D40" s="488"/>
      <c r="E40" s="284"/>
      <c r="F40" s="321"/>
      <c r="G40" s="294"/>
      <c r="H40" s="283"/>
      <c r="I40" s="277"/>
      <c r="J40" s="277"/>
      <c r="K40" s="276"/>
      <c r="L40" s="266"/>
      <c r="M40" s="247"/>
      <c r="O40" s="249"/>
      <c r="P40" s="249"/>
    </row>
    <row r="41" spans="1:16" ht="16.5" customHeight="1">
      <c r="A41" s="470"/>
      <c r="B41" s="283"/>
      <c r="C41" s="487"/>
      <c r="D41" s="488"/>
      <c r="E41" s="284"/>
      <c r="F41" s="321"/>
      <c r="G41" s="294"/>
      <c r="H41" s="283"/>
      <c r="I41" s="277"/>
      <c r="J41" s="277"/>
      <c r="K41" s="276"/>
      <c r="L41" s="266"/>
      <c r="M41" s="247"/>
      <c r="O41" s="249"/>
      <c r="P41" s="249"/>
    </row>
    <row r="42" spans="1:16" ht="16.5" customHeight="1">
      <c r="A42" s="470"/>
      <c r="B42" s="283"/>
      <c r="C42" s="487"/>
      <c r="D42" s="488"/>
      <c r="E42" s="284"/>
      <c r="F42" s="321"/>
      <c r="G42" s="294"/>
      <c r="H42" s="283"/>
      <c r="I42" s="277"/>
      <c r="J42" s="277"/>
      <c r="K42" s="276"/>
      <c r="L42" s="266"/>
      <c r="M42" s="247"/>
      <c r="O42" s="249"/>
      <c r="P42" s="249"/>
    </row>
    <row r="43" spans="1:16" ht="16.5" customHeight="1">
      <c r="A43" s="470"/>
      <c r="B43" s="283"/>
      <c r="C43" s="487"/>
      <c r="D43" s="488"/>
      <c r="E43" s="284"/>
      <c r="F43" s="321"/>
      <c r="G43" s="294"/>
      <c r="H43" s="283"/>
      <c r="I43" s="277"/>
      <c r="J43" s="277"/>
      <c r="K43" s="276"/>
      <c r="L43" s="266"/>
      <c r="M43" s="247"/>
      <c r="O43" s="249"/>
      <c r="P43" s="249"/>
    </row>
    <row r="44" spans="1:16" ht="16.5" customHeight="1">
      <c r="A44" s="470"/>
      <c r="B44" s="283"/>
      <c r="C44" s="487"/>
      <c r="D44" s="488"/>
      <c r="E44" s="284"/>
      <c r="F44" s="321"/>
      <c r="G44" s="294"/>
      <c r="H44" s="283"/>
      <c r="I44" s="277"/>
      <c r="J44" s="277"/>
      <c r="K44" s="276"/>
      <c r="L44" s="266"/>
      <c r="M44" s="247"/>
      <c r="O44" s="249"/>
      <c r="P44" s="249"/>
    </row>
    <row r="45" spans="1:16" ht="16.5" customHeight="1">
      <c r="A45" s="470"/>
      <c r="B45" s="283"/>
      <c r="C45" s="487"/>
      <c r="D45" s="488"/>
      <c r="E45" s="284"/>
      <c r="F45" s="321"/>
      <c r="G45" s="294"/>
      <c r="H45" s="283"/>
      <c r="I45" s="277"/>
      <c r="J45" s="277"/>
      <c r="K45" s="276"/>
      <c r="L45" s="266"/>
      <c r="M45" s="247"/>
      <c r="O45" s="249"/>
      <c r="P45" s="249"/>
    </row>
    <row r="46" spans="1:16" ht="16.5" customHeight="1">
      <c r="A46" s="470"/>
      <c r="B46" s="283"/>
      <c r="C46" s="487"/>
      <c r="D46" s="488"/>
      <c r="E46" s="284"/>
      <c r="F46" s="321"/>
      <c r="G46" s="294"/>
      <c r="H46" s="283"/>
      <c r="I46" s="277"/>
      <c r="J46" s="277"/>
      <c r="K46" s="276"/>
      <c r="L46" s="266"/>
      <c r="M46" s="247"/>
      <c r="O46" s="249"/>
      <c r="P46" s="249"/>
    </row>
    <row r="47" spans="1:16" ht="16.5" customHeight="1">
      <c r="A47" s="470"/>
      <c r="B47" s="297"/>
      <c r="C47" s="487"/>
      <c r="D47" s="488"/>
      <c r="E47" s="284"/>
      <c r="F47" s="321"/>
      <c r="G47" s="294"/>
      <c r="H47" s="283"/>
      <c r="I47" s="277"/>
      <c r="J47" s="277"/>
      <c r="K47" s="276"/>
      <c r="L47" s="266"/>
      <c r="M47" s="247"/>
      <c r="O47" s="249"/>
      <c r="P47" s="249"/>
    </row>
    <row r="48" spans="1:16" ht="16.5" customHeight="1">
      <c r="A48" s="469"/>
      <c r="B48" s="291" t="s">
        <v>239</v>
      </c>
      <c r="C48" s="494"/>
      <c r="D48" s="495"/>
      <c r="E48" s="298">
        <v>2</v>
      </c>
      <c r="F48" s="322"/>
      <c r="G48" s="292">
        <v>4745580610</v>
      </c>
      <c r="H48" s="280"/>
      <c r="I48" s="277"/>
      <c r="J48" s="277"/>
      <c r="K48" s="276"/>
      <c r="L48" s="266"/>
      <c r="M48" s="247"/>
      <c r="O48" s="249"/>
      <c r="P48" s="249"/>
    </row>
    <row r="49" spans="1:15" ht="17.25" thickBot="1">
      <c r="A49" s="483"/>
      <c r="B49" s="484" t="s">
        <v>16</v>
      </c>
      <c r="C49" s="485"/>
      <c r="D49" s="486"/>
      <c r="E49" s="301">
        <f>SUM(E9:E48)</f>
        <v>42</v>
      </c>
      <c r="F49" s="318"/>
      <c r="G49" s="299">
        <f>SUM(G9:G48)</f>
        <v>4745580610</v>
      </c>
      <c r="H49" s="268"/>
      <c r="I49" s="241"/>
      <c r="J49" s="38"/>
      <c r="K49" s="163"/>
      <c r="L49" s="267"/>
      <c r="M49" s="179"/>
    </row>
    <row r="50" spans="1:15" ht="17.25" thickBot="1">
      <c r="A50" s="481" t="s">
        <v>9</v>
      </c>
      <c r="B50" s="482"/>
      <c r="C50" s="482"/>
      <c r="D50" s="482"/>
      <c r="E50" s="302">
        <f>E8+E49</f>
        <v>42</v>
      </c>
      <c r="F50" s="319"/>
      <c r="G50" s="300">
        <f>G8+G49</f>
        <v>4745580610</v>
      </c>
      <c r="H50" s="269"/>
      <c r="I50" s="312"/>
      <c r="M50" s="179"/>
    </row>
    <row r="51" spans="1:15">
      <c r="I51" s="117"/>
      <c r="M51" s="179"/>
    </row>
    <row r="52" spans="1:15">
      <c r="G52" s="164"/>
      <c r="I52" s="161"/>
      <c r="J52" s="162"/>
      <c r="M52" s="179"/>
      <c r="O52" s="40"/>
    </row>
    <row r="53" spans="1:15">
      <c r="G53" s="164"/>
      <c r="K53" s="161"/>
      <c r="L53" s="164"/>
    </row>
    <row r="54" spans="1:15">
      <c r="C54" s="40"/>
      <c r="F54" s="37"/>
      <c r="G54" s="37"/>
      <c r="K54" s="161"/>
      <c r="L54" s="40"/>
    </row>
    <row r="55" spans="1:15">
      <c r="G55" s="164"/>
      <c r="H55" s="161"/>
      <c r="K55" s="162"/>
      <c r="L55" s="228"/>
    </row>
  </sheetData>
  <protectedRanges>
    <protectedRange sqref="F3:G6" name="범위1_1"/>
  </protectedRanges>
  <mergeCells count="57">
    <mergeCell ref="C37:D37"/>
    <mergeCell ref="C38:D38"/>
    <mergeCell ref="C39:D39"/>
    <mergeCell ref="C40:D40"/>
    <mergeCell ref="C48:D48"/>
    <mergeCell ref="C46:D46"/>
    <mergeCell ref="C47:D47"/>
    <mergeCell ref="C41:D41"/>
    <mergeCell ref="C42:D42"/>
    <mergeCell ref="C43:D43"/>
    <mergeCell ref="C44:D44"/>
    <mergeCell ref="C45:D45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I3:I6"/>
    <mergeCell ref="J3:J6"/>
    <mergeCell ref="K3:K6"/>
    <mergeCell ref="J9:J10"/>
    <mergeCell ref="K9:K10"/>
    <mergeCell ref="A50:D50"/>
    <mergeCell ref="A9:A49"/>
    <mergeCell ref="B49:D49"/>
    <mergeCell ref="C10:D10"/>
    <mergeCell ref="C9:D9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A1:B1"/>
    <mergeCell ref="C2:D2"/>
    <mergeCell ref="A3:A8"/>
    <mergeCell ref="C3:D3"/>
    <mergeCell ref="B8:D8"/>
    <mergeCell ref="C7:D7"/>
    <mergeCell ref="C4:D4"/>
    <mergeCell ref="C5:D5"/>
    <mergeCell ref="C6:D6"/>
  </mergeCells>
  <phoneticPr fontId="19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1"/>
  <sheetViews>
    <sheetView zoomScale="80" zoomScaleNormal="80" workbookViewId="0">
      <pane xSplit="6" ySplit="3" topLeftCell="G4" activePane="bottomRight" state="frozen"/>
      <selection activeCell="L23" sqref="L23"/>
      <selection pane="topRight" activeCell="L23" sqref="L23"/>
      <selection pane="bottomLeft" activeCell="L23" sqref="L23"/>
      <selection pane="bottomRight" activeCell="E5" sqref="E5"/>
    </sheetView>
  </sheetViews>
  <sheetFormatPr defaultColWidth="8.6875" defaultRowHeight="16.899999999999999"/>
  <cols>
    <col min="1" max="1" width="28.125" style="1" customWidth="1"/>
    <col min="2" max="2" width="12.5" style="1" customWidth="1"/>
    <col min="3" max="3" width="9.875" style="1" customWidth="1"/>
    <col min="4" max="4" width="9.6875" style="58" bestFit="1" customWidth="1"/>
    <col min="5" max="5" width="12" style="1" customWidth="1"/>
    <col min="6" max="6" width="16.875" style="1" customWidth="1"/>
    <col min="7" max="7" width="8.5" style="53" customWidth="1"/>
    <col min="8" max="13" width="8.375" style="53" customWidth="1"/>
    <col min="14" max="14" width="8.1875" style="1" customWidth="1"/>
    <col min="15" max="30" width="8.6875" style="1"/>
    <col min="31" max="31" width="10.625" style="1" bestFit="1" customWidth="1"/>
    <col min="32" max="16384" width="8.6875" style="1"/>
  </cols>
  <sheetData>
    <row r="1" spans="1:30">
      <c r="A1" s="19" t="s">
        <v>32</v>
      </c>
      <c r="B1" s="18"/>
      <c r="C1" s="18"/>
      <c r="D1" s="54"/>
      <c r="E1" s="19"/>
      <c r="F1" s="18"/>
      <c r="G1" s="51"/>
      <c r="H1" s="51"/>
      <c r="I1" s="51"/>
      <c r="J1" s="51"/>
      <c r="K1" s="51"/>
      <c r="L1" s="51"/>
      <c r="M1" s="51"/>
    </row>
    <row r="2" spans="1:30" ht="17.25" thickBot="1">
      <c r="A2" s="515" t="s">
        <v>17</v>
      </c>
      <c r="B2" s="516"/>
      <c r="C2" s="516"/>
      <c r="D2" s="55"/>
      <c r="E2" s="19"/>
      <c r="F2" s="273"/>
      <c r="G2" s="514"/>
      <c r="H2" s="514"/>
      <c r="I2" s="514"/>
      <c r="J2" s="514"/>
      <c r="K2" s="514"/>
      <c r="L2" s="313"/>
      <c r="M2" s="313"/>
      <c r="N2" s="514"/>
      <c r="O2" s="514"/>
      <c r="P2" s="513"/>
      <c r="Q2" s="513"/>
      <c r="R2" s="513"/>
    </row>
    <row r="3" spans="1:30" ht="17.25" thickBot="1">
      <c r="A3" s="155" t="s">
        <v>18</v>
      </c>
      <c r="B3" s="156" t="s">
        <v>19</v>
      </c>
      <c r="C3" s="156" t="s">
        <v>20</v>
      </c>
      <c r="D3" s="157" t="s">
        <v>21</v>
      </c>
      <c r="E3" s="158" t="s">
        <v>22</v>
      </c>
      <c r="F3" s="156" t="s">
        <v>23</v>
      </c>
      <c r="G3" s="205" t="s">
        <v>216</v>
      </c>
      <c r="H3" s="205" t="s">
        <v>143</v>
      </c>
      <c r="I3" s="205" t="s">
        <v>144</v>
      </c>
      <c r="J3" s="205" t="s">
        <v>145</v>
      </c>
      <c r="K3" s="205" t="s">
        <v>146</v>
      </c>
      <c r="L3" s="205" t="s">
        <v>147</v>
      </c>
      <c r="M3" s="205" t="s">
        <v>148</v>
      </c>
      <c r="N3" s="205" t="s">
        <v>205</v>
      </c>
      <c r="O3" s="205" t="s">
        <v>206</v>
      </c>
      <c r="P3" s="205" t="s">
        <v>207</v>
      </c>
      <c r="Q3" s="205" t="s">
        <v>208</v>
      </c>
      <c r="R3" s="205" t="s">
        <v>211</v>
      </c>
      <c r="S3" s="205" t="s">
        <v>212</v>
      </c>
      <c r="T3" s="205" t="s">
        <v>213</v>
      </c>
      <c r="U3" s="205" t="s">
        <v>214</v>
      </c>
      <c r="V3" s="205" t="s">
        <v>215</v>
      </c>
      <c r="W3" s="205" t="s">
        <v>260</v>
      </c>
      <c r="X3" s="205" t="s">
        <v>261</v>
      </c>
      <c r="Y3" s="205" t="s">
        <v>262</v>
      </c>
      <c r="Z3" s="205" t="s">
        <v>263</v>
      </c>
      <c r="AA3" s="205" t="s">
        <v>264</v>
      </c>
      <c r="AB3" s="205" t="s">
        <v>265</v>
      </c>
      <c r="AC3" s="205" t="s">
        <v>266</v>
      </c>
      <c r="AD3" s="205" t="s">
        <v>267</v>
      </c>
    </row>
    <row r="4" spans="1:30" s="33" customFormat="1">
      <c r="A4" s="278" t="s">
        <v>209</v>
      </c>
      <c r="B4" s="323"/>
      <c r="C4" s="323" t="s">
        <v>48</v>
      </c>
      <c r="D4" s="324">
        <v>24</v>
      </c>
      <c r="E4" s="325">
        <f>VLOOKUP(C4,'[1]5.인건비및간접비테이블'!$B$3:$D$8,2,FALSE)</f>
        <v>10129700</v>
      </c>
      <c r="F4" s="326">
        <f t="shared" ref="F4" si="0">D4*E4</f>
        <v>243112800</v>
      </c>
      <c r="G4" s="327">
        <v>1</v>
      </c>
      <c r="H4" s="327">
        <v>1</v>
      </c>
      <c r="I4" s="327">
        <v>1</v>
      </c>
      <c r="J4" s="327">
        <v>1</v>
      </c>
      <c r="K4" s="327">
        <v>1</v>
      </c>
      <c r="L4" s="327">
        <v>1</v>
      </c>
      <c r="M4" s="327">
        <v>1</v>
      </c>
      <c r="N4" s="327">
        <v>1</v>
      </c>
      <c r="O4" s="327">
        <v>1</v>
      </c>
      <c r="P4" s="327">
        <v>1</v>
      </c>
      <c r="Q4" s="327">
        <v>1</v>
      </c>
      <c r="R4" s="327">
        <v>1</v>
      </c>
      <c r="S4" s="327">
        <v>1</v>
      </c>
      <c r="T4" s="327">
        <v>1</v>
      </c>
      <c r="U4" s="327">
        <v>1</v>
      </c>
      <c r="V4" s="327">
        <v>1</v>
      </c>
      <c r="W4" s="327">
        <v>1</v>
      </c>
      <c r="X4" s="327">
        <v>1</v>
      </c>
      <c r="Y4" s="327">
        <v>1</v>
      </c>
      <c r="Z4" s="327">
        <v>1</v>
      </c>
      <c r="AA4" s="327">
        <v>1</v>
      </c>
      <c r="AB4" s="327">
        <v>1</v>
      </c>
      <c r="AC4" s="327">
        <v>1</v>
      </c>
      <c r="AD4" s="327">
        <v>1</v>
      </c>
    </row>
    <row r="5" spans="1:30" s="33" customFormat="1">
      <c r="A5" s="278" t="s">
        <v>273</v>
      </c>
      <c r="B5" s="323" t="s">
        <v>268</v>
      </c>
      <c r="C5" s="323" t="s">
        <v>217</v>
      </c>
      <c r="D5" s="324">
        <v>24</v>
      </c>
      <c r="E5" s="325">
        <v>6595400</v>
      </c>
      <c r="F5" s="328">
        <f>E5*D5</f>
        <v>158289600</v>
      </c>
      <c r="G5" s="327">
        <v>1</v>
      </c>
      <c r="H5" s="327">
        <v>1</v>
      </c>
      <c r="I5" s="327">
        <v>1</v>
      </c>
      <c r="J5" s="327">
        <v>1</v>
      </c>
      <c r="K5" s="327">
        <v>1</v>
      </c>
      <c r="L5" s="327">
        <v>1</v>
      </c>
      <c r="M5" s="327">
        <v>1</v>
      </c>
      <c r="N5" s="327">
        <v>1</v>
      </c>
      <c r="O5" s="327">
        <v>1</v>
      </c>
      <c r="P5" s="327">
        <v>1</v>
      </c>
      <c r="Q5" s="327">
        <v>1</v>
      </c>
      <c r="R5" s="327">
        <v>1</v>
      </c>
      <c r="S5" s="327">
        <v>1</v>
      </c>
      <c r="T5" s="327">
        <v>1</v>
      </c>
      <c r="U5" s="327">
        <v>1</v>
      </c>
      <c r="V5" s="327">
        <v>1</v>
      </c>
      <c r="W5" s="327">
        <v>1</v>
      </c>
      <c r="X5" s="327">
        <v>1</v>
      </c>
      <c r="Y5" s="327">
        <v>1</v>
      </c>
      <c r="Z5" s="327">
        <v>1</v>
      </c>
      <c r="AA5" s="327">
        <v>1</v>
      </c>
      <c r="AB5" s="327">
        <v>1</v>
      </c>
      <c r="AC5" s="327">
        <v>1</v>
      </c>
      <c r="AD5" s="327">
        <v>1</v>
      </c>
    </row>
    <row r="6" spans="1:30" s="33" customFormat="1">
      <c r="A6" s="278"/>
      <c r="B6" s="323"/>
      <c r="C6" s="323"/>
      <c r="D6" s="324"/>
      <c r="E6" s="325"/>
      <c r="F6" s="328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</row>
    <row r="7" spans="1:30" s="33" customFormat="1">
      <c r="A7" s="278"/>
      <c r="B7" s="323"/>
      <c r="C7" s="323"/>
      <c r="D7" s="324"/>
      <c r="E7" s="325"/>
      <c r="F7" s="326"/>
      <c r="G7" s="327"/>
      <c r="H7" s="327"/>
      <c r="I7" s="327"/>
      <c r="J7" s="327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27"/>
      <c r="W7" s="327"/>
      <c r="X7" s="327"/>
      <c r="Y7" s="327"/>
      <c r="Z7" s="327"/>
      <c r="AA7" s="327"/>
      <c r="AB7" s="327"/>
      <c r="AC7" s="327"/>
      <c r="AD7" s="327"/>
    </row>
    <row r="8" spans="1:30" s="33" customFormat="1">
      <c r="A8" s="329"/>
      <c r="B8" s="323"/>
      <c r="C8" s="323"/>
      <c r="D8" s="324"/>
      <c r="E8" s="325"/>
      <c r="F8" s="326"/>
      <c r="G8" s="327"/>
      <c r="H8" s="327"/>
      <c r="I8" s="327"/>
      <c r="J8" s="327"/>
      <c r="K8" s="327"/>
      <c r="L8" s="327"/>
      <c r="M8" s="327"/>
      <c r="N8" s="327"/>
      <c r="O8" s="327"/>
      <c r="P8" s="327"/>
      <c r="Q8" s="327"/>
      <c r="R8" s="327"/>
      <c r="S8" s="327"/>
      <c r="T8" s="330"/>
      <c r="U8" s="331"/>
      <c r="V8" s="331"/>
      <c r="W8" s="331"/>
      <c r="X8" s="331"/>
      <c r="Y8" s="331"/>
      <c r="Z8" s="331"/>
      <c r="AA8" s="331"/>
      <c r="AB8" s="331"/>
      <c r="AC8" s="331"/>
      <c r="AD8" s="331"/>
    </row>
    <row r="9" spans="1:30" s="33" customFormat="1">
      <c r="A9" s="278"/>
      <c r="B9" s="323"/>
      <c r="C9" s="323"/>
      <c r="D9" s="324"/>
      <c r="E9" s="325"/>
      <c r="F9" s="326"/>
      <c r="G9" s="327"/>
      <c r="H9" s="327"/>
      <c r="I9" s="327"/>
      <c r="J9" s="327"/>
      <c r="K9" s="327"/>
      <c r="L9" s="327"/>
      <c r="M9" s="327"/>
      <c r="N9" s="327"/>
      <c r="O9" s="327"/>
      <c r="P9" s="327"/>
      <c r="Q9" s="327"/>
      <c r="R9" s="327"/>
      <c r="S9" s="327"/>
      <c r="T9" s="327"/>
      <c r="U9" s="331"/>
      <c r="V9" s="331"/>
      <c r="W9" s="331"/>
      <c r="X9" s="331"/>
      <c r="Y9" s="331"/>
      <c r="Z9" s="331"/>
      <c r="AA9" s="331"/>
      <c r="AB9" s="331"/>
      <c r="AC9" s="331"/>
      <c r="AD9" s="331"/>
    </row>
    <row r="10" spans="1:30" s="33" customFormat="1">
      <c r="A10" s="278"/>
      <c r="B10" s="323"/>
      <c r="C10" s="323"/>
      <c r="D10" s="324"/>
      <c r="E10" s="325"/>
      <c r="F10" s="326"/>
      <c r="G10" s="327"/>
      <c r="H10" s="327"/>
      <c r="I10" s="327"/>
      <c r="J10" s="327"/>
      <c r="K10" s="327"/>
      <c r="L10" s="327"/>
      <c r="M10" s="327"/>
      <c r="N10" s="327"/>
      <c r="O10" s="327"/>
      <c r="P10" s="327"/>
      <c r="Q10" s="327"/>
      <c r="R10" s="327"/>
      <c r="S10" s="327"/>
      <c r="T10" s="327"/>
      <c r="U10" s="331"/>
      <c r="V10" s="331"/>
      <c r="W10" s="331"/>
      <c r="X10" s="331"/>
      <c r="Y10" s="331"/>
      <c r="Z10" s="331"/>
      <c r="AA10" s="331"/>
      <c r="AB10" s="331"/>
      <c r="AC10" s="331"/>
      <c r="AD10" s="331"/>
    </row>
    <row r="11" spans="1:30" s="33" customFormat="1" ht="17.25" thickBot="1">
      <c r="A11" s="278"/>
      <c r="B11" s="323"/>
      <c r="C11" s="323"/>
      <c r="D11" s="324"/>
      <c r="E11" s="325"/>
      <c r="F11" s="326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1"/>
      <c r="V11" s="331"/>
      <c r="W11" s="331"/>
      <c r="X11" s="331"/>
      <c r="Y11" s="331"/>
      <c r="Z11" s="331"/>
      <c r="AA11" s="331"/>
      <c r="AB11" s="331"/>
      <c r="AC11" s="331"/>
      <c r="AD11" s="331"/>
    </row>
    <row r="12" spans="1:30" ht="17.25" thickBot="1">
      <c r="A12" s="499" t="s">
        <v>9</v>
      </c>
      <c r="B12" s="500"/>
      <c r="C12" s="501"/>
      <c r="D12" s="147">
        <f>SUM(D4:D11)</f>
        <v>48</v>
      </c>
      <c r="E12" s="148"/>
      <c r="F12" s="149">
        <f t="shared" ref="F12:T12" si="1">SUM(F4:F11)</f>
        <v>401402400</v>
      </c>
      <c r="G12" s="150">
        <f t="shared" si="1"/>
        <v>2</v>
      </c>
      <c r="H12" s="150">
        <f t="shared" si="1"/>
        <v>2</v>
      </c>
      <c r="I12" s="150">
        <f t="shared" si="1"/>
        <v>2</v>
      </c>
      <c r="J12" s="150">
        <f t="shared" si="1"/>
        <v>2</v>
      </c>
      <c r="K12" s="150">
        <f t="shared" si="1"/>
        <v>2</v>
      </c>
      <c r="L12" s="150">
        <f t="shared" si="1"/>
        <v>2</v>
      </c>
      <c r="M12" s="150">
        <f t="shared" si="1"/>
        <v>2</v>
      </c>
      <c r="N12" s="150">
        <f t="shared" si="1"/>
        <v>2</v>
      </c>
      <c r="O12" s="150">
        <f t="shared" si="1"/>
        <v>2</v>
      </c>
      <c r="P12" s="150">
        <f t="shared" si="1"/>
        <v>2</v>
      </c>
      <c r="Q12" s="150">
        <f t="shared" si="1"/>
        <v>2</v>
      </c>
      <c r="R12" s="150">
        <f t="shared" si="1"/>
        <v>2</v>
      </c>
      <c r="S12" s="150">
        <f t="shared" si="1"/>
        <v>2</v>
      </c>
      <c r="T12" s="150">
        <f t="shared" si="1"/>
        <v>2</v>
      </c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</row>
    <row r="13" spans="1:30">
      <c r="A13" s="160"/>
      <c r="B13" s="18"/>
      <c r="C13" s="18"/>
      <c r="D13" s="54"/>
      <c r="E13" s="18"/>
      <c r="F13" s="18"/>
      <c r="G13" s="51"/>
      <c r="H13" s="51"/>
      <c r="I13" s="51"/>
      <c r="J13" s="51"/>
      <c r="K13" s="51"/>
      <c r="L13" s="51"/>
      <c r="M13" s="51"/>
    </row>
    <row r="14" spans="1:30" ht="17.25" thickBot="1">
      <c r="A14" s="497" t="s">
        <v>24</v>
      </c>
      <c r="B14" s="498"/>
      <c r="C14" s="498"/>
      <c r="D14" s="55"/>
      <c r="E14" s="496"/>
      <c r="F14" s="496"/>
      <c r="G14" s="51"/>
      <c r="H14" s="51"/>
      <c r="I14" s="51"/>
      <c r="J14" s="51"/>
      <c r="K14" s="51"/>
      <c r="L14" s="51"/>
      <c r="M14" s="51"/>
    </row>
    <row r="15" spans="1:30" ht="17.25" thickBot="1">
      <c r="A15" s="151" t="s">
        <v>25</v>
      </c>
      <c r="B15" s="152" t="s">
        <v>19</v>
      </c>
      <c r="C15" s="152" t="s">
        <v>26</v>
      </c>
      <c r="D15" s="153" t="s">
        <v>21</v>
      </c>
      <c r="E15" s="152" t="s">
        <v>27</v>
      </c>
      <c r="F15" s="152" t="s">
        <v>15</v>
      </c>
      <c r="G15" s="159" t="s">
        <v>216</v>
      </c>
      <c r="H15" s="159" t="s">
        <v>270</v>
      </c>
      <c r="I15" s="159" t="s">
        <v>271</v>
      </c>
      <c r="J15" s="159" t="s">
        <v>145</v>
      </c>
      <c r="K15" s="159" t="s">
        <v>146</v>
      </c>
      <c r="L15" s="159" t="s">
        <v>147</v>
      </c>
      <c r="M15" s="159" t="s">
        <v>148</v>
      </c>
      <c r="N15" s="159" t="s">
        <v>205</v>
      </c>
      <c r="O15" s="159" t="s">
        <v>206</v>
      </c>
      <c r="P15" s="159" t="s">
        <v>207</v>
      </c>
      <c r="Q15" s="159" t="s">
        <v>208</v>
      </c>
      <c r="R15" s="159" t="s">
        <v>211</v>
      </c>
      <c r="S15" s="159" t="s">
        <v>212</v>
      </c>
      <c r="T15" s="159" t="s">
        <v>213</v>
      </c>
      <c r="U15" s="159" t="s">
        <v>214</v>
      </c>
      <c r="V15" s="159" t="s">
        <v>215</v>
      </c>
      <c r="W15" s="159" t="s">
        <v>260</v>
      </c>
      <c r="X15" s="159" t="s">
        <v>261</v>
      </c>
      <c r="Y15" s="159" t="s">
        <v>262</v>
      </c>
      <c r="Z15" s="159" t="s">
        <v>263</v>
      </c>
      <c r="AA15" s="159" t="s">
        <v>264</v>
      </c>
      <c r="AB15" s="159" t="s">
        <v>265</v>
      </c>
      <c r="AC15" s="159" t="s">
        <v>266</v>
      </c>
      <c r="AD15" s="159" t="s">
        <v>267</v>
      </c>
    </row>
    <row r="16" spans="1:30" ht="16.5" customHeight="1">
      <c r="A16" s="508"/>
      <c r="B16" s="146"/>
      <c r="C16" s="146"/>
      <c r="D16" s="141"/>
      <c r="E16" s="258"/>
      <c r="F16" s="144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</row>
    <row r="17" spans="1:31" ht="16.5" customHeight="1">
      <c r="A17" s="509"/>
      <c r="B17" s="146"/>
      <c r="C17" s="146"/>
      <c r="D17" s="141"/>
      <c r="E17" s="258"/>
      <c r="F17" s="144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</row>
    <row r="18" spans="1:31" ht="16.5" customHeight="1">
      <c r="A18" s="509"/>
      <c r="B18" s="146"/>
      <c r="C18" s="146"/>
      <c r="D18" s="141"/>
      <c r="E18" s="258"/>
      <c r="F18" s="144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</row>
    <row r="19" spans="1:31" ht="16.5" customHeight="1">
      <c r="A19" s="509"/>
      <c r="B19" s="146"/>
      <c r="C19" s="146"/>
      <c r="D19" s="141"/>
      <c r="E19" s="258"/>
      <c r="F19" s="144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</row>
    <row r="20" spans="1:31" ht="16.5" customHeight="1">
      <c r="A20" s="509"/>
      <c r="B20" s="146"/>
      <c r="C20" s="146"/>
      <c r="D20" s="141"/>
      <c r="E20" s="258"/>
      <c r="F20" s="144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</row>
    <row r="21" spans="1:31" ht="16.5" customHeight="1">
      <c r="A21" s="509"/>
      <c r="B21" s="146"/>
      <c r="C21" s="146"/>
      <c r="D21" s="141"/>
      <c r="E21" s="258"/>
      <c r="F21" s="144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</row>
    <row r="22" spans="1:31" ht="16.5" customHeight="1">
      <c r="A22" s="509"/>
      <c r="B22" s="146"/>
      <c r="C22" s="203"/>
      <c r="D22" s="141"/>
      <c r="E22" s="145"/>
      <c r="F22" s="144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</row>
    <row r="23" spans="1:31" ht="16.5" customHeight="1">
      <c r="A23" s="509"/>
      <c r="B23" s="146"/>
      <c r="C23" s="203"/>
      <c r="D23" s="143">
        <f>SUM(G23:M23)</f>
        <v>0</v>
      </c>
      <c r="E23" s="511"/>
      <c r="F23" s="512"/>
      <c r="G23" s="238"/>
      <c r="H23" s="238"/>
      <c r="I23" s="238"/>
      <c r="J23" s="238"/>
      <c r="K23" s="238"/>
      <c r="L23" s="238"/>
      <c r="M23" s="238"/>
    </row>
    <row r="24" spans="1:31" ht="17.25" thickBot="1">
      <c r="A24" s="510"/>
      <c r="B24" s="146"/>
      <c r="C24" s="20"/>
      <c r="D24" s="56">
        <f>SUM(D16:D23)</f>
        <v>0</v>
      </c>
      <c r="E24" s="237"/>
      <c r="F24" s="36">
        <f>SUM(F16:F22)</f>
        <v>0</v>
      </c>
      <c r="G24" s="52">
        <f t="shared" ref="G24:T24" si="2">SUM(G16:G16)</f>
        <v>0</v>
      </c>
      <c r="H24" s="52">
        <f t="shared" si="2"/>
        <v>0</v>
      </c>
      <c r="I24" s="52">
        <f t="shared" si="2"/>
        <v>0</v>
      </c>
      <c r="J24" s="52">
        <f t="shared" si="2"/>
        <v>0</v>
      </c>
      <c r="K24" s="52">
        <f t="shared" si="2"/>
        <v>0</v>
      </c>
      <c r="L24" s="52">
        <f t="shared" si="2"/>
        <v>0</v>
      </c>
      <c r="M24" s="52">
        <f t="shared" si="2"/>
        <v>0</v>
      </c>
      <c r="N24" s="52">
        <f t="shared" si="2"/>
        <v>0</v>
      </c>
      <c r="O24" s="52">
        <f t="shared" si="2"/>
        <v>0</v>
      </c>
      <c r="P24" s="52">
        <f t="shared" si="2"/>
        <v>0</v>
      </c>
      <c r="Q24" s="52">
        <f t="shared" si="2"/>
        <v>0</v>
      </c>
      <c r="R24" s="52">
        <f t="shared" si="2"/>
        <v>0</v>
      </c>
      <c r="S24" s="52">
        <f t="shared" si="2"/>
        <v>0</v>
      </c>
      <c r="T24" s="52">
        <f t="shared" si="2"/>
        <v>0</v>
      </c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 spans="1:31" ht="17.25" thickBot="1">
      <c r="A25" s="502" t="s">
        <v>9</v>
      </c>
      <c r="B25" s="503"/>
      <c r="C25" s="504"/>
      <c r="D25" s="147">
        <f>SUM(D24)</f>
        <v>0</v>
      </c>
      <c r="E25" s="147"/>
      <c r="F25" s="246">
        <f>SUM(F24)</f>
        <v>0</v>
      </c>
      <c r="G25" s="147">
        <f t="shared" ref="G25:T25" si="3">SUM(G24)</f>
        <v>0</v>
      </c>
      <c r="H25" s="147">
        <f t="shared" si="3"/>
        <v>0</v>
      </c>
      <c r="I25" s="147">
        <f t="shared" si="3"/>
        <v>0</v>
      </c>
      <c r="J25" s="147">
        <f t="shared" si="3"/>
        <v>0</v>
      </c>
      <c r="K25" s="147">
        <f t="shared" si="3"/>
        <v>0</v>
      </c>
      <c r="L25" s="147">
        <f t="shared" si="3"/>
        <v>0</v>
      </c>
      <c r="M25" s="147">
        <f t="shared" si="3"/>
        <v>0</v>
      </c>
      <c r="N25" s="147">
        <f t="shared" si="3"/>
        <v>0</v>
      </c>
      <c r="O25" s="147">
        <f t="shared" si="3"/>
        <v>0</v>
      </c>
      <c r="P25" s="147">
        <f t="shared" si="3"/>
        <v>0</v>
      </c>
      <c r="Q25" s="147">
        <f t="shared" si="3"/>
        <v>0</v>
      </c>
      <c r="R25" s="147">
        <f t="shared" si="3"/>
        <v>0</v>
      </c>
      <c r="S25" s="147">
        <f t="shared" si="3"/>
        <v>0</v>
      </c>
      <c r="T25" s="147">
        <f t="shared" si="3"/>
        <v>0</v>
      </c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</row>
    <row r="26" spans="1:31" ht="17.25" thickBot="1">
      <c r="A26" s="151" t="s">
        <v>28</v>
      </c>
      <c r="B26" s="152" t="s">
        <v>19</v>
      </c>
      <c r="C26" s="152" t="s">
        <v>26</v>
      </c>
      <c r="D26" s="153" t="s">
        <v>21</v>
      </c>
      <c r="E26" s="152" t="s">
        <v>27</v>
      </c>
      <c r="F26" s="152" t="s">
        <v>15</v>
      </c>
      <c r="G26" s="159" t="s">
        <v>143</v>
      </c>
      <c r="H26" s="159" t="s">
        <v>144</v>
      </c>
      <c r="I26" s="159" t="s">
        <v>145</v>
      </c>
      <c r="J26" s="159" t="s">
        <v>146</v>
      </c>
      <c r="K26" s="159" t="s">
        <v>147</v>
      </c>
      <c r="L26" s="159" t="s">
        <v>148</v>
      </c>
      <c r="M26" s="159" t="s">
        <v>148</v>
      </c>
      <c r="N26" s="159" t="s">
        <v>205</v>
      </c>
      <c r="O26" s="159" t="s">
        <v>206</v>
      </c>
      <c r="P26" s="159" t="s">
        <v>207</v>
      </c>
      <c r="Q26" s="159" t="s">
        <v>208</v>
      </c>
      <c r="R26" s="159" t="s">
        <v>211</v>
      </c>
      <c r="S26" s="159" t="s">
        <v>212</v>
      </c>
      <c r="T26" s="159" t="s">
        <v>213</v>
      </c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</row>
    <row r="27" spans="1:31">
      <c r="A27" s="505"/>
      <c r="B27" s="146"/>
      <c r="C27" s="146"/>
      <c r="D27" s="143">
        <f>SUM(G27:L27)</f>
        <v>0</v>
      </c>
      <c r="E27" s="145"/>
      <c r="F27" s="144">
        <f t="shared" ref="F27:F29" si="4">E27*D27</f>
        <v>0</v>
      </c>
      <c r="G27" s="154"/>
      <c r="H27" s="154"/>
      <c r="I27" s="154"/>
      <c r="J27" s="154"/>
      <c r="K27" s="154"/>
      <c r="L27" s="154"/>
      <c r="M27" s="154"/>
    </row>
    <row r="28" spans="1:31">
      <c r="A28" s="506"/>
      <c r="B28" s="146"/>
      <c r="C28" s="146"/>
      <c r="D28" s="143">
        <f>SUM(G28:L28)</f>
        <v>0</v>
      </c>
      <c r="E28" s="145"/>
      <c r="F28" s="144">
        <f t="shared" si="4"/>
        <v>0</v>
      </c>
      <c r="G28" s="154"/>
      <c r="H28" s="154"/>
      <c r="I28" s="154"/>
      <c r="J28" s="154"/>
      <c r="K28" s="154"/>
      <c r="L28" s="154"/>
      <c r="M28" s="154"/>
    </row>
    <row r="29" spans="1:31">
      <c r="A29" s="506"/>
      <c r="B29" s="146"/>
      <c r="C29" s="146"/>
      <c r="D29" s="143">
        <f>SUM(G29:L29)</f>
        <v>0</v>
      </c>
      <c r="E29" s="145"/>
      <c r="F29" s="144">
        <f t="shared" si="4"/>
        <v>0</v>
      </c>
      <c r="G29" s="154"/>
      <c r="H29" s="154"/>
      <c r="I29" s="154"/>
      <c r="J29" s="154"/>
      <c r="K29" s="154"/>
      <c r="L29" s="154"/>
      <c r="M29" s="154"/>
      <c r="AE29" s="270"/>
    </row>
    <row r="30" spans="1:31">
      <c r="A30" s="506"/>
      <c r="B30" s="146"/>
      <c r="C30" s="146"/>
      <c r="D30" s="143">
        <f>SUM(G30:L30)</f>
        <v>0</v>
      </c>
      <c r="E30" s="145"/>
      <c r="F30" s="144">
        <f t="shared" ref="F30" si="5">E30*D30</f>
        <v>0</v>
      </c>
      <c r="G30" s="154"/>
      <c r="H30" s="154"/>
      <c r="I30" s="154"/>
      <c r="J30" s="154"/>
      <c r="K30" s="154"/>
      <c r="L30" s="154"/>
      <c r="M30" s="154"/>
    </row>
    <row r="31" spans="1:31" ht="17.25" thickBot="1">
      <c r="A31" s="507"/>
      <c r="B31" s="62"/>
      <c r="C31" s="63" t="s">
        <v>16</v>
      </c>
      <c r="D31" s="64">
        <f>SUM(D27:D30)</f>
        <v>0</v>
      </c>
      <c r="E31" s="65"/>
      <c r="F31" s="66">
        <f t="shared" ref="F31:L31" si="6">SUM(F27:F30)</f>
        <v>0</v>
      </c>
      <c r="G31" s="67">
        <f t="shared" si="6"/>
        <v>0</v>
      </c>
      <c r="H31" s="67">
        <f t="shared" si="6"/>
        <v>0</v>
      </c>
      <c r="I31" s="67">
        <f t="shared" si="6"/>
        <v>0</v>
      </c>
      <c r="J31" s="67">
        <f t="shared" si="6"/>
        <v>0</v>
      </c>
      <c r="K31" s="67">
        <f t="shared" si="6"/>
        <v>0</v>
      </c>
      <c r="L31" s="67">
        <f t="shared" si="6"/>
        <v>0</v>
      </c>
      <c r="M31" s="67">
        <f t="shared" ref="M31:T31" si="7">SUM(M27:M30)</f>
        <v>0</v>
      </c>
      <c r="N31" s="67">
        <f t="shared" si="7"/>
        <v>0</v>
      </c>
      <c r="O31" s="67">
        <f t="shared" si="7"/>
        <v>0</v>
      </c>
      <c r="P31" s="67">
        <f t="shared" si="7"/>
        <v>0</v>
      </c>
      <c r="Q31" s="67">
        <f t="shared" si="7"/>
        <v>0</v>
      </c>
      <c r="R31" s="67">
        <f t="shared" si="7"/>
        <v>0</v>
      </c>
      <c r="S31" s="67">
        <f t="shared" si="7"/>
        <v>0</v>
      </c>
      <c r="T31" s="67">
        <f t="shared" si="7"/>
        <v>0</v>
      </c>
      <c r="U31" s="67"/>
      <c r="V31" s="67"/>
      <c r="W31" s="67"/>
      <c r="X31" s="67"/>
      <c r="Y31" s="67"/>
      <c r="Z31" s="67"/>
      <c r="AA31" s="67"/>
      <c r="AB31" s="67"/>
      <c r="AC31" s="67"/>
      <c r="AD31" s="67"/>
    </row>
    <row r="32" spans="1:31" s="37" customFormat="1" ht="17.25" thickBot="1">
      <c r="A32" s="499" t="s">
        <v>9</v>
      </c>
      <c r="B32" s="500"/>
      <c r="C32" s="501"/>
      <c r="D32" s="59">
        <f>D31</f>
        <v>0</v>
      </c>
      <c r="E32" s="60"/>
      <c r="F32" s="61">
        <f>+F31</f>
        <v>0</v>
      </c>
      <c r="G32" s="204">
        <f t="shared" ref="G32:L32" si="8">G31</f>
        <v>0</v>
      </c>
      <c r="H32" s="204">
        <f t="shared" si="8"/>
        <v>0</v>
      </c>
      <c r="I32" s="204">
        <f>I31</f>
        <v>0</v>
      </c>
      <c r="J32" s="204">
        <f t="shared" si="8"/>
        <v>0</v>
      </c>
      <c r="K32" s="204">
        <f t="shared" si="8"/>
        <v>0</v>
      </c>
      <c r="L32" s="204">
        <f t="shared" si="8"/>
        <v>0</v>
      </c>
      <c r="M32" s="204">
        <f t="shared" ref="M32:T32" si="9">M31</f>
        <v>0</v>
      </c>
      <c r="N32" s="204">
        <f t="shared" si="9"/>
        <v>0</v>
      </c>
      <c r="O32" s="204">
        <f t="shared" si="9"/>
        <v>0</v>
      </c>
      <c r="P32" s="204">
        <f t="shared" si="9"/>
        <v>0</v>
      </c>
      <c r="Q32" s="204">
        <f t="shared" si="9"/>
        <v>0</v>
      </c>
      <c r="R32" s="204">
        <f t="shared" si="9"/>
        <v>0</v>
      </c>
      <c r="S32" s="204">
        <f t="shared" si="9"/>
        <v>0</v>
      </c>
      <c r="T32" s="204">
        <f t="shared" si="9"/>
        <v>0</v>
      </c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</row>
    <row r="33" spans="1:13" ht="17.25" thickBot="1">
      <c r="A33" s="17"/>
      <c r="B33" s="14"/>
      <c r="C33" s="49" t="s">
        <v>41</v>
      </c>
      <c r="D33" s="57">
        <f>D12+D25+D32</f>
        <v>48</v>
      </c>
      <c r="E33" s="57"/>
      <c r="F33" s="68">
        <f>F12+F25+F32</f>
        <v>401402400</v>
      </c>
      <c r="G33" s="51"/>
      <c r="H33" s="51"/>
      <c r="I33" s="51"/>
      <c r="J33" s="51"/>
      <c r="K33" s="51"/>
      <c r="L33" s="51"/>
      <c r="M33" s="51"/>
    </row>
    <row r="35" spans="1:13">
      <c r="G35" s="179"/>
    </row>
    <row r="36" spans="1:13">
      <c r="F36" s="228"/>
      <c r="G36" s="179"/>
    </row>
    <row r="37" spans="1:13">
      <c r="G37" s="179"/>
    </row>
    <row r="38" spans="1:13">
      <c r="G38" s="179"/>
    </row>
    <row r="39" spans="1:13">
      <c r="G39" s="179"/>
    </row>
    <row r="40" spans="1:13">
      <c r="G40" s="179"/>
    </row>
    <row r="41" spans="1:13">
      <c r="G41" s="179"/>
    </row>
  </sheetData>
  <mergeCells count="13">
    <mergeCell ref="P2:R2"/>
    <mergeCell ref="I2:K2"/>
    <mergeCell ref="N2:O2"/>
    <mergeCell ref="A12:C12"/>
    <mergeCell ref="A2:C2"/>
    <mergeCell ref="G2:H2"/>
    <mergeCell ref="E14:F14"/>
    <mergeCell ref="A14:C14"/>
    <mergeCell ref="A32:C32"/>
    <mergeCell ref="A25:C25"/>
    <mergeCell ref="A27:A31"/>
    <mergeCell ref="A16:A24"/>
    <mergeCell ref="E23:F23"/>
  </mergeCells>
  <phoneticPr fontId="19" type="noConversion"/>
  <pageMargins left="0.25" right="0.25" top="0.75" bottom="0.75" header="0.3" footer="0.3"/>
  <pageSetup paperSize="9" scale="4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opLeftCell="A6" workbookViewId="0">
      <selection activeCell="C10" sqref="C10:D10"/>
    </sheetView>
  </sheetViews>
  <sheetFormatPr defaultColWidth="8.6875" defaultRowHeight="16.899999999999999"/>
  <cols>
    <col min="1" max="1" width="8.6875" style="1"/>
    <col min="2" max="2" width="30.375" style="1" customWidth="1"/>
    <col min="3" max="3" width="18.6875" style="1" customWidth="1"/>
    <col min="4" max="4" width="20" style="1" customWidth="1"/>
    <col min="5" max="5" width="8.6875" style="1"/>
    <col min="6" max="6" width="9.375" style="1" bestFit="1" customWidth="1"/>
    <col min="7" max="7" width="8.6875" style="1"/>
    <col min="8" max="8" width="15.625" style="1" customWidth="1"/>
    <col min="9" max="9" width="3.125" style="1" customWidth="1"/>
    <col min="10" max="10" width="11.1875" style="1" customWidth="1"/>
    <col min="11" max="11" width="9.875" style="1" bestFit="1" customWidth="1"/>
    <col min="12" max="12" width="14.5" style="1" customWidth="1"/>
    <col min="13" max="13" width="8.6875" style="1"/>
    <col min="14" max="14" width="11.625" style="1" bestFit="1" customWidth="1"/>
    <col min="15" max="16384" width="8.6875" style="1"/>
  </cols>
  <sheetData>
    <row r="1" spans="1:14" ht="27.4" thickBot="1">
      <c r="A1" s="531" t="s">
        <v>29</v>
      </c>
      <c r="B1" s="531"/>
      <c r="C1" s="531"/>
      <c r="D1" s="531"/>
      <c r="E1" s="531"/>
      <c r="F1" s="531"/>
      <c r="G1" s="531"/>
      <c r="H1" s="531"/>
      <c r="I1" s="10"/>
      <c r="J1" s="10"/>
      <c r="K1" s="10"/>
      <c r="L1" s="10"/>
    </row>
    <row r="2" spans="1:14">
      <c r="A2" s="11" t="s">
        <v>0</v>
      </c>
      <c r="B2" s="21"/>
      <c r="C2" s="534" t="s">
        <v>1</v>
      </c>
      <c r="D2" s="534"/>
      <c r="E2" s="536" t="str">
        <f>종합!F2</f>
        <v>23~25년 상용정보통신장비 통합유지보수</v>
      </c>
      <c r="F2" s="536"/>
      <c r="G2" s="536"/>
      <c r="H2" s="537"/>
      <c r="I2" s="10"/>
      <c r="J2" s="547" t="s">
        <v>170</v>
      </c>
      <c r="K2" s="548"/>
      <c r="L2" s="549"/>
    </row>
    <row r="3" spans="1:14">
      <c r="A3" s="12" t="s">
        <v>2</v>
      </c>
      <c r="B3" s="22" t="str">
        <f>종합!B4</f>
        <v>23.01 ~ 24.12</v>
      </c>
      <c r="C3" s="545" t="s">
        <v>3</v>
      </c>
      <c r="D3" s="96" t="s">
        <v>153</v>
      </c>
      <c r="E3" s="538">
        <f>+종합!F3</f>
        <v>5214923748</v>
      </c>
      <c r="F3" s="538"/>
      <c r="G3" s="538"/>
      <c r="H3" s="539"/>
      <c r="I3" s="10"/>
      <c r="J3" s="215" t="s">
        <v>174</v>
      </c>
      <c r="K3" s="216" t="s">
        <v>173</v>
      </c>
      <c r="L3" s="217" t="s">
        <v>171</v>
      </c>
    </row>
    <row r="4" spans="1:14" ht="17.25" thickBot="1">
      <c r="A4" s="92" t="s">
        <v>71</v>
      </c>
      <c r="B4" s="93">
        <f>'2.자체 및 외주 투입인력'!D12</f>
        <v>48</v>
      </c>
      <c r="C4" s="546"/>
      <c r="D4" s="95" t="s">
        <v>70</v>
      </c>
      <c r="E4" s="538">
        <f>종합!F5</f>
        <v>4745580610</v>
      </c>
      <c r="F4" s="538"/>
      <c r="G4" s="538"/>
      <c r="H4" s="539"/>
      <c r="I4" s="10"/>
      <c r="J4" s="214" t="s">
        <v>175</v>
      </c>
      <c r="K4" s="218" t="s">
        <v>176</v>
      </c>
      <c r="L4" s="219" t="s">
        <v>172</v>
      </c>
    </row>
    <row r="5" spans="1:14" ht="17.25" thickBot="1">
      <c r="A5" s="13" t="s">
        <v>4</v>
      </c>
      <c r="B5" s="23">
        <f>종합!B6</f>
        <v>0</v>
      </c>
      <c r="C5" s="535" t="s">
        <v>5</v>
      </c>
      <c r="D5" s="535"/>
      <c r="E5" s="540" t="s">
        <v>276</v>
      </c>
      <c r="F5" s="541"/>
      <c r="G5" s="541"/>
      <c r="H5" s="542"/>
      <c r="I5" s="10"/>
      <c r="J5" s="10"/>
      <c r="K5" s="10"/>
      <c r="L5" s="10"/>
    </row>
    <row r="6" spans="1:14" ht="15.6" customHeight="1">
      <c r="A6" s="17"/>
      <c r="B6" s="18"/>
      <c r="C6" s="18"/>
      <c r="D6" s="18"/>
      <c r="E6" s="18"/>
      <c r="F6" s="18"/>
      <c r="G6" s="18"/>
      <c r="H6" s="18"/>
      <c r="I6" s="10"/>
      <c r="J6" s="547" t="s">
        <v>111</v>
      </c>
      <c r="K6" s="548"/>
      <c r="L6" s="549"/>
    </row>
    <row r="7" spans="1:14" ht="15.6" customHeight="1" thickBot="1">
      <c r="A7" s="543"/>
      <c r="B7" s="544"/>
      <c r="C7" s="18"/>
      <c r="D7" s="18"/>
      <c r="E7" s="18"/>
      <c r="F7" s="18"/>
      <c r="G7" s="18"/>
      <c r="H7" s="15" t="s">
        <v>6</v>
      </c>
      <c r="I7" s="10"/>
      <c r="J7" s="24" t="s">
        <v>108</v>
      </c>
      <c r="K7" s="25" t="s">
        <v>30</v>
      </c>
      <c r="L7" s="26" t="s">
        <v>110</v>
      </c>
    </row>
    <row r="8" spans="1:14" ht="15.6" customHeight="1" thickBot="1">
      <c r="A8" s="27" t="s">
        <v>7</v>
      </c>
      <c r="B8" s="28" t="s">
        <v>13</v>
      </c>
      <c r="C8" s="532" t="s">
        <v>14</v>
      </c>
      <c r="D8" s="533"/>
      <c r="E8" s="28" t="s">
        <v>8</v>
      </c>
      <c r="F8" s="532" t="s">
        <v>27</v>
      </c>
      <c r="G8" s="533"/>
      <c r="H8" s="29" t="s">
        <v>15</v>
      </c>
      <c r="I8" s="10"/>
      <c r="J8" s="177" t="s">
        <v>107</v>
      </c>
      <c r="K8" s="124">
        <v>4.0000000000000001E-3</v>
      </c>
      <c r="L8" s="196"/>
    </row>
    <row r="9" spans="1:14" ht="14.25" customHeight="1" thickBot="1">
      <c r="A9" s="517" t="s">
        <v>31</v>
      </c>
      <c r="B9" s="180" t="s">
        <v>169</v>
      </c>
      <c r="C9" s="559" t="s">
        <v>194</v>
      </c>
      <c r="D9" s="559"/>
      <c r="E9" s="69">
        <f>B4</f>
        <v>48</v>
      </c>
      <c r="F9" s="560">
        <v>200000</v>
      </c>
      <c r="G9" s="560"/>
      <c r="H9" s="181">
        <f>F9*E9</f>
        <v>9600000</v>
      </c>
      <c r="I9" s="10"/>
      <c r="J9" s="178" t="s">
        <v>109</v>
      </c>
      <c r="K9" s="30">
        <v>800000</v>
      </c>
      <c r="L9" s="197"/>
    </row>
    <row r="10" spans="1:14" ht="14.25" customHeight="1" thickBot="1">
      <c r="A10" s="518"/>
      <c r="B10" s="180" t="s">
        <v>154</v>
      </c>
      <c r="C10" s="523" t="s">
        <v>46</v>
      </c>
      <c r="D10" s="524"/>
      <c r="E10" s="69">
        <v>1</v>
      </c>
      <c r="F10" s="521">
        <f>E3*0.4%</f>
        <v>20859694.991999999</v>
      </c>
      <c r="G10" s="522"/>
      <c r="H10" s="181">
        <f>F10*E10</f>
        <v>20859694.991999999</v>
      </c>
      <c r="I10" s="10"/>
      <c r="J10" s="94"/>
      <c r="K10" s="194"/>
      <c r="L10" s="195"/>
    </row>
    <row r="11" spans="1:14" ht="14.25" customHeight="1">
      <c r="A11" s="518"/>
      <c r="B11" s="180" t="s">
        <v>162</v>
      </c>
      <c r="C11" s="210" t="s">
        <v>160</v>
      </c>
      <c r="D11" s="211"/>
      <c r="E11" s="69">
        <v>0</v>
      </c>
      <c r="F11" s="521"/>
      <c r="G11" s="522"/>
      <c r="H11" s="181">
        <f>E11*F11</f>
        <v>0</v>
      </c>
      <c r="I11" s="10"/>
      <c r="J11" s="547" t="s">
        <v>156</v>
      </c>
      <c r="K11" s="548"/>
      <c r="L11" s="549"/>
      <c r="N11" s="40"/>
    </row>
    <row r="12" spans="1:14" ht="14.25" customHeight="1">
      <c r="A12" s="518"/>
      <c r="B12" s="180" t="s">
        <v>161</v>
      </c>
      <c r="C12" s="210" t="s">
        <v>197</v>
      </c>
      <c r="D12" s="211"/>
      <c r="E12" s="69">
        <v>0</v>
      </c>
      <c r="F12" s="521"/>
      <c r="G12" s="522"/>
      <c r="H12" s="181">
        <f>F12*E12</f>
        <v>0</v>
      </c>
      <c r="I12" s="10"/>
      <c r="J12" s="550" t="s">
        <v>39</v>
      </c>
      <c r="K12" s="551"/>
      <c r="L12" s="189" t="s">
        <v>37</v>
      </c>
    </row>
    <row r="13" spans="1:14" ht="14.25" customHeight="1" thickBot="1">
      <c r="A13" s="518"/>
      <c r="B13" s="180" t="s">
        <v>167</v>
      </c>
      <c r="C13" s="212" t="s">
        <v>159</v>
      </c>
      <c r="D13" s="212"/>
      <c r="E13" s="69">
        <v>0</v>
      </c>
      <c r="F13" s="521"/>
      <c r="G13" s="522"/>
      <c r="H13" s="181">
        <f>F13*E13</f>
        <v>0</v>
      </c>
      <c r="I13" s="10"/>
      <c r="J13" s="562" t="s">
        <v>40</v>
      </c>
      <c r="K13" s="563"/>
      <c r="L13" s="190" t="s">
        <v>38</v>
      </c>
    </row>
    <row r="14" spans="1:14" ht="14.25" customHeight="1" thickBot="1">
      <c r="A14" s="518"/>
      <c r="B14" s="180" t="s">
        <v>163</v>
      </c>
      <c r="C14" s="523" t="s">
        <v>177</v>
      </c>
      <c r="D14" s="524"/>
      <c r="E14" s="69"/>
      <c r="F14" s="521"/>
      <c r="G14" s="522"/>
      <c r="H14" s="181">
        <f>F14*E14</f>
        <v>0</v>
      </c>
      <c r="I14" s="10"/>
      <c r="J14" s="564"/>
      <c r="K14" s="564"/>
      <c r="L14" s="564"/>
    </row>
    <row r="15" spans="1:14" ht="14.25" customHeight="1">
      <c r="A15" s="518"/>
      <c r="B15" s="252" t="s">
        <v>164</v>
      </c>
      <c r="C15" s="253" t="s">
        <v>43</v>
      </c>
      <c r="D15" s="254"/>
      <c r="E15" s="255"/>
      <c r="F15" s="571"/>
      <c r="G15" s="572"/>
      <c r="H15" s="256">
        <f>F15*E15</f>
        <v>0</v>
      </c>
      <c r="I15" s="10"/>
      <c r="J15" s="547" t="s">
        <v>186</v>
      </c>
      <c r="K15" s="548"/>
      <c r="L15" s="549"/>
    </row>
    <row r="16" spans="1:14" ht="14.25" customHeight="1">
      <c r="A16" s="519"/>
      <c r="B16" s="183" t="s">
        <v>201</v>
      </c>
      <c r="C16" s="576" t="s">
        <v>200</v>
      </c>
      <c r="D16" s="576"/>
      <c r="E16" s="182"/>
      <c r="F16" s="561">
        <v>15000000</v>
      </c>
      <c r="G16" s="561"/>
      <c r="H16" s="261">
        <v>15000000</v>
      </c>
      <c r="I16" s="10"/>
      <c r="J16" s="565" t="s">
        <v>188</v>
      </c>
      <c r="K16" s="566"/>
      <c r="L16" s="567"/>
    </row>
    <row r="17" spans="1:13" ht="14.25" customHeight="1" thickBot="1">
      <c r="A17" s="519"/>
      <c r="B17" s="183" t="s">
        <v>192</v>
      </c>
      <c r="C17" s="259" t="s">
        <v>152</v>
      </c>
      <c r="D17" s="259"/>
      <c r="E17" s="260">
        <v>1</v>
      </c>
      <c r="F17" s="561">
        <v>1000000</v>
      </c>
      <c r="G17" s="561"/>
      <c r="H17" s="262">
        <f t="shared" ref="H17" si="0">F17*E17</f>
        <v>1000000</v>
      </c>
      <c r="I17" s="10"/>
      <c r="J17" s="568" t="s">
        <v>187</v>
      </c>
      <c r="K17" s="569"/>
      <c r="L17" s="570"/>
    </row>
    <row r="18" spans="1:13" ht="14.25" customHeight="1" thickBot="1">
      <c r="A18" s="518"/>
      <c r="B18" s="183" t="s">
        <v>155</v>
      </c>
      <c r="C18" s="575" t="s">
        <v>168</v>
      </c>
      <c r="D18" s="575"/>
      <c r="E18" s="182">
        <v>1</v>
      </c>
      <c r="F18" s="561">
        <f>E3*0.4%</f>
        <v>20859694.991999999</v>
      </c>
      <c r="G18" s="561"/>
      <c r="H18" s="257">
        <f>F18</f>
        <v>20859694.991999999</v>
      </c>
      <c r="I18" s="10"/>
      <c r="J18" s="220" t="s">
        <v>157</v>
      </c>
      <c r="K18" s="220"/>
      <c r="L18" s="220"/>
    </row>
    <row r="19" spans="1:13" ht="14.25" customHeight="1">
      <c r="A19" s="518"/>
      <c r="B19" s="183" t="s">
        <v>180</v>
      </c>
      <c r="C19" s="575" t="s">
        <v>181</v>
      </c>
      <c r="D19" s="575"/>
      <c r="E19" s="182">
        <v>0</v>
      </c>
      <c r="F19" s="561"/>
      <c r="G19" s="561"/>
      <c r="H19" s="257">
        <f>F19*E19</f>
        <v>0</v>
      </c>
      <c r="I19" s="10"/>
      <c r="J19" s="547" t="s">
        <v>185</v>
      </c>
      <c r="K19" s="548"/>
      <c r="L19" s="549"/>
    </row>
    <row r="20" spans="1:13" ht="14.25" customHeight="1" thickBot="1">
      <c r="A20" s="518"/>
      <c r="B20" s="183" t="s">
        <v>182</v>
      </c>
      <c r="C20" s="525" t="s">
        <v>184</v>
      </c>
      <c r="D20" s="526"/>
      <c r="E20" s="182">
        <v>0</v>
      </c>
      <c r="F20" s="527">
        <v>0</v>
      </c>
      <c r="G20" s="528"/>
      <c r="H20" s="50"/>
      <c r="I20" s="10"/>
      <c r="J20" s="568" t="s">
        <v>158</v>
      </c>
      <c r="K20" s="569"/>
      <c r="L20" s="570"/>
    </row>
    <row r="21" spans="1:13" ht="14.25" customHeight="1">
      <c r="A21" s="518"/>
      <c r="B21" s="183" t="s">
        <v>178</v>
      </c>
      <c r="C21" s="525" t="s">
        <v>179</v>
      </c>
      <c r="D21" s="526"/>
      <c r="E21" s="182">
        <v>0</v>
      </c>
      <c r="F21" s="527">
        <v>0</v>
      </c>
      <c r="G21" s="528"/>
      <c r="H21" s="50"/>
      <c r="I21" s="10"/>
      <c r="J21" s="94"/>
      <c r="K21" s="94"/>
      <c r="L21" s="94"/>
    </row>
    <row r="22" spans="1:13" ht="14.25" customHeight="1" thickBot="1">
      <c r="A22" s="518"/>
      <c r="B22" s="183" t="s">
        <v>191</v>
      </c>
      <c r="C22" s="234"/>
      <c r="D22" s="235"/>
      <c r="E22" s="182">
        <v>0</v>
      </c>
      <c r="F22" s="527">
        <v>0</v>
      </c>
      <c r="G22" s="528"/>
      <c r="H22" s="50"/>
      <c r="I22" s="10"/>
      <c r="J22" s="94"/>
      <c r="K22" s="94"/>
      <c r="L22" s="94"/>
    </row>
    <row r="23" spans="1:13" ht="14.25" customHeight="1">
      <c r="A23" s="518"/>
      <c r="B23" s="184" t="s">
        <v>44</v>
      </c>
      <c r="C23" s="185">
        <v>0.1</v>
      </c>
      <c r="D23" s="186">
        <v>0.01</v>
      </c>
      <c r="E23" s="206">
        <v>1</v>
      </c>
      <c r="F23" s="558">
        <f>E3*C23*D23</f>
        <v>5214923.7480000006</v>
      </c>
      <c r="G23" s="558"/>
      <c r="H23" s="207">
        <f>F23*E23</f>
        <v>5214923.7480000006</v>
      </c>
      <c r="I23" s="10"/>
      <c r="J23" s="86" t="s">
        <v>66</v>
      </c>
      <c r="K23" s="87" t="s">
        <v>67</v>
      </c>
      <c r="L23" s="88" t="s">
        <v>64</v>
      </c>
    </row>
    <row r="24" spans="1:13" ht="14.25" customHeight="1">
      <c r="A24" s="518"/>
      <c r="B24" s="184" t="s">
        <v>42</v>
      </c>
      <c r="C24" s="187">
        <v>0.3</v>
      </c>
      <c r="D24" s="188">
        <v>1.9E-2</v>
      </c>
      <c r="E24" s="206">
        <v>1</v>
      </c>
      <c r="F24" s="558">
        <f>E4*C24*D24</f>
        <v>27049809.476999998</v>
      </c>
      <c r="G24" s="558"/>
      <c r="H24" s="207">
        <f>F24*E24</f>
        <v>27049809.476999998</v>
      </c>
      <c r="I24" s="10"/>
      <c r="J24" s="191">
        <v>2022</v>
      </c>
      <c r="K24" s="192">
        <v>44562</v>
      </c>
      <c r="L24" s="193">
        <v>180</v>
      </c>
      <c r="M24" s="85" t="s">
        <v>65</v>
      </c>
    </row>
    <row r="25" spans="1:13" ht="14.25" customHeight="1" thickBot="1">
      <c r="A25" s="518"/>
      <c r="B25" s="184" t="s">
        <v>45</v>
      </c>
      <c r="C25" s="187">
        <v>0.05</v>
      </c>
      <c r="D25" s="188">
        <v>4.0000000000000001E-3</v>
      </c>
      <c r="E25" s="206">
        <v>1</v>
      </c>
      <c r="F25" s="558">
        <f>E3*C25*D25</f>
        <v>1042984.7496000001</v>
      </c>
      <c r="G25" s="558"/>
      <c r="H25" s="207">
        <f>F25</f>
        <v>1042984.7496000001</v>
      </c>
      <c r="I25" s="10"/>
      <c r="J25" s="89"/>
      <c r="K25" s="90"/>
      <c r="L25" s="91">
        <f>K25-J25</f>
        <v>0</v>
      </c>
      <c r="M25" s="85" t="s">
        <v>68</v>
      </c>
    </row>
    <row r="26" spans="1:13" ht="14.25" customHeight="1">
      <c r="A26" s="251"/>
      <c r="B26" s="31" t="s">
        <v>193</v>
      </c>
      <c r="C26" s="573"/>
      <c r="D26" s="574"/>
      <c r="E26" s="199"/>
      <c r="F26" s="520"/>
      <c r="G26" s="520"/>
      <c r="H26" s="50"/>
      <c r="I26" s="10"/>
      <c r="J26" s="198"/>
      <c r="K26" s="198"/>
      <c r="L26" s="195"/>
    </row>
    <row r="27" spans="1:13" ht="14.25" customHeight="1" thickBot="1">
      <c r="A27" s="250"/>
      <c r="B27" s="239" t="s">
        <v>195</v>
      </c>
      <c r="C27" s="529"/>
      <c r="D27" s="530"/>
      <c r="E27" s="240"/>
      <c r="F27" s="520"/>
      <c r="G27" s="520"/>
      <c r="H27" s="50"/>
      <c r="I27" s="10"/>
      <c r="J27" s="198"/>
      <c r="K27" s="198"/>
      <c r="L27" s="195"/>
    </row>
    <row r="28" spans="1:13" ht="15.6" customHeight="1" thickBot="1">
      <c r="A28" s="552" t="s">
        <v>9</v>
      </c>
      <c r="B28" s="553"/>
      <c r="C28" s="554"/>
      <c r="D28" s="554"/>
      <c r="E28" s="32"/>
      <c r="F28" s="555">
        <f>SUM(H9:H27)</f>
        <v>100627107.95859998</v>
      </c>
      <c r="G28" s="556"/>
      <c r="H28" s="557"/>
      <c r="I28" s="10"/>
      <c r="J28" s="10"/>
      <c r="K28" s="10"/>
      <c r="L28" s="10"/>
    </row>
    <row r="29" spans="1:13" ht="8.4499999999999993" customHeight="1"/>
    <row r="37" ht="18" customHeight="1"/>
  </sheetData>
  <mergeCells count="55">
    <mergeCell ref="J20:L20"/>
    <mergeCell ref="J15:L15"/>
    <mergeCell ref="C26:D26"/>
    <mergeCell ref="C19:D19"/>
    <mergeCell ref="C18:D18"/>
    <mergeCell ref="C16:D16"/>
    <mergeCell ref="F26:G26"/>
    <mergeCell ref="F23:G23"/>
    <mergeCell ref="F24:G24"/>
    <mergeCell ref="F22:G22"/>
    <mergeCell ref="J14:L14"/>
    <mergeCell ref="J16:L16"/>
    <mergeCell ref="J17:L17"/>
    <mergeCell ref="F19:G19"/>
    <mergeCell ref="F15:G15"/>
    <mergeCell ref="F14:G14"/>
    <mergeCell ref="J19:L19"/>
    <mergeCell ref="J6:L6"/>
    <mergeCell ref="J2:L2"/>
    <mergeCell ref="J11:L11"/>
    <mergeCell ref="J12:K12"/>
    <mergeCell ref="A28:B28"/>
    <mergeCell ref="C28:D28"/>
    <mergeCell ref="F28:H28"/>
    <mergeCell ref="F25:G25"/>
    <mergeCell ref="C9:D9"/>
    <mergeCell ref="F9:G9"/>
    <mergeCell ref="F11:G11"/>
    <mergeCell ref="F12:G12"/>
    <mergeCell ref="F18:G18"/>
    <mergeCell ref="F16:G16"/>
    <mergeCell ref="F17:G17"/>
    <mergeCell ref="J13:K13"/>
    <mergeCell ref="A1:H1"/>
    <mergeCell ref="F8:G8"/>
    <mergeCell ref="C2:D2"/>
    <mergeCell ref="C5:D5"/>
    <mergeCell ref="E2:H2"/>
    <mergeCell ref="E3:H3"/>
    <mergeCell ref="E5:H5"/>
    <mergeCell ref="A7:B7"/>
    <mergeCell ref="C8:D8"/>
    <mergeCell ref="C3:C4"/>
    <mergeCell ref="E4:H4"/>
    <mergeCell ref="A9:A25"/>
    <mergeCell ref="F27:G27"/>
    <mergeCell ref="F10:G10"/>
    <mergeCell ref="C14:D14"/>
    <mergeCell ref="C21:D21"/>
    <mergeCell ref="C20:D20"/>
    <mergeCell ref="F20:G20"/>
    <mergeCell ref="F21:G21"/>
    <mergeCell ref="C10:D10"/>
    <mergeCell ref="F13:G13"/>
    <mergeCell ref="C27:D27"/>
  </mergeCells>
  <phoneticPr fontId="19" type="noConversion"/>
  <pageMargins left="0.25" right="0.25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9"/>
  <sheetViews>
    <sheetView workbookViewId="0">
      <selection activeCell="C8" sqref="C8:D8"/>
    </sheetView>
  </sheetViews>
  <sheetFormatPr defaultColWidth="8.6875" defaultRowHeight="16.899999999999999"/>
  <cols>
    <col min="1" max="1" width="12" style="1" customWidth="1"/>
    <col min="2" max="2" width="14.125" style="1" customWidth="1"/>
    <col min="3" max="3" width="29.6875" style="1" customWidth="1"/>
    <col min="4" max="4" width="18.6875" style="33" customWidth="1"/>
    <col min="5" max="5" width="19.6875" style="33" customWidth="1"/>
    <col min="6" max="6" width="27.375" style="167" customWidth="1"/>
    <col min="7" max="8" width="13.875" style="167" customWidth="1"/>
    <col min="9" max="9" width="13.6875" style="167" customWidth="1"/>
    <col min="10" max="10" width="14.375" style="167" customWidth="1"/>
    <col min="11" max="37" width="9" style="33" customWidth="1"/>
    <col min="38" max="16384" width="8.6875" style="1"/>
  </cols>
  <sheetData>
    <row r="1" spans="1:10" ht="24" customHeight="1">
      <c r="A1" s="587" t="s">
        <v>165</v>
      </c>
      <c r="B1" s="587"/>
      <c r="C1" s="587" t="s">
        <v>204</v>
      </c>
      <c r="D1" s="587"/>
      <c r="E1" s="225"/>
      <c r="F1" s="225"/>
      <c r="G1" s="226"/>
      <c r="H1" s="226"/>
      <c r="I1" s="225"/>
    </row>
    <row r="2" spans="1:10" s="10" customFormat="1" ht="3.75" customHeight="1" thickBot="1">
      <c r="F2" s="200"/>
      <c r="G2" s="200"/>
      <c r="H2" s="200"/>
      <c r="I2" s="200"/>
      <c r="J2" s="200"/>
    </row>
    <row r="3" spans="1:10" s="33" customFormat="1" ht="18.75" customHeight="1" thickBot="1">
      <c r="A3" s="583" t="s">
        <v>198</v>
      </c>
      <c r="B3" s="70" t="s">
        <v>47</v>
      </c>
      <c r="C3" s="579">
        <v>12429800</v>
      </c>
      <c r="D3" s="580"/>
      <c r="E3" s="166"/>
      <c r="F3" s="579">
        <v>11118000</v>
      </c>
      <c r="G3" s="580"/>
      <c r="H3" s="213"/>
      <c r="I3" s="167"/>
      <c r="J3" s="224"/>
    </row>
    <row r="4" spans="1:10" s="33" customFormat="1" ht="18.75" customHeight="1" thickBot="1">
      <c r="A4" s="584"/>
      <c r="B4" s="221" t="s">
        <v>48</v>
      </c>
      <c r="C4" s="579">
        <v>10129700</v>
      </c>
      <c r="D4" s="580"/>
      <c r="E4" s="166"/>
      <c r="F4" s="581">
        <v>9027000</v>
      </c>
      <c r="G4" s="582"/>
      <c r="H4" s="213"/>
      <c r="I4" s="167"/>
      <c r="J4" s="224"/>
    </row>
    <row r="5" spans="1:10" s="33" customFormat="1" ht="18.75" customHeight="1" thickBot="1">
      <c r="A5" s="584"/>
      <c r="B5" s="221" t="s">
        <v>49</v>
      </c>
      <c r="C5" s="579">
        <v>9680900</v>
      </c>
      <c r="D5" s="580"/>
      <c r="E5" s="166"/>
      <c r="F5" s="581">
        <v>8619000</v>
      </c>
      <c r="G5" s="582"/>
      <c r="H5" s="213"/>
      <c r="I5" s="167"/>
      <c r="J5" s="224"/>
    </row>
    <row r="6" spans="1:10" s="33" customFormat="1" ht="18.75" customHeight="1" thickBot="1">
      <c r="A6" s="584"/>
      <c r="B6" s="221" t="s">
        <v>50</v>
      </c>
      <c r="C6" s="579">
        <v>8390600</v>
      </c>
      <c r="D6" s="580"/>
      <c r="E6" s="166"/>
      <c r="F6" s="581">
        <v>7446000</v>
      </c>
      <c r="G6" s="582"/>
      <c r="H6" s="213"/>
      <c r="I6" s="167"/>
      <c r="J6" s="224"/>
    </row>
    <row r="7" spans="1:10" s="33" customFormat="1" ht="18.75" customHeight="1" thickBot="1">
      <c r="A7" s="584"/>
      <c r="B7" s="221" t="s">
        <v>51</v>
      </c>
      <c r="C7" s="579">
        <v>6595400</v>
      </c>
      <c r="D7" s="580"/>
      <c r="E7" s="167"/>
      <c r="F7" s="581">
        <v>5814000</v>
      </c>
      <c r="G7" s="582"/>
      <c r="H7" s="213"/>
      <c r="I7" s="167"/>
      <c r="J7" s="224"/>
    </row>
    <row r="8" spans="1:10" s="33" customFormat="1" ht="18.75" customHeight="1" thickBot="1">
      <c r="A8" s="585"/>
      <c r="B8" s="222" t="s">
        <v>210</v>
      </c>
      <c r="C8" s="579">
        <v>5641700</v>
      </c>
      <c r="D8" s="580"/>
      <c r="E8" s="166"/>
      <c r="F8" s="577">
        <v>4970000</v>
      </c>
      <c r="G8" s="578"/>
      <c r="H8" s="213"/>
      <c r="I8" s="167"/>
      <c r="J8" s="224"/>
    </row>
    <row r="9" spans="1:10" s="33" customFormat="1" ht="21" customHeight="1">
      <c r="A9" s="33" t="s">
        <v>190</v>
      </c>
      <c r="F9" s="167"/>
      <c r="G9" s="167"/>
      <c r="H9" s="167"/>
      <c r="I9" s="167"/>
      <c r="J9" s="167"/>
    </row>
    <row r="10" spans="1:10" s="33" customFormat="1" ht="33" customHeight="1">
      <c r="F10" s="167"/>
      <c r="G10" s="167"/>
      <c r="H10" s="167"/>
      <c r="I10" s="167"/>
      <c r="J10" s="167"/>
    </row>
    <row r="11" spans="1:10" ht="24" customHeight="1">
      <c r="A11" s="586" t="s">
        <v>189</v>
      </c>
      <c r="B11" s="586"/>
      <c r="C11" s="586"/>
      <c r="D11" s="586"/>
    </row>
    <row r="12" spans="1:10" s="33" customFormat="1" ht="3.75" customHeight="1" thickBot="1">
      <c r="F12" s="167"/>
      <c r="G12" s="167"/>
      <c r="H12" s="167"/>
      <c r="I12" s="167"/>
      <c r="J12" s="167"/>
    </row>
    <row r="13" spans="1:10" s="33" customFormat="1" ht="19.5" customHeight="1">
      <c r="A13" s="75" t="s">
        <v>81</v>
      </c>
      <c r="B13" s="76"/>
      <c r="C13" s="71">
        <v>2400000</v>
      </c>
      <c r="D13" s="72" t="s">
        <v>52</v>
      </c>
      <c r="E13" s="167"/>
      <c r="F13" s="167"/>
      <c r="G13" s="167"/>
      <c r="H13" s="167"/>
      <c r="I13" s="167"/>
      <c r="J13" s="167"/>
    </row>
    <row r="14" spans="1:10" s="33" customFormat="1" ht="19.5" customHeight="1">
      <c r="A14" s="77" t="s">
        <v>80</v>
      </c>
      <c r="B14" s="78"/>
      <c r="C14" s="74">
        <v>960000</v>
      </c>
      <c r="D14" s="73" t="s">
        <v>53</v>
      </c>
      <c r="E14" s="166"/>
      <c r="F14" s="167"/>
      <c r="G14" s="167"/>
      <c r="H14" s="167"/>
      <c r="I14" s="167"/>
      <c r="J14" s="167"/>
    </row>
    <row r="15" spans="1:10" s="33" customFormat="1" ht="21" customHeight="1">
      <c r="A15" s="77" t="s">
        <v>116</v>
      </c>
      <c r="B15" s="78"/>
      <c r="C15" s="108">
        <v>0.2</v>
      </c>
      <c r="D15" s="73" t="s">
        <v>117</v>
      </c>
      <c r="F15" s="167"/>
      <c r="G15" s="167"/>
      <c r="H15" s="167"/>
      <c r="I15" s="167"/>
      <c r="J15" s="167"/>
    </row>
    <row r="16" spans="1:10" s="33" customFormat="1" ht="23.25" customHeight="1" thickBot="1">
      <c r="A16" s="79" t="s">
        <v>115</v>
      </c>
      <c r="B16" s="80"/>
      <c r="C16" s="109">
        <v>0.04</v>
      </c>
      <c r="D16" s="107" t="s">
        <v>118</v>
      </c>
      <c r="F16" s="167"/>
      <c r="G16" s="167"/>
      <c r="H16" s="167"/>
      <c r="I16" s="167"/>
      <c r="J16" s="167"/>
    </row>
    <row r="17" spans="1:10" s="33" customFormat="1">
      <c r="A17" s="33" t="s">
        <v>166</v>
      </c>
      <c r="E17" s="167"/>
      <c r="F17" s="167"/>
      <c r="G17" s="167"/>
      <c r="H17" s="167"/>
      <c r="I17" s="167"/>
      <c r="J17" s="167"/>
    </row>
    <row r="18" spans="1:10" s="33" customFormat="1">
      <c r="F18" s="167"/>
      <c r="G18" s="167"/>
      <c r="H18" s="167"/>
      <c r="I18" s="167"/>
      <c r="J18" s="167"/>
    </row>
    <row r="19" spans="1:10" s="33" customFormat="1">
      <c r="F19" s="167"/>
      <c r="G19" s="167"/>
      <c r="H19" s="167"/>
      <c r="I19" s="167"/>
      <c r="J19" s="167"/>
    </row>
    <row r="20" spans="1:10" s="33" customFormat="1">
      <c r="F20" s="167"/>
      <c r="G20" s="167"/>
      <c r="H20" s="167"/>
      <c r="I20" s="167"/>
      <c r="J20" s="167"/>
    </row>
    <row r="21" spans="1:10" s="33" customFormat="1">
      <c r="F21" s="167"/>
      <c r="G21" s="167"/>
      <c r="H21" s="167"/>
      <c r="I21" s="167"/>
      <c r="J21" s="167"/>
    </row>
    <row r="22" spans="1:10" s="33" customFormat="1">
      <c r="C22" s="33" t="s">
        <v>199</v>
      </c>
      <c r="F22" s="167"/>
      <c r="G22" s="167"/>
      <c r="H22" s="167"/>
      <c r="I22" s="167"/>
      <c r="J22" s="167"/>
    </row>
    <row r="23" spans="1:10" s="33" customFormat="1">
      <c r="F23" s="167"/>
      <c r="G23" s="167"/>
      <c r="H23" s="167"/>
      <c r="I23" s="167"/>
      <c r="J23" s="167"/>
    </row>
    <row r="24" spans="1:10" s="33" customFormat="1">
      <c r="F24" s="167"/>
      <c r="G24" s="167"/>
      <c r="H24" s="167"/>
      <c r="I24" s="167"/>
      <c r="J24" s="167"/>
    </row>
    <row r="25" spans="1:10" s="33" customFormat="1">
      <c r="F25" s="167"/>
      <c r="G25" s="167"/>
      <c r="H25" s="167"/>
      <c r="I25" s="167"/>
      <c r="J25" s="167"/>
    </row>
    <row r="26" spans="1:10" s="33" customFormat="1">
      <c r="F26" s="167"/>
      <c r="G26" s="167"/>
      <c r="H26" s="167"/>
      <c r="I26" s="167"/>
      <c r="J26" s="167"/>
    </row>
    <row r="27" spans="1:10" s="33" customFormat="1">
      <c r="F27" s="167"/>
      <c r="G27" s="167"/>
      <c r="H27" s="167"/>
      <c r="I27" s="167"/>
      <c r="J27" s="167"/>
    </row>
    <row r="28" spans="1:10" s="33" customFormat="1">
      <c r="F28" s="167"/>
      <c r="G28" s="167"/>
      <c r="H28" s="167"/>
      <c r="I28" s="167"/>
      <c r="J28" s="167"/>
    </row>
    <row r="29" spans="1:10" s="33" customFormat="1">
      <c r="F29" s="167"/>
      <c r="G29" s="167"/>
      <c r="H29" s="167"/>
      <c r="I29" s="167"/>
      <c r="J29" s="167"/>
    </row>
    <row r="30" spans="1:10" s="33" customFormat="1">
      <c r="F30" s="167"/>
      <c r="G30" s="167"/>
      <c r="H30" s="167"/>
      <c r="I30" s="167"/>
      <c r="J30" s="167"/>
    </row>
    <row r="31" spans="1:10" s="33" customFormat="1">
      <c r="F31" s="167"/>
      <c r="G31" s="167"/>
      <c r="H31" s="167"/>
      <c r="I31" s="167"/>
      <c r="J31" s="167"/>
    </row>
    <row r="32" spans="1:10" s="33" customFormat="1">
      <c r="F32" s="167"/>
      <c r="G32" s="167"/>
      <c r="H32" s="167"/>
      <c r="I32" s="167"/>
      <c r="J32" s="167"/>
    </row>
    <row r="33" spans="6:10" s="33" customFormat="1">
      <c r="F33" s="167"/>
      <c r="G33" s="167"/>
      <c r="H33" s="167"/>
      <c r="I33" s="167"/>
      <c r="J33" s="167"/>
    </row>
    <row r="34" spans="6:10" s="33" customFormat="1">
      <c r="F34" s="167"/>
      <c r="G34" s="167"/>
      <c r="H34" s="167"/>
      <c r="I34" s="167"/>
      <c r="J34" s="167"/>
    </row>
    <row r="35" spans="6:10" s="33" customFormat="1">
      <c r="F35" s="167"/>
      <c r="G35" s="167"/>
      <c r="H35" s="167"/>
      <c r="I35" s="167"/>
      <c r="J35" s="167"/>
    </row>
    <row r="36" spans="6:10" s="33" customFormat="1">
      <c r="F36" s="167"/>
      <c r="G36" s="167"/>
      <c r="H36" s="167"/>
      <c r="I36" s="167"/>
      <c r="J36" s="167"/>
    </row>
    <row r="37" spans="6:10" s="33" customFormat="1">
      <c r="F37" s="167"/>
      <c r="G37" s="167"/>
      <c r="H37" s="167"/>
      <c r="I37" s="167"/>
      <c r="J37" s="167"/>
    </row>
    <row r="38" spans="6:10" s="33" customFormat="1">
      <c r="F38" s="167"/>
      <c r="G38" s="167"/>
      <c r="H38" s="167"/>
      <c r="I38" s="167"/>
      <c r="J38" s="167"/>
    </row>
    <row r="39" spans="6:10" s="33" customFormat="1">
      <c r="F39" s="167"/>
      <c r="G39" s="167"/>
      <c r="H39" s="167"/>
      <c r="I39" s="167"/>
      <c r="J39" s="167"/>
    </row>
  </sheetData>
  <mergeCells count="16">
    <mergeCell ref="A3:A8"/>
    <mergeCell ref="A11:D11"/>
    <mergeCell ref="A1:B1"/>
    <mergeCell ref="C1:D1"/>
    <mergeCell ref="C3:D3"/>
    <mergeCell ref="C4:D4"/>
    <mergeCell ref="C5:D5"/>
    <mergeCell ref="C6:D6"/>
    <mergeCell ref="C7:D7"/>
    <mergeCell ref="C8:D8"/>
    <mergeCell ref="F8:G8"/>
    <mergeCell ref="F3:G3"/>
    <mergeCell ref="F4:G4"/>
    <mergeCell ref="F5:G5"/>
    <mergeCell ref="F6:G6"/>
    <mergeCell ref="F7:G7"/>
  </mergeCells>
  <phoneticPr fontId="19" type="noConversion"/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종합</vt:lpstr>
      <vt:lpstr>1.상품&amp;솔루션&amp;용역</vt:lpstr>
      <vt:lpstr>2.자체 및 외주 투입인력</vt:lpstr>
      <vt:lpstr>3.내부경비</vt:lpstr>
      <vt:lpstr>5.인건비및간접비테이블</vt:lpstr>
      <vt:lpstr>'1.상품&amp;솔루션&amp;용역'!Print_Area</vt:lpstr>
      <vt:lpstr>'2.자체 및 외주 투입인력'!Print_Area</vt:lpstr>
      <vt:lpstr>'3.내부경비'!Print_Area</vt:lpstr>
      <vt:lpstr>'5.인건비및간접비테이블'!Print_Area</vt:lpstr>
      <vt:lpstr>종합!Print_Area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유관섭</cp:lastModifiedBy>
  <cp:lastPrinted>2022-11-08T01:13:05Z</cp:lastPrinted>
  <dcterms:created xsi:type="dcterms:W3CDTF">2014-09-29T02:31:45Z</dcterms:created>
  <dcterms:modified xsi:type="dcterms:W3CDTF">2026-04-22T15:00:29Z</dcterms:modified>
</cp:coreProperties>
</file>