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8. 화물관리시스템 재구축 ISMP 용역\제안서\"/>
    </mc:Choice>
  </mc:AlternateContent>
  <xr:revisionPtr revIDLastSave="0" documentId="13_ncr:1_{66A837B8-DD8F-4187-9AC7-C8C67B578240}" xr6:coauthVersionLast="47" xr6:coauthVersionMax="47" xr10:uidLastSave="{00000000-0000-0000-0000-000000000000}"/>
  <bookViews>
    <workbookView xWindow="28680" yWindow="-4590" windowWidth="29040" windowHeight="15720" tabRatio="693" xr2:uid="{00000000-000D-0000-FFFF-FFFF00000000}"/>
  </bookViews>
  <sheets>
    <sheet name="제안일정" sheetId="1" r:id="rId1"/>
    <sheet name="제안서목차" sheetId="2" r:id="rId2"/>
    <sheet name="제안서작성관리" sheetId="6" r:id="rId3"/>
    <sheet name="설명회 목차" sheetId="3" r:id="rId4"/>
    <sheet name="평가기준요약" sheetId="4" r:id="rId5"/>
    <sheet name="요구사항매핑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1.05gb_nonplug_drive">[1]Supplement2!#REF!</definedName>
    <definedName name="_1.05gb_plug_drive">[1]Supplement2!#REF!</definedName>
    <definedName name="_2.1gb_fastwide_plug_drive">[1]Supplement2!#REF!</definedName>
    <definedName name="_2.1gb_nonplug_drive">[1]Supplement2!#REF!</definedName>
    <definedName name="_2.1gb_plug_drive">[1]Supplement2!#REF!</definedName>
    <definedName name="_32mb_70nsmemory">[1]Supplement2!#REF!</definedName>
    <definedName name="_4.3gb_fastwide_plug_drive">[1]Supplement2!#REF!</definedName>
    <definedName name="_4.3gb_nonplug_drive">[1]Supplement2!#REF!</definedName>
    <definedName name="_535mb_nonplug_drive">[1]Supplement2!#REF!</definedName>
    <definedName name="_8mb_70nsmemory">[1]Supplement2!#REF!</definedName>
    <definedName name="_alr2">[2]Option!$I$29</definedName>
    <definedName name="_xlnm._FilterDatabase" localSheetId="1" hidden="1">제안서목차!$A$8:$O$223</definedName>
    <definedName name="_Order1" hidden="1">255</definedName>
    <definedName name="_Order2" hidden="1">255</definedName>
    <definedName name="_SMART_SCSIarray">[1]Supplement2!#REF!</definedName>
    <definedName name="_US1">#REF!</definedName>
    <definedName name="\0">'[3]9GNG운반'!#REF!</definedName>
    <definedName name="\A">'[3]9GNG운반'!#REF!</definedName>
    <definedName name="\B">'[3]9GNG운반'!#REF!</definedName>
    <definedName name="\I">'[3]9GNG운반'!#REF!</definedName>
    <definedName name="\O">'[3]9GNG운반'!#REF!</definedName>
    <definedName name="\P">'[3]9GNG운반'!#REF!</definedName>
    <definedName name="\Q">'[3]9GNG운반'!#REF!</definedName>
    <definedName name="a">#REF!</definedName>
    <definedName name="aaa">#REF!</definedName>
    <definedName name="alr">[2]Option!$I$28</definedName>
    <definedName name="Carepaq_PN">[4]Carepaq!$D$1:$D$65536</definedName>
    <definedName name="Carepaq_TOTAL">[4]Carepaq!$A$1:$E$65536</definedName>
    <definedName name="Chart_1">"Chart 1"</definedName>
    <definedName name="Compaq_5">#REF!</definedName>
    <definedName name="Compaq_6">#REF!</definedName>
    <definedName name="Compaq_rate">#REF!</definedName>
    <definedName name="CONDUIT">#REF!</definedName>
    <definedName name="cost">#REF!</definedName>
    <definedName name="cr_______________">#REF!</definedName>
    <definedName name="DANGA">'[5]Y-WORK'!$D$19:$D$19,'[5]Y-WORK'!$F$19:$BD$19</definedName>
    <definedName name="DATA">#REF!</definedName>
    <definedName name="DATE">#REF!</definedName>
    <definedName name="DazzlerPCI_array">[1]Supplement2!#REF!</definedName>
    <definedName name="DC율">#REF!</definedName>
    <definedName name="DEL">#REF!</definedName>
    <definedName name="DHS">#REF!</definedName>
    <definedName name="DIA">#REF!</definedName>
    <definedName name="FIXT">#REF!</definedName>
    <definedName name="GM">#REF!</definedName>
    <definedName name="GS">#REF!</definedName>
    <definedName name="GS인증">#REF!</definedName>
    <definedName name="HP_5">#REF!</definedName>
    <definedName name="HP_6">#REF!</definedName>
    <definedName name="HP_rate">#REF!</definedName>
    <definedName name="HW_rate">#REF!</definedName>
    <definedName name="HW_rate2">#REF!</definedName>
    <definedName name="ID">'[5]Y-WORK'!$I$268:$I$417,'[5]Y-WORK'!$I$427:$I$450</definedName>
    <definedName name="Int_rate">'[6]DS-최종'!$J$4</definedName>
    <definedName name="Int_rate2">#REF!</definedName>
    <definedName name="INV">#REF!</definedName>
    <definedName name="issd">#REF!</definedName>
    <definedName name="KA270166C">[2]Option!$I$28</definedName>
    <definedName name="KA270200C">[2]Option!$I$29</definedName>
    <definedName name="KA301160C">[2]Option!$I$63</definedName>
    <definedName name="KA401200C">[2]Option!$I$36</definedName>
    <definedName name="KA421300C">[2]Option!$I$45</definedName>
    <definedName name="KA503200C">[2]Option!$I$56</definedName>
    <definedName name="KA509400C">[2]Option!$I$87</definedName>
    <definedName name="KA960100C">[2]Option!$I$47</definedName>
    <definedName name="Lan_Cate_No">'[7]Oper Amount'!#REF!</definedName>
    <definedName name="LIST">[8]부하LOAD!$B$4:$P$163</definedName>
    <definedName name="ListPrice범위">#REF!</definedName>
    <definedName name="LOADT">#REF!</definedName>
    <definedName name="Maker">#REF!</definedName>
    <definedName name="MDL">'[9]11월가격'!$A$1:$A$65536</definedName>
    <definedName name="MH">[10]DATA!$I$17:$J$26</definedName>
    <definedName name="minus">#REF!</definedName>
    <definedName name="MODEL">#REF!</definedName>
    <definedName name="MONEY">'[5]Y-WORK'!$F$21:$M$417,'[5]Y-WORK'!$F$427:$M$450</definedName>
    <definedName name="NO">#REF!</definedName>
    <definedName name="note">#REF!</definedName>
    <definedName name="OPTION_PN">[4]OPT!$A$1:$A$65536</definedName>
    <definedName name="OPTION_TOTAL">[4]OPT!$A$1:$E$65536</definedName>
    <definedName name="Oracle_5">#REF!</definedName>
    <definedName name="Oracle_6">#REF!</definedName>
    <definedName name="P550OO">[11]SV!$A$1:$A$65536</definedName>
    <definedName name="part">#REF!</definedName>
    <definedName name="Part_Number">#REF!</definedName>
    <definedName name="PL_storage">[1]Supplement2!#REF!</definedName>
    <definedName name="PN">'[12]Upgrades pricing'!#REF!</definedName>
    <definedName name="price">#REF!</definedName>
    <definedName name="_xlnm.Print_Area" localSheetId="1">제안서목차!$A$8:$N$223</definedName>
    <definedName name="_xlnm.Print_Area" localSheetId="0">제안일정!$A$1:$J$20</definedName>
    <definedName name="_xlnm.Print_Area">#REF!</definedName>
    <definedName name="PRINT_AREA_MI">#REF!</definedName>
    <definedName name="RANGE">#REF!</definedName>
    <definedName name="rla">#REF!</definedName>
    <definedName name="RNG">'[9]11월가격'!$A$1:$D$65536</definedName>
    <definedName name="s">[11]SV!$A$1:$E$65536</definedName>
    <definedName name="Scorpion_M2_processor">[1]Supplement2!#REF!</definedName>
    <definedName name="Seawolf_M2_processor">[1]Supplement2!#REF!</definedName>
    <definedName name="seawolf_TRadder">#REF!</definedName>
    <definedName name="SERVER">#REF!</definedName>
    <definedName name="SERVER_PN">[13]SV!$A$1:$A$65536</definedName>
    <definedName name="SERVER_TOTAL">[13]SV!$A$1:$E$65536</definedName>
    <definedName name="Service_Price">#REF!</definedName>
    <definedName name="SIL">[10]데이타!$R$23:$S$32</definedName>
    <definedName name="SM">#REF!</definedName>
    <definedName name="SRP">#REF!</definedName>
    <definedName name="Sturgeon_M2_processor">[1]Supplement2!#REF!</definedName>
    <definedName name="SUN_5">#REF!</definedName>
    <definedName name="SUN_6">#REF!</definedName>
    <definedName name="SUN_rate">#REF!</definedName>
    <definedName name="SVR">#REF!</definedName>
    <definedName name="SVRAG">#REF!</definedName>
    <definedName name="SVRDESC">#REF!</definedName>
    <definedName name="SW_rate">#REF!</definedName>
    <definedName name="SW_rate2">#REF!</definedName>
    <definedName name="t">#REF!</definedName>
    <definedName name="Tan_SW_5">#REF!</definedName>
    <definedName name="Tan_SW_6">#REF!</definedName>
    <definedName name="Tandem_5">#REF!</definedName>
    <definedName name="Tandem_6">#REF!</definedName>
    <definedName name="total">#REF!</definedName>
    <definedName name="TStorm_M2_Processor">[1]Supplement2!#REF!</definedName>
    <definedName name="UPG_PN">#REF!</definedName>
    <definedName name="Z_030448DB_CF1D_4389_AD56_1154D050A24F_.wvu.FilterData" localSheetId="1" hidden="1">제안서목차!$A$8:$O$223</definedName>
    <definedName name="Z_030448DB_CF1D_4389_AD56_1154D050A24F_.wvu.PrintArea" localSheetId="1" hidden="1">제안서목차!$A$8:$N$223</definedName>
    <definedName name="Z_0CC9FED1_9090_4DE0_9DF7_0F57CEF7CC64_.wvu.FilterData" localSheetId="1" hidden="1">제안서목차!$A$8:$O$223</definedName>
    <definedName name="Z_0CC9FED1_9090_4DE0_9DF7_0F57CEF7CC64_.wvu.PrintArea" localSheetId="1" hidden="1">제안서목차!$A$8:$N$223</definedName>
    <definedName name="Z_1717D931_0E7B_46E5_8825_28FFE258EE70_.wvu.FilterData" localSheetId="1" hidden="1">제안서목차!$A$8:$O$223</definedName>
    <definedName name="Z_1717D931_0E7B_46E5_8825_28FFE258EE70_.wvu.PrintArea" localSheetId="1" hidden="1">제안서목차!$A$8:$N$223</definedName>
    <definedName name="Z_1A0A0F9D_F92A_4EB2_B1AB_A3FF28778D86_.wvu.FilterData" localSheetId="1" hidden="1">제안서목차!$A$8:$O$223</definedName>
    <definedName name="Z_1A0A0F9D_F92A_4EB2_B1AB_A3FF28778D86_.wvu.PrintArea" localSheetId="1" hidden="1">제안서목차!$A$8:$N$223</definedName>
    <definedName name="Z_1DF7F1A4_C87A_4D96_B11C_3A74C161E96F_.wvu.FilterData" localSheetId="1" hidden="1">제안서목차!$A$8:$O$223</definedName>
    <definedName name="Z_1DF7F1A4_C87A_4D96_B11C_3A74C161E96F_.wvu.PrintArea" localSheetId="1" hidden="1">제안서목차!$A$8:$N$223</definedName>
    <definedName name="Z_1E172859_0199_4B92_B9FD_B6CD44A2E674_.wvu.FilterData" localSheetId="1" hidden="1">제안서목차!$A$8:$O$223</definedName>
    <definedName name="Z_1E172859_0199_4B92_B9FD_B6CD44A2E674_.wvu.PrintArea" localSheetId="1" hidden="1">제안서목차!$A$8:$N$223</definedName>
    <definedName name="Z_1E172859_0199_4B92_B9FD_B6CD44A2E674_.wvu.Rows" localSheetId="1" hidden="1">제안서목차!$2:$7</definedName>
    <definedName name="Z_1F3090C1_EC73_4399_8015_9D3E4B5FB230_.wvu.FilterData" localSheetId="1" hidden="1">제안서목차!$A$8:$O$223</definedName>
    <definedName name="Z_1F3090C1_EC73_4399_8015_9D3E4B5FB230_.wvu.PrintArea" localSheetId="1" hidden="1">제안서목차!$A$8:$N$223</definedName>
    <definedName name="Z_37604246_DB15_42F6_9350_32846669400B_.wvu.PrintArea" localSheetId="0" hidden="1">제안일정!$A$1:$J$20</definedName>
    <definedName name="Z_39224D01_2030_45E7_ABD6_A751CE8F332C_.wvu.PrintArea" localSheetId="0" hidden="1">제안일정!$A$1:$J$20</definedName>
    <definedName name="Z_39224D01_2030_45E7_ABD6_A751CE8F332C_.wvu.Rows" localSheetId="0" hidden="1">제안일정!$5:$10</definedName>
    <definedName name="Z_3A28C192_E7DB_40B1_898F_ED9AEAC58C7A_.wvu.PrintArea" localSheetId="0" hidden="1">제안일정!$A$1:$J$20</definedName>
    <definedName name="Z_3F1671B1_C781_4024_8B1E_300366D0D8FF_.wvu.PrintArea" localSheetId="0" hidden="1">제안일정!$A$1:$J$20</definedName>
    <definedName name="Z_464C281A_DA14_4EC5_A59A_2E22AB802E11_.wvu.FilterData" localSheetId="1" hidden="1">제안서목차!$A$8:$O$223</definedName>
    <definedName name="Z_464C281A_DA14_4EC5_A59A_2E22AB802E11_.wvu.PrintArea" localSheetId="1" hidden="1">제안서목차!$A$8:$N$223</definedName>
    <definedName name="Z_54BEE109_06D8_4E77_8659_D8411FC20984_.wvu.FilterData" localSheetId="1" hidden="1">제안서목차!$A$8:$O$223</definedName>
    <definedName name="Z_54BEE109_06D8_4E77_8659_D8411FC20984_.wvu.PrintArea" localSheetId="1" hidden="1">제안서목차!$A$8:$N$223</definedName>
    <definedName name="Z_5A34107F_C5DB_4E19_9AA8_B233D614E48A_.wvu.FilterData" localSheetId="1" hidden="1">제안서목차!$A$8:$O$223</definedName>
    <definedName name="Z_5A34107F_C5DB_4E19_9AA8_B233D614E48A_.wvu.PrintArea" localSheetId="1" hidden="1">제안서목차!$A$8:$N$223</definedName>
    <definedName name="Z_5C6C288D_90AF_4798_ADC7_1CC30A45A7E0_.wvu.PrintArea" localSheetId="0" hidden="1">제안일정!$A$1:$J$20</definedName>
    <definedName name="Z_5F029AC2_5260_4821_AD59_775244811931_.wvu.PrintArea" localSheetId="0" hidden="1">제안일정!$A$1:$J$20</definedName>
    <definedName name="Z_878D13FC_3F5E_4579_A901_7B2293FC47DD_.wvu.PrintArea" localSheetId="0" hidden="1">제안일정!$A$1:$J$20</definedName>
    <definedName name="Z_878D13FC_3F5E_4579_A901_7B2293FC47DD_.wvu.Rows" localSheetId="0" hidden="1">제안일정!$5:$10</definedName>
    <definedName name="Z_8A013C62_F242_459C_8187_1DB01769DF2A_.wvu.FilterData" localSheetId="1" hidden="1">제안서목차!$A$8:$O$223</definedName>
    <definedName name="Z_8A013C62_F242_459C_8187_1DB01769DF2A_.wvu.PrintArea" localSheetId="1" hidden="1">제안서목차!$A$8:$N$223</definedName>
    <definedName name="Z_8A013C62_F242_459C_8187_1DB01769DF2A_.wvu.Rows" localSheetId="1" hidden="1">제안서목차!$2:$7,제안서목차!$10:$50,제안서목차!$52:$63</definedName>
    <definedName name="Z_948ABD53_EB86_49D4_BA30_4030EEF2D883_.wvu.PrintArea" localSheetId="0" hidden="1">제안일정!$A$1:$J$20</definedName>
    <definedName name="Z_948ABD53_EB86_49D4_BA30_4030EEF2D883_.wvu.Rows" localSheetId="0" hidden="1">제안일정!$5:$10</definedName>
    <definedName name="Z_A0E2CCF6_B25E_4E70_B0A5_0BDDC47FC43E_.wvu.FilterData" localSheetId="1" hidden="1">제안서목차!$A$8:$O$223</definedName>
    <definedName name="Z_A0E2CCF6_B25E_4E70_B0A5_0BDDC47FC43E_.wvu.PrintArea" localSheetId="1" hidden="1">제안서목차!$A$8:$N$223</definedName>
    <definedName name="Z_A9E9F457_709E_42BC_988F_82F5528691E4_.wvu.FilterData" localSheetId="1" hidden="1">제안서목차!$A$8:$O$223</definedName>
    <definedName name="Z_A9E9F457_709E_42BC_988F_82F5528691E4_.wvu.PrintArea" localSheetId="1" hidden="1">제안서목차!$A$8:$N$223</definedName>
    <definedName name="Z_C2200AA4_8DF6_41EF_99E8_6E9220B8AD75_.wvu.PrintArea" localSheetId="0" hidden="1">제안일정!$A$1:$J$20</definedName>
    <definedName name="Z_C2200AA4_8DF6_41EF_99E8_6E9220B8AD75_.wvu.Rows" localSheetId="0" hidden="1">제안일정!$5:$10</definedName>
    <definedName name="Z_C277AB88_AEF1_4CD6_B6BD_C3DF608EFB94_.wvu.FilterData" localSheetId="1" hidden="1">제안서목차!$A$8:$O$223</definedName>
    <definedName name="Z_C277AB88_AEF1_4CD6_B6BD_C3DF608EFB94_.wvu.PrintArea" localSheetId="1" hidden="1">제안서목차!$A$8:$N$223</definedName>
    <definedName name="Z_C381CCBF_2DDE_4841_9408_55CE754F8DC4_.wvu.FilterData" localSheetId="1" hidden="1">제안서목차!$A$8:$O$223</definedName>
    <definedName name="Z_C381CCBF_2DDE_4841_9408_55CE754F8DC4_.wvu.PrintArea" localSheetId="1" hidden="1">제안서목차!$A$8:$N$223</definedName>
    <definedName name="Z_E4632E13_3E08_499F_A226_845166D0E3BF_.wvu.FilterData" localSheetId="1" hidden="1">제안서목차!$A$8:$O$223</definedName>
    <definedName name="Z_E4632E13_3E08_499F_A226_845166D0E3BF_.wvu.PrintArea" localSheetId="1" hidden="1">제안서목차!$A$8:$N$223</definedName>
    <definedName name="Z_E8598FE6_28A0_4E9B_8D76_491EE4AF6F07_.wvu.PrintArea" localSheetId="0" hidden="1">제안일정!$A$1:$J$20</definedName>
    <definedName name="Z_FA29B531_3839_4855_94A0_0476BCABCE06_.wvu.PrintArea" localSheetId="0" hidden="1">제안일정!$A$1:$J$20</definedName>
    <definedName name="Z_FA29B531_3839_4855_94A0_0476BCABCE06_.wvu.Rows" localSheetId="0" hidden="1">제안일정!$5:$10</definedName>
    <definedName name="Z_FB440050_788E_4619_BB91_1C56DF42FD2D_.wvu.Cols" localSheetId="1" hidden="1">제안서목차!$H:$H</definedName>
    <definedName name="Z_FB440050_788E_4619_BB91_1C56DF42FD2D_.wvu.FilterData" localSheetId="1" hidden="1">제안서목차!$A$8:$O$223</definedName>
    <definedName name="Z_FB440050_788E_4619_BB91_1C56DF42FD2D_.wvu.PrintArea" localSheetId="1" hidden="1">제안서목차!$A$8:$N$223</definedName>
    <definedName name="결정치">#REF!</definedName>
    <definedName name="구분">#REF!</definedName>
    <definedName name="구분항목">#REF!</definedName>
    <definedName name="기타_5">#REF!</definedName>
    <definedName name="기타_6">#REF!</definedName>
    <definedName name="나이스">#REF!</definedName>
    <definedName name="나이스이익">#REF!</definedName>
    <definedName name="노출형">[10]DATA!$E$50:$F$59</definedName>
    <definedName name="루슨트">#REF!</definedName>
    <definedName name="매입개방">[10]DATA!$E$6:$F$15</definedName>
    <definedName name="부대비용">#REF!</definedName>
    <definedName name="서류관리">제안일정!#REF!</definedName>
    <definedName name="요율">#REF!</definedName>
    <definedName name="용량">#REF!</definedName>
    <definedName name="원가환율">#REF!</definedName>
    <definedName name="이름">#REF!</definedName>
    <definedName name="이익">#REF!</definedName>
    <definedName name="자료1">#REF!</definedName>
    <definedName name="자료2">#REF!</definedName>
    <definedName name="재료집계3">#REF!</definedName>
    <definedName name="제조사">#REF!</definedName>
    <definedName name="제조사선택목록">[14]데이터유효성검사자료!$B$3:$B$1163</definedName>
    <definedName name="ㅌ460">[13]SV!$A$1:$E$65536</definedName>
    <definedName name="ㅌ550">[11]SV!$A$1:$E$65536</definedName>
    <definedName name="통관비">#REF!</definedName>
    <definedName name="통화">#REF!</definedName>
    <definedName name="파이프펜던트">[10]DATA!$E$17:$F$26</definedName>
    <definedName name="필수일정">OFFSET(제안일정!$K$5:$K$10,0,0,COUNTA(제안일정!$K:$K),1)</definedName>
    <definedName name="항목">#REF!</definedName>
    <definedName name="허용전류">#REF!</definedName>
    <definedName name="환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8" i="2" l="1"/>
  <c r="J186" i="2"/>
  <c r="J101" i="2"/>
  <c r="J64" i="2"/>
  <c r="M51" i="2"/>
  <c r="D11" i="1"/>
  <c r="E11" i="1" s="1"/>
  <c r="F11" i="1" s="1"/>
  <c r="G11" i="1" s="1"/>
  <c r="H11" i="1" s="1"/>
  <c r="I11" i="1" s="1"/>
  <c r="C16" i="1" s="1"/>
  <c r="D16" i="1" s="1"/>
  <c r="E16" i="1" s="1"/>
  <c r="F16" i="1" s="1"/>
  <c r="G16" i="1" s="1"/>
  <c r="H16" i="1" s="1"/>
  <c r="I16" i="1" s="1"/>
  <c r="C21" i="1" s="1"/>
  <c r="D21" i="1" s="1"/>
  <c r="E21" i="1" s="1"/>
  <c r="F21" i="1" s="1"/>
  <c r="G21" i="1" s="1"/>
  <c r="H21" i="1" s="1"/>
  <c r="I21" i="1" s="1"/>
  <c r="C26" i="1" s="1"/>
  <c r="D26" i="1" s="1"/>
  <c r="E26" i="1" s="1"/>
  <c r="F26" i="1" s="1"/>
  <c r="G26" i="1" s="1"/>
  <c r="H26" i="1" s="1"/>
  <c r="I26" i="1" s="1"/>
  <c r="K3" i="1"/>
  <c r="J51" i="2"/>
</calcChain>
</file>

<file path=xl/sharedStrings.xml><?xml version="1.0" encoding="utf-8"?>
<sst xmlns="http://schemas.openxmlformats.org/spreadsheetml/2006/main" count="1315" uniqueCount="791">
  <si>
    <t xml:space="preserve">■ 평가방법(조달청 온라인평가) : 온라인 2024/12/10 13:30 ~ / 발표 15분, 질의 10분
    평가위원 사전검토 시간 : 120분 이상 / 차등점수제를 적용하는 평가 3점 </t>
  </si>
  <si>
    <t>제출일까지 남은 일수 :</t>
  </si>
  <si>
    <t>가. 사업의 추진 방향</t>
  </si>
  <si>
    <t>라. 사업의 추진 전략</t>
  </si>
  <si>
    <t>가. 사업수행 추진 체계</t>
  </si>
  <si>
    <t>사. 제안의 특성 및 장점</t>
  </si>
  <si>
    <t>나. 추진 체계 구성 전략</t>
  </si>
  <si>
    <t>다. 추진 체계 운영방안</t>
  </si>
  <si>
    <t>라. 추진 체계 조직도</t>
  </si>
  <si>
    <t>4. 사업 추진 방법론</t>
  </si>
  <si>
    <t>1) 산출물 관리 원칙</t>
  </si>
  <si>
    <t>4) 정기 산출물 제출 방안</t>
  </si>
  <si>
    <t>4) 제안사 중소기업 확인서</t>
  </si>
  <si>
    <t>아. 전문업체 상생협력 방안</t>
  </si>
  <si>
    <t>다. 사업 추진 방법론 적용</t>
  </si>
  <si>
    <t>o 사업수행자는 해당 사업의 제안요청 내용을 명확하게 이해하고 본 제안의 목적, 범위, 성공 요소, 추진 전략 및 전제 조건 및 제안의 특징 등을 요약하여 기술</t>
  </si>
  <si>
    <r>
      <rPr>
        <b/>
        <sz val="10"/>
        <color rgb="FF000000"/>
        <rFont val="맑은 고딕"/>
        <family val="3"/>
        <charset val="129"/>
      </rPr>
      <t>• 사업예산</t>
    </r>
    <r>
      <rPr>
        <sz val="10"/>
        <color rgb="FF000000"/>
        <rFont val="맑은 고딕"/>
        <family val="3"/>
        <charset val="129"/>
      </rPr>
      <t xml:space="preserve"> : 5,783,317천원 [2025년(1차연도) 2,836,856천원 + 2026년(2차연도) 2,946,461천원]</t>
    </r>
  </si>
  <si>
    <t>전략 및 방법론 / 추진체계
사업 특성과 제시한 추진전략에 따른 수행조직
(전문업체, 기술지원업체, 공동수급체 및 하도급 등)
구성과 참여 조직간 역할, 책임, 품질 확보 및
협력 방안이 구체적이고 적절한지 평가한다.</t>
  </si>
  <si>
    <t>전략 및 방법론 / 추진전략
사업수행 일정과 위험요소를 고려한 추진전략 수립의
타당성을 평가한다.</t>
  </si>
  <si>
    <r>
      <rPr>
        <b/>
        <sz val="10"/>
        <color rgb="FF000000"/>
        <rFont val="맑은 고딕"/>
        <family val="3"/>
        <charset val="129"/>
      </rPr>
      <t xml:space="preserve">• 정성석 제안서/정량석 제안서/발표자료 각 1식  : </t>
    </r>
    <r>
      <rPr>
        <sz val="10"/>
        <color rgb="FF000000"/>
        <rFont val="맑은 고딕"/>
        <family val="3"/>
        <charset val="129"/>
      </rPr>
      <t>제안서는 A4 종 방향 작성을 원칙으로 하되, 부득이한 경우 A4 횡 또는 기타 용지를 일부 사용</t>
    </r>
  </si>
  <si>
    <t>전략 및 방법론 / 사업이해도
사업수행계획이 사업의 목표 및 특성에 부합하게
구체적이고 적절한지 평가한다.</t>
  </si>
  <si>
    <t>RFP 요구사항</t>
  </si>
  <si>
    <t>입찰 공고 게시</t>
  </si>
  <si>
    <t>스토리보드 리뷰</t>
  </si>
  <si>
    <t>KICK-OFF</t>
  </si>
  <si>
    <t>작성된 제안서가 목차와 논리에 맞게 작성되었는지,
RFP 요건과 부합하는지 등을 리뷰하고
이전 리뷰내용이 반영되었는지 확인한다.</t>
  </si>
  <si>
    <r>
      <rPr>
        <b/>
        <sz val="10"/>
        <color rgb="FF000000"/>
        <rFont val="맑은 고딕"/>
        <family val="3"/>
        <charset val="129"/>
      </rPr>
      <t>• 사업기간</t>
    </r>
    <r>
      <rPr>
        <sz val="10"/>
        <color rgb="FF000000"/>
        <rFont val="맑은 고딕"/>
        <family val="3"/>
        <charset val="129"/>
      </rPr>
      <t xml:space="preserve"> : ‘25. 1. 1. ~ ‘26. 12. 31. (2년 장기계속계약)</t>
    </r>
  </si>
  <si>
    <t>RFP분석, 목차 작성, 각 담당자별 업무 구분 및 공유</t>
  </si>
  <si>
    <t>주요 실적 인용</t>
  </si>
  <si>
    <t>정량평가
상생협력
상생협력 평가기준에 의한 중소기업 참여 지분율 평가</t>
  </si>
  <si>
    <t>사업설명 및 전체 추진 일정을 공유</t>
  </si>
  <si>
    <t>각 제안 목차별 스토리보드 작성</t>
  </si>
  <si>
    <t>Brain Storming_승부차트</t>
  </si>
  <si>
    <t>마. 추진 체계 업무분장 및 역할</t>
  </si>
  <si>
    <t>3) 단계별 산출물 제출 계획</t>
  </si>
  <si>
    <t xml:space="preserve">2) 산출물 관리 기준 및 절차 </t>
  </si>
  <si>
    <t xml:space="preserve">마. 단계별 산출물 관리 방안 </t>
  </si>
  <si>
    <t>사. 전문업체 품질 확보 방안</t>
  </si>
  <si>
    <t xml:space="preserve">라. 연간 유지보수 수행방안 </t>
  </si>
  <si>
    <t>다. 사업의 전제조건 및 성공요소</t>
  </si>
  <si>
    <t>바. 사업 추진 방법론 적용사례</t>
  </si>
  <si>
    <t>페이지</t>
  </si>
  <si>
    <t>배점</t>
  </si>
  <si>
    <t>서식</t>
  </si>
  <si>
    <t>기타</t>
  </si>
  <si>
    <t>간지</t>
  </si>
  <si>
    <t>제안</t>
  </si>
  <si>
    <t>내용</t>
  </si>
  <si>
    <t>월</t>
  </si>
  <si>
    <t>디자인</t>
  </si>
  <si>
    <t>수</t>
  </si>
  <si>
    <t>주</t>
  </si>
  <si>
    <t>금</t>
  </si>
  <si>
    <t>토</t>
  </si>
  <si>
    <t>화</t>
  </si>
  <si>
    <t>I.</t>
  </si>
  <si>
    <t>목</t>
  </si>
  <si>
    <t>R&amp;R</t>
  </si>
  <si>
    <t>작성자</t>
  </si>
  <si>
    <t>1주차</t>
  </si>
  <si>
    <t>일</t>
  </si>
  <si>
    <t>1.</t>
  </si>
  <si>
    <t>진도</t>
  </si>
  <si>
    <t>PT</t>
  </si>
  <si>
    <t>일자</t>
  </si>
  <si>
    <t>2주차</t>
  </si>
  <si>
    <t>가)</t>
  </si>
  <si>
    <t>씨에스</t>
  </si>
  <si>
    <t>도영우</t>
  </si>
  <si>
    <t>가.</t>
  </si>
  <si>
    <t>1)</t>
  </si>
  <si>
    <t>전략 및 방법론 / 사업추진방법론
사업추진방법이 구체적이고 적절한지와 그 실제 
적용 사례 및 경험에 따른 단계별 산출물을
제시하였는지 평가한다.</t>
  </si>
  <si>
    <t>3. 추진 체계</t>
  </si>
  <si>
    <t>1. 사업 이해도</t>
  </si>
  <si>
    <t>2. 추진 전략</t>
  </si>
  <si>
    <t>2. 조직 및 인원</t>
  </si>
  <si>
    <t>다. 사업의 목표</t>
  </si>
  <si>
    <t>나. 사업의 분석</t>
  </si>
  <si>
    <t>라. 사업의 목적</t>
  </si>
  <si>
    <t>평가요소 / 평가기준</t>
  </si>
  <si>
    <t>작성 지침 / 비고</t>
  </si>
  <si>
    <t>가. 사업의 이해</t>
  </si>
  <si>
    <t>바. 사업의 특성</t>
  </si>
  <si>
    <t>1) 상호협력 방안</t>
  </si>
  <si>
    <t>마. 세부 추진 방안</t>
  </si>
  <si>
    <t>마. 사업의 범위</t>
  </si>
  <si>
    <t>나. 사업의 위험요소</t>
  </si>
  <si>
    <t>나. 사업 추진 절차</t>
  </si>
  <si>
    <t>가. 사업 추진 목표</t>
  </si>
  <si>
    <t>2) 상생협력 방안</t>
  </si>
  <si>
    <t>주요업무</t>
  </si>
  <si>
    <t>업무 설명</t>
  </si>
  <si>
    <t>담당업체</t>
  </si>
  <si>
    <t>1차 리뷰</t>
  </si>
  <si>
    <t>2차 리뷰</t>
  </si>
  <si>
    <t>제안 일정표</t>
  </si>
  <si>
    <t>케이사인</t>
  </si>
  <si>
    <t>PMR-010</t>
  </si>
  <si>
    <t>아. 기대효과</t>
  </si>
  <si>
    <t>발표장표 인용</t>
  </si>
  <si>
    <r>
      <rPr>
        <b/>
        <sz val="10"/>
        <color rgb="FF000000"/>
        <rFont val="맑은 고딕"/>
        <family val="3"/>
        <charset val="129"/>
      </rPr>
      <t>• 사업명</t>
    </r>
    <r>
      <rPr>
        <sz val="10"/>
        <color rgb="FF000000"/>
        <rFont val="맑은 고딕"/>
        <family val="3"/>
        <charset val="129"/>
      </rPr>
      <t xml:space="preserve"> : ‘25-’26년 전산장비 유지보수</t>
    </r>
  </si>
  <si>
    <r>
      <rPr>
        <b/>
        <sz val="10"/>
        <color rgb="FF000000"/>
        <rFont val="맑은 고딕"/>
        <family val="3"/>
        <charset val="129"/>
      </rPr>
      <t>• 전자입찰 마감</t>
    </r>
    <r>
      <rPr>
        <sz val="10"/>
        <color rgb="FF000000"/>
        <rFont val="맑은 고딕"/>
        <family val="3"/>
        <charset val="129"/>
      </rPr>
      <t xml:space="preserve"> :2024/12/03 11:00</t>
    </r>
  </si>
  <si>
    <t>제안 작업시 주요업무 일정 및 추가 일정을 기록</t>
  </si>
  <si>
    <t>바. 제안사 및 전문업체 기술지원 방안</t>
  </si>
  <si>
    <t>제안 전략 수립 및 PT시나리오 작성</t>
  </si>
  <si>
    <t>3) 상생협력 평가 기준 및 평가 점수</t>
  </si>
  <si>
    <t>5) 사업종료 시 최종 산출물 제출 방안</t>
  </si>
  <si>
    <t>Ⅰ. 일반현황</t>
    <phoneticPr fontId="23" type="noConversion"/>
  </si>
  <si>
    <t>1. 제안사 일반현황</t>
    <phoneticPr fontId="23" type="noConversion"/>
  </si>
  <si>
    <t>3. 수행 조직 및 업무 분장</t>
    <phoneticPr fontId="23" type="noConversion"/>
  </si>
  <si>
    <t>4. 투입인력 및 이력 사항</t>
    <phoneticPr fontId="23" type="noConversion"/>
  </si>
  <si>
    <t>5. 주요 사업 실적</t>
    <phoneticPr fontId="23" type="noConversion"/>
  </si>
  <si>
    <t>Ⅱ. 전략 및 방법론</t>
    <phoneticPr fontId="23" type="noConversion"/>
  </si>
  <si>
    <t>1. 사업 이해도</t>
    <phoneticPr fontId="23" type="noConversion"/>
  </si>
  <si>
    <t>가. 사업 추진배경 및 환경변화</t>
    <phoneticPr fontId="23" type="noConversion"/>
  </si>
  <si>
    <t>나. 현행 화물관리체계 문제점 진단</t>
    <phoneticPr fontId="23" type="noConversion"/>
  </si>
  <si>
    <t>다. 차세대 화물관리 플랫폼 비전</t>
    <phoneticPr fontId="23" type="noConversion"/>
  </si>
  <si>
    <t>2. 추진 전략</t>
    <phoneticPr fontId="23" type="noConversion"/>
  </si>
  <si>
    <t>가. ISMP 추진전략</t>
    <phoneticPr fontId="23" type="noConversion"/>
  </si>
  <si>
    <t>나. 현장중심 업무혁신 전략</t>
    <phoneticPr fontId="23" type="noConversion"/>
  </si>
  <si>
    <t>다. AI 기반 업무혁신 전략</t>
    <phoneticPr fontId="23" type="noConversion"/>
  </si>
  <si>
    <t>라. 클라우드 전환 전략</t>
    <phoneticPr fontId="23" type="noConversion"/>
  </si>
  <si>
    <t>마. 데이터 통합 전략</t>
    <phoneticPr fontId="23" type="noConversion"/>
  </si>
  <si>
    <t>3. 컨설팅 방법론</t>
    <phoneticPr fontId="23" type="noConversion"/>
  </si>
  <si>
    <t>가. ISMP 수행방법론</t>
    <phoneticPr fontId="23" type="noConversion"/>
  </si>
  <si>
    <t>나.  이해관계자 참여체계</t>
    <phoneticPr fontId="23" type="noConversion"/>
  </si>
  <si>
    <t>다. 품질 확보 방법론</t>
    <phoneticPr fontId="23" type="noConversion"/>
  </si>
  <si>
    <t>Ⅲ. 사업수행(성능 및 품질)</t>
    <phoneticPr fontId="23" type="noConversion"/>
  </si>
  <si>
    <t>1. 컨설팅 요구사항</t>
    <phoneticPr fontId="23" type="noConversion"/>
  </si>
  <si>
    <t>나. 업무 프로세스 혁신방안</t>
    <phoneticPr fontId="23" type="noConversion"/>
  </si>
  <si>
    <t>다. 통합 아키텍처 설계</t>
    <phoneticPr fontId="23" type="noConversion"/>
  </si>
  <si>
    <t>라. WMS·CDMS 통합 모델</t>
    <phoneticPr fontId="23" type="noConversion"/>
  </si>
  <si>
    <t>마. 전자문서 통합체계 (관세청 연계)</t>
    <phoneticPr fontId="23" type="noConversion"/>
  </si>
  <si>
    <t>바.  통계·보고체계 혁신</t>
    <phoneticPr fontId="23" type="noConversion"/>
  </si>
  <si>
    <t>사. 요율관리 혁신방안</t>
    <phoneticPr fontId="23" type="noConversion"/>
  </si>
  <si>
    <t>아. Legacy Migration 전략</t>
    <phoneticPr fontId="23" type="noConversion"/>
  </si>
  <si>
    <t>자. 차세대 구축 로드맵 및 본사업 RFP 작성</t>
    <phoneticPr fontId="23" type="noConversion"/>
  </si>
  <si>
    <t>2. 보안 요구사항</t>
    <phoneticPr fontId="23" type="noConversion"/>
  </si>
  <si>
    <t>가. 보안관리 체계</t>
    <phoneticPr fontId="23" type="noConversion"/>
  </si>
  <si>
    <t>나. 개인정보보호 체계</t>
    <phoneticPr fontId="23" type="noConversion"/>
  </si>
  <si>
    <t>다. 정보보호 추진전략</t>
    <phoneticPr fontId="23" type="noConversion"/>
  </si>
  <si>
    <t>3. 제약사항</t>
    <phoneticPr fontId="23" type="noConversion"/>
  </si>
  <si>
    <r>
      <t>가. 법</t>
    </r>
    <r>
      <rPr>
        <sz val="11"/>
        <color rgb="FF000000"/>
        <rFont val="맑은 고딕"/>
        <family val="3"/>
        <charset val="129"/>
      </rPr>
      <t>·제도 준수</t>
    </r>
    <phoneticPr fontId="23" type="noConversion"/>
  </si>
  <si>
    <t>나. 지식재산권 대응</t>
    <phoneticPr fontId="23" type="noConversion"/>
  </si>
  <si>
    <t>4. 데이터 요구사항</t>
    <phoneticPr fontId="23" type="noConversion"/>
  </si>
  <si>
    <t>가. 데이터 표준화 전략</t>
    <phoneticPr fontId="23" type="noConversion"/>
  </si>
  <si>
    <t>나. 데이터 구조 혁신</t>
    <phoneticPr fontId="23" type="noConversion"/>
  </si>
  <si>
    <t>다. 데이터 이관 전략</t>
    <phoneticPr fontId="23" type="noConversion"/>
  </si>
  <si>
    <t>5. 품질 요구사항</t>
    <phoneticPr fontId="23" type="noConversion"/>
  </si>
  <si>
    <t>가. 품질보증 체계</t>
    <phoneticPr fontId="23" type="noConversion"/>
  </si>
  <si>
    <t>나. 산출물 품질관리</t>
    <phoneticPr fontId="23" type="noConversion"/>
  </si>
  <si>
    <t>다. 프로젝트 품질관리</t>
    <phoneticPr fontId="23" type="noConversion"/>
  </si>
  <si>
    <t>Ⅳ. 프로젝트 관리</t>
    <phoneticPr fontId="23" type="noConversion"/>
  </si>
  <si>
    <t>1. 관리 방법론</t>
    <phoneticPr fontId="23" type="noConversion"/>
  </si>
  <si>
    <t>가. 사업위험 관리</t>
    <phoneticPr fontId="23" type="noConversion"/>
  </si>
  <si>
    <t>나. 진도 및 변경 관리</t>
    <phoneticPr fontId="23" type="noConversion"/>
  </si>
  <si>
    <t>다. 보안 및 형상 관리</t>
    <phoneticPr fontId="23" type="noConversion"/>
  </si>
  <si>
    <t>라. 의사소통 및 보고 관리</t>
    <phoneticPr fontId="23" type="noConversion"/>
  </si>
  <si>
    <t>2. 관리역량</t>
    <phoneticPr fontId="23" type="noConversion"/>
  </si>
  <si>
    <t>가. PM 관리역량 및 실적</t>
    <phoneticPr fontId="23" type="noConversion"/>
  </si>
  <si>
    <t>나. 현장조사 역량</t>
    <phoneticPr fontId="23" type="noConversion"/>
  </si>
  <si>
    <t>3. 일정계획</t>
    <phoneticPr fontId="23" type="noConversion"/>
  </si>
  <si>
    <t>가. 전체 WBS 및 마일스톤</t>
    <phoneticPr fontId="23" type="noConversion"/>
  </si>
  <si>
    <t>나. 현장조사 일정 계획</t>
    <phoneticPr fontId="23" type="noConversion"/>
  </si>
  <si>
    <t>다. 자원 투입 계획</t>
    <phoneticPr fontId="23" type="noConversion"/>
  </si>
  <si>
    <t>Ⅴ. 프로젝트 지원</t>
    <phoneticPr fontId="23" type="noConversion"/>
  </si>
  <si>
    <t>1. 하자보증</t>
    <phoneticPr fontId="23" type="noConversion"/>
  </si>
  <si>
    <t>가. 하자보증 범위 및 기간</t>
    <phoneticPr fontId="23" type="noConversion"/>
  </si>
  <si>
    <t>나. 하자보증 수행 방안</t>
    <phoneticPr fontId="23" type="noConversion"/>
  </si>
  <si>
    <t>2. 교육훈련 및 기술지원</t>
    <phoneticPr fontId="23" type="noConversion"/>
  </si>
  <si>
    <t>가. 교육훈련 계획</t>
    <phoneticPr fontId="23" type="noConversion"/>
  </si>
  <si>
    <t>나. 기술이전 계획</t>
    <phoneticPr fontId="23" type="noConversion"/>
  </si>
  <si>
    <t>3. 사업지원</t>
    <phoneticPr fontId="23" type="noConversion"/>
  </si>
  <si>
    <t>가. 후속 사업지원 방안</t>
    <phoneticPr fontId="23" type="noConversion"/>
  </si>
  <si>
    <t>나. 사업지원 체계</t>
    <phoneticPr fontId="23" type="noConversion"/>
  </si>
  <si>
    <t xml:space="preserve">화물관리시스템 ISMP 용역 제안서 </t>
    <phoneticPr fontId="23" type="noConversion"/>
  </si>
  <si>
    <t>[2P] 현황분석 방법론 및 분석 Framework(4개 관점). [2P] 업무 현황 분석(CNR-007·008: 수작업 업무 현황, 부서별 Pain Point 매트릭스). [2P] 시스템 현황 분석(CNR-005·016: 현행 시스템 구성도, PowerBuilder 구조, 마이그레이션 대상 목록). [2P] 인프라 현황 분석(CNR-003: 서버·네트워크·스토리지·보안장비 현황, 노후화 현황).</t>
  </si>
  <si>
    <t>CNR-001~008·016 대응</t>
  </si>
  <si>
    <t>1) 현황분석 방법론 및 Framework</t>
    <phoneticPr fontId="23" type="noConversion"/>
  </si>
  <si>
    <t>3) 시스템 현황 분석</t>
    <phoneticPr fontId="23" type="noConversion"/>
  </si>
  <si>
    <t xml:space="preserve">4) 인프라 현황 분석 </t>
    <phoneticPr fontId="23" type="noConversion"/>
  </si>
  <si>
    <t>2) 업무 현황 분석</t>
    <phoneticPr fontId="23" type="noConversion"/>
  </si>
  <si>
    <t>가. 현황분석 체계</t>
    <phoneticPr fontId="23" type="noConversion"/>
  </si>
  <si>
    <t>[2P] 수작업 업무 자동화 방안(엑셀→시스템화: 체화·재고 자료요청, CDMS/WMS 데이터 업로드 등). [2P] PDA 환경 개선방안(CNR-006: Android 전환, LTE 통신, 모바일 바코드 프린터 연동). [2P] 지사별 업무 표준화 방안(현행 편차 → 표준 프로세스 정의). [1P] X-RAY 동시구현시스템 개선방안(CNR-012). [1P] As-Is vs To-Be 업무 비교표.</t>
  </si>
  <si>
    <t>1) 수작업 자동화 혁신방안</t>
    <phoneticPr fontId="23" type="noConversion"/>
  </si>
  <si>
    <t>2) 전국지사 PDA 환경 개선방안</t>
    <phoneticPr fontId="23" type="noConversion"/>
  </si>
  <si>
    <t>3) 지사별 업무 표준화 방안</t>
    <phoneticPr fontId="23" type="noConversion"/>
  </si>
  <si>
    <t>4) X-RAY 동시구현 시스템 현황 분석 및 개선방안</t>
    <phoneticPr fontId="23" type="noConversion"/>
  </si>
  <si>
    <t>CNR-006·007·012 대응</t>
  </si>
  <si>
    <t>5) As-Is vs To-Be 업무 혁신 종합 비교표</t>
    <phoneticPr fontId="23" type="noConversion"/>
  </si>
  <si>
    <t>CNR-003~005·009 대응. 4계층 다이어그램 필수</t>
  </si>
  <si>
    <t>1) EA 4계층 통합 아키텍처 다이어그램</t>
    <phoneticPr fontId="23" type="noConversion"/>
  </si>
  <si>
    <t>2) WEB 기반 3-Tier 전환 설계</t>
    <phoneticPr fontId="23" type="noConversion"/>
  </si>
  <si>
    <t>3) H/W·S/W 자원 규모산정</t>
    <phoneticPr fontId="23" type="noConversion"/>
  </si>
  <si>
    <t>4) API Hub 기반 연계 아키텍처</t>
    <phoneticPr fontId="23" type="noConversion"/>
  </si>
  <si>
    <t>[1P] 전국 지사 WMS 운영 현황 비교표(기능·활용수준·특화기능). [2P] 인천공항·인천항 특송센터 WMS 특화 기능 식별 및 표준화 방안. [1P] WMS↔CDMS 연계 구조 개선방안. [1P] WMS·CDMS 통합 기능 표준 모델.</t>
  </si>
  <si>
    <t>CNR-011 대응</t>
  </si>
  <si>
    <t>1) 전국 10개 지사 WMS 운영 현황 분석</t>
    <phoneticPr fontId="23" type="noConversion"/>
  </si>
  <si>
    <t>3) WMS ↔ CDMS 연계 구조 개선방안</t>
    <phoneticPr fontId="23" type="noConversion"/>
  </si>
  <si>
    <t>[2P] 관세청 송수신 전자문서 40여종 현황 분석표(문서종류·처리단계·연계방식). [1P] 반입/반출/통관 단계별 전자문서 처리 프로세스. [2P] FTP→API 전환 방안(CNR-009: 특송업체·중계3사 인터페이스 전환 검토). [1P] 전자문서 자동분류·디지털화 방안. [1P] 송수신 모니터링 대시보드 구성 방안.</t>
  </si>
  <si>
    <t>CNR-009·014 대응</t>
  </si>
  <si>
    <t>1) 관세청 송수신 전자문서 40여종 현황 분석</t>
    <phoneticPr fontId="23" type="noConversion"/>
  </si>
  <si>
    <t>[1P] 현행 통계·보고 현황 분석(수작업 보고서 종류·빈도·담당자). [1P] 자동생성 보고서 체계 설계(일보·월보·분기보고 자동화). [1P] 정형보고서 표준화 방안(징수일보·물동량 등). [1P] ERP 연계 현황 및 개선방안.</t>
  </si>
  <si>
    <t>CNR-013 대응</t>
  </si>
  <si>
    <t>1) 현행 통계·보고 업무 현황 분석</t>
    <phoneticPr fontId="23" type="noConversion"/>
  </si>
  <si>
    <t>2) 자동생성 보고서 체계 설계</t>
    <phoneticPr fontId="23" type="noConversion"/>
  </si>
  <si>
    <t>3) 정형보고서 표준화 + ERP 연계 개선</t>
    <phoneticPr fontId="23" type="noConversion"/>
  </si>
  <si>
    <t>[1P] 지정장치장별 요율 체계 현황(화물유형별·운송방식별 요율 구조). [1P] DB 프로시저 기반 요율 계산 로직 문제점. [1P] 사용자 기반 요율 관리 시스템 TO-BE 설계. [1P] 요율 변경 이력관리 및 승인 프로세스.</t>
  </si>
  <si>
    <t>CNR-015 대응</t>
    <phoneticPr fontId="23" type="noConversion"/>
  </si>
  <si>
    <t>1) 지정장치장별 요율 체계 현황 분석</t>
    <phoneticPr fontId="23" type="noConversion"/>
  </si>
  <si>
    <t>2) DB 프로시저 의존 구조 문제점 분석</t>
    <phoneticPr fontId="23" type="noConversion"/>
  </si>
  <si>
    <t>3) 사용자 기반 요율 관리 TO-BE 설계 + 이력·승인 프로세스</t>
    <phoneticPr fontId="23" type="noConversion"/>
  </si>
  <si>
    <t>1) 마이그레이션 대상 시스템 현황 및 노후화 진단</t>
    <phoneticPr fontId="23" type="noConversion"/>
  </si>
  <si>
    <t>[1P] 마이그레이션 대상 프로그램 분류 기준(재사용/재개발/폐기). [2P] 전환방식별 비교(리호스팅·리플랫폼·리아키텍팅). [1P] 마이그레이션 우선순위 도출 기준. [2P] 단계적 전환 전략 및 리스크 관리방안.</t>
  </si>
  <si>
    <t>CNR-016 대응</t>
  </si>
  <si>
    <t>2) 재사용·재개발·폐기 분류 기준 및 대상 목록</t>
    <phoneticPr fontId="23" type="noConversion"/>
  </si>
  <si>
    <t>3) 전환 방식 비교 및 권장안</t>
    <phoneticPr fontId="23" type="noConversion"/>
  </si>
  <si>
    <t>4) 단계적 전환 전략 및 우선순위 로드맵</t>
    <phoneticPr fontId="23" type="noConversion"/>
  </si>
  <si>
    <t>★산출물 최고 중요. [2P] 차세대 화물관리시스템 재구축 단계별 로드맵(단기·중기·장기 + 소요예산 산정). [2P] 본사업 제안요청서(RFP) 작성 방법론 및 구성 계획. [3P] RFP 주요 내용 개요(사업개요·현황·범위·아키텍처·요구사항·평가기준 초안). [3P] 기능 요구사항 분류 체계(업무/기술/데이터/보안/품질/인프라). [2P] 사업비 산정 근거(FP 산정, 투입인력, H/W·S/W 도입비). [1P] 발주기관 검토 일정 및 협의 계획.</t>
  </si>
  <si>
    <t>CNR-002·017 대응. RFP 산출물이 최종 납품물</t>
  </si>
  <si>
    <t>1) 차세대 화물관리시스템 재구축 단계별 로드맵</t>
    <phoneticPr fontId="23" type="noConversion"/>
  </si>
  <si>
    <t>2) 본사업 RFP 작성 방법론 및 구성 계획</t>
    <phoneticPr fontId="23" type="noConversion"/>
  </si>
  <si>
    <t>3) 본사업 RFP 주요 내용 구성 개요</t>
    <phoneticPr fontId="23" type="noConversion"/>
  </si>
  <si>
    <t>4) 본사업 기능 요구사항 분류 체계</t>
    <phoneticPr fontId="23" type="noConversion"/>
  </si>
  <si>
    <t>5) 본사업 사업비 산정 근거</t>
    <phoneticPr fontId="23" type="noConversion"/>
  </si>
  <si>
    <t>6) 발주 일정 및 발주기관 협의 계획</t>
    <phoneticPr fontId="23" type="noConversion"/>
  </si>
  <si>
    <t>★기술점수 핵심. [2P] EA 4계층 통합 아키텍처 다이어그램(Business/Application/Data/Infrastructure). [2P] WEB 기반 3-Tier 전환 설계(CNR-005: WEB-WAS-DB 구성, 세션관리, 통합모니터링). [2P] H/W·S/W 자원 규모산정(CNR-003: 사용자·데이터·처리량 기반, 서버·DBMS·Report Tool 사양). [2P] API Hub 기반 연계 아키텍처(CNR-009: FTP→REST API 전환, 중계3사·특송업체 인터페이스). [2P] 인프라 TO-BE 모델(온프레미스·클라우드·하이브리드 권장안 + 재해복구).</t>
    <phoneticPr fontId="23" type="noConversion"/>
  </si>
  <si>
    <t>김영국</t>
    <phoneticPr fontId="23" type="noConversion"/>
  </si>
  <si>
    <t>이준한(신영호)</t>
    <phoneticPr fontId="23" type="noConversion"/>
  </si>
  <si>
    <t>이준한</t>
    <phoneticPr fontId="23" type="noConversion"/>
  </si>
  <si>
    <t>김영국</t>
    <phoneticPr fontId="23" type="noConversion"/>
  </si>
  <si>
    <t>김영국</t>
    <phoneticPr fontId="23" type="noConversion"/>
  </si>
  <si>
    <t>신영호</t>
    <phoneticPr fontId="23" type="noConversion"/>
  </si>
  <si>
    <t>김태영</t>
    <phoneticPr fontId="23" type="noConversion"/>
  </si>
  <si>
    <t>신영호</t>
    <phoneticPr fontId="23" type="noConversion"/>
  </si>
  <si>
    <t>제안목차 회의</t>
    <phoneticPr fontId="23" type="noConversion"/>
  </si>
  <si>
    <t>공고</t>
    <phoneticPr fontId="23" type="noConversion"/>
  </si>
  <si>
    <t>1차 리뷰</t>
    <phoneticPr fontId="23" type="noConversion"/>
  </si>
  <si>
    <t>제안서 제출</t>
    <phoneticPr fontId="23" type="noConversion"/>
  </si>
  <si>
    <t>제안 전략 미팅</t>
    <phoneticPr fontId="23" type="noConversion"/>
  </si>
  <si>
    <t>제안서 인쇄</t>
    <phoneticPr fontId="23" type="noConversion"/>
  </si>
  <si>
    <t>설명회 장표 디자인</t>
    <phoneticPr fontId="23" type="noConversion"/>
  </si>
  <si>
    <t>제안 설명회</t>
    <phoneticPr fontId="23" type="noConversion"/>
  </si>
  <si>
    <t>3주차</t>
    <phoneticPr fontId="23" type="noConversion"/>
  </si>
  <si>
    <t>4주차</t>
    <phoneticPr fontId="23" type="noConversion"/>
  </si>
  <si>
    <t>화물관리시스템 전면 재구축 ISMP</t>
    <phoneticPr fontId="23" type="noConversion"/>
  </si>
  <si>
    <t>설명회 장표 완료</t>
    <phoneticPr fontId="23" type="noConversion"/>
  </si>
  <si>
    <t>김영국</t>
    <phoneticPr fontId="23" type="noConversion"/>
  </si>
  <si>
    <t>4) WMS ↔ CDMS 연계 API 명세 및 단계별 전환 계획</t>
    <phoneticPr fontId="23" type="noConversion"/>
  </si>
  <si>
    <t>5)WMS·CDMS 통합 기능 표준 모델 및 도입 방향</t>
    <phoneticPr fontId="23" type="noConversion"/>
  </si>
  <si>
    <t>3) 반입·반출·통관 단계별 전자문서 처리 프로세스</t>
    <phoneticPr fontId="23" type="noConversion"/>
  </si>
  <si>
    <t>5) 전자문서 자동화·디지털화 방안</t>
    <phoneticPr fontId="23" type="noConversion"/>
  </si>
  <si>
    <t>6) 전자문서 송수신 모니터링 대시보드 구성 방안</t>
    <phoneticPr fontId="23" type="noConversion"/>
  </si>
  <si>
    <t>2) 전자문서 연계방식 현황 분석 및 개선 방향</t>
    <phoneticPr fontId="23" type="noConversion"/>
  </si>
  <si>
    <t>2) 정책 정합성 검증 및 재구축 필요성 종합 진단</t>
    <phoneticPr fontId="23" type="noConversion"/>
  </si>
  <si>
    <t>1) 업무 수작업 현황 진단</t>
    <phoneticPr fontId="23" type="noConversion"/>
  </si>
  <si>
    <t xml:space="preserve">2) 시스템 구조 문제 진단 </t>
    <phoneticPr fontId="23" type="noConversion"/>
  </si>
  <si>
    <t>3) 데이터 이원화 문제 진단</t>
    <phoneticPr fontId="23" type="noConversion"/>
  </si>
  <si>
    <t>4) 인프라 노후화 진단</t>
    <phoneticPr fontId="23" type="noConversion"/>
  </si>
  <si>
    <t>5) 종합 Pain Point Map</t>
    <phoneticPr fontId="23" type="noConversion"/>
  </si>
  <si>
    <t xml:space="preserve">설명회 장표 </t>
    <phoneticPr fontId="23" type="noConversion"/>
  </si>
  <si>
    <t>설명회 목차 미팅(15:00)</t>
    <phoneticPr fontId="23" type="noConversion"/>
  </si>
  <si>
    <t>제안서 리뷰 &amp; 완료</t>
    <phoneticPr fontId="23" type="noConversion"/>
  </si>
  <si>
    <t xml:space="preserve">1) 현행 시스템 진단 및 디지털 전환 환경변화 분석 </t>
    <phoneticPr fontId="23" type="noConversion"/>
  </si>
  <si>
    <t>1) 차세대 비전 체계</t>
    <phoneticPr fontId="23" type="noConversion"/>
  </si>
  <si>
    <t>2) TO-BE 통합 아키텍처</t>
    <phoneticPr fontId="23" type="noConversion"/>
  </si>
  <si>
    <t>3) 정량 기대효과</t>
    <phoneticPr fontId="23" type="noConversion"/>
  </si>
  <si>
    <t>4) ISMP→본사업 연계 로드맵</t>
    <phoneticPr fontId="23" type="noConversion"/>
  </si>
  <si>
    <t>1) FIELD 전략 Framework</t>
    <phoneticPr fontId="23" type="noConversion"/>
  </si>
  <si>
    <t>1) 현장조사 Framework</t>
    <phoneticPr fontId="23" type="noConversion"/>
  </si>
  <si>
    <t>2) 전국 지사 현장조사 계획</t>
    <phoneticPr fontId="23" type="noConversion"/>
  </si>
  <si>
    <t>3) 현장조사→요구사항→설계 연계</t>
    <phoneticPr fontId="23" type="noConversion"/>
  </si>
  <si>
    <t xml:space="preserve">2) WEB 기반 3-Tier 전환 설계 — TO-BE 아키텍처 모델 </t>
    <phoneticPr fontId="23" type="noConversion"/>
  </si>
  <si>
    <t>3) H/W·S/W 자원 규모산정 — S/W 및 비용</t>
    <phoneticPr fontId="23" type="noConversion"/>
  </si>
  <si>
    <t>4) API Hub 기반 연계 아키텍처 — 인터페이스 명세</t>
    <phoneticPr fontId="23" type="noConversion"/>
  </si>
  <si>
    <t>5) 인프라 TO-BE 모델 설계 — 온프레미스·클라우드·재해복구</t>
    <phoneticPr fontId="23" type="noConversion"/>
  </si>
  <si>
    <t>5) 인프라 TO-BE 모델 설계 — 배치 대안 비교 및 DR 설계</t>
    <phoneticPr fontId="23" type="noConversion"/>
  </si>
  <si>
    <t>2) 인천공항·인천항 특송센터 WMS 특화 기능 식별 및 표준화 방안</t>
    <phoneticPr fontId="23" type="noConversion"/>
  </si>
  <si>
    <t>4) FTP·EDI → REST API 전환 방안 — AS-IS 현황 및 문제점 분석</t>
    <phoneticPr fontId="23" type="noConversion"/>
  </si>
  <si>
    <t>4) FTP·EDI → REST API 전환 방안 — TO-BE 설계 및 전환 로드맵</t>
    <phoneticPr fontId="23" type="noConversion"/>
  </si>
  <si>
    <t>화물관리시스템 ISMP 용역 제안 설명회</t>
  </si>
  <si>
    <t>최종 목차 — 22P</t>
  </si>
  <si>
    <t>#</t>
  </si>
  <si>
    <t>제목</t>
  </si>
  <si>
    <t>출처</t>
  </si>
  <si>
    <t>표지</t>
  </si>
  <si>
    <t>신규</t>
  </si>
  <si>
    <t>Ⅱ가 slide65</t>
  </si>
  <si>
    <t>Ⅱ나 신규</t>
  </si>
  <si>
    <t>Ⅱ다 slide65</t>
  </si>
  <si>
    <t>Ⅱ2가 slide66</t>
  </si>
  <si>
    <t>Ⅱ2나 slide66</t>
  </si>
  <si>
    <t>Ⅱ다 slide69</t>
  </si>
  <si>
    <t>Ⅱ다 slide66</t>
  </si>
  <si>
    <t>Ⅱ나 slide69 참조</t>
  </si>
  <si>
    <t>Ⅲ다 참조</t>
  </si>
  <si>
    <t>Ⅱ다 slide68</t>
  </si>
  <si>
    <t>회사 소개</t>
  </si>
  <si>
    <t>기존 장표</t>
  </si>
  <si>
    <t>수행 실적</t>
  </si>
  <si>
    <t>투입 인력</t>
  </si>
  <si>
    <t>사업 추진 일정 (90일)</t>
  </si>
  <si>
    <t>납품 산출물 목록</t>
  </si>
  <si>
    <t>Ⅱ다 slide69 참조</t>
  </si>
  <si>
    <t>담당자</t>
    <phoneticPr fontId="23" type="noConversion"/>
  </si>
  <si>
    <t>이준한 (디자이너)</t>
    <phoneticPr fontId="23" type="noConversion"/>
  </si>
  <si>
    <t>제안 요약 — Why 싸이버텍</t>
    <phoneticPr fontId="23" type="noConversion"/>
  </si>
  <si>
    <t>김영국 (디자이너)</t>
    <phoneticPr fontId="23" type="noConversion"/>
  </si>
  <si>
    <t>[PART 4] 수행 역량 (3P)</t>
    <phoneticPr fontId="23" type="noConversion"/>
  </si>
  <si>
    <t>[PART 3] 컨설팅 방법론 (6P)</t>
    <phoneticPr fontId="23" type="noConversion"/>
  </si>
  <si>
    <t>사업 추진배경 및 노후화 진행 경과</t>
    <phoneticPr fontId="23" type="noConversion"/>
  </si>
  <si>
    <t>현행 화물관리체계 종합 Pain Point Map</t>
    <phoneticPr fontId="23" type="noConversion"/>
  </si>
  <si>
    <t>차세대 비전 — Digital Cargo Platform</t>
    <phoneticPr fontId="23" type="noConversion"/>
  </si>
  <si>
    <t>데이터 기반 업무혁신 전략</t>
    <phoneticPr fontId="23" type="noConversion"/>
  </si>
  <si>
    <t>AI 활용 전략</t>
    <phoneticPr fontId="23" type="noConversion"/>
  </si>
  <si>
    <t>클라우드·통합플랫폼 전략</t>
    <phoneticPr fontId="23" type="noConversion"/>
  </si>
  <si>
    <t>[PART 1] 사업 이해도 (4P)</t>
    <phoneticPr fontId="23" type="noConversion"/>
  </si>
  <si>
    <t>[PART 2] 추진전략 (6P)</t>
    <phoneticPr fontId="23" type="noConversion"/>
  </si>
  <si>
    <t>FIELD 추진전략 총괄</t>
    <phoneticPr fontId="23" type="noConversion"/>
  </si>
  <si>
    <t>현장중심 업무혁신 전략</t>
    <phoneticPr fontId="23" type="noConversion"/>
  </si>
  <si>
    <t>ISMP→본사업 연계 로드맵</t>
    <phoneticPr fontId="23" type="noConversion"/>
  </si>
  <si>
    <t>ISMP 수행방법론</t>
    <phoneticPr fontId="23" type="noConversion"/>
  </si>
  <si>
    <t>[사업관리 및 지원] (3P)</t>
    <phoneticPr fontId="23" type="noConversion"/>
  </si>
  <si>
    <t>TO-BE 통합 아키텍처</t>
    <phoneticPr fontId="23" type="noConversion"/>
  </si>
  <si>
    <t>업무혁신 종합 AS-IS→TO-BE</t>
    <phoneticPr fontId="23" type="noConversion"/>
  </si>
  <si>
    <t>통합 아키텍처 설계 방향</t>
    <phoneticPr fontId="23" type="noConversion"/>
  </si>
  <si>
    <t>품질 확보 및 이해관계자 체계</t>
    <phoneticPr fontId="23" type="noConversion"/>
  </si>
  <si>
    <t>정량 기대효과+B57</t>
    <phoneticPr fontId="23" type="noConversion"/>
  </si>
  <si>
    <t>기술 평가기준표  (소프트웨어 기술성 평가기준 준용)</t>
  </si>
  <si>
    <t>평가부문</t>
  </si>
  <si>
    <t>평가항목</t>
  </si>
  <si>
    <t>평가기준</t>
  </si>
  <si>
    <t>비고</t>
  </si>
  <si>
    <t>정량
평가
(10점)</t>
  </si>
  <si>
    <t>경영상태</t>
  </si>
  <si>
    <t>제안사 재무구조·경영상태 (신용평가등급)</t>
  </si>
  <si>
    <t>5점</t>
  </si>
  <si>
    <t>별지1 적용</t>
  </si>
  <si>
    <t>수행경험</t>
  </si>
  <si>
    <t>유사사업(ISP·BPR/ISP·ISMP)·정보시스템 구축 수행이력</t>
  </si>
  <si>
    <t>별지2 적용</t>
  </si>
  <si>
    <t>전략 및
방법론
(20점)</t>
  </si>
  <si>
    <t>사업이해도</t>
  </si>
  <si>
    <t>사업 특성·목표 이해, 환경분석·업무 연관관계 기반 일관성 있는 방향·전략 제시</t>
  </si>
  <si>
    <t>★핵심</t>
  </si>
  <si>
    <t>추진전략</t>
  </si>
  <si>
    <t>위험요소 고려한 창의적·타당한 대안 제시</t>
  </si>
  <si>
    <t>10점</t>
  </si>
  <si>
    <t>★배점 최대</t>
  </si>
  <si>
    <t>컨설팅방법론</t>
  </si>
  <si>
    <t>방법론 타당성, 실적용 사례·경험, 단계별 활동 및 산출물 적정성</t>
  </si>
  <si>
    <t>사업수행
(40점)</t>
  </si>
  <si>
    <t>컨설팅요구사항</t>
  </si>
  <si>
    <t>ISMP 요구사항(정보화전략검토·벤치마킹·시스템구축·목표수립·아키텍처·RFP 작성) 적정 제시</t>
  </si>
  <si>
    <t>20점</t>
  </si>
  <si>
    <t>★최대 배점</t>
  </si>
  <si>
    <t>보안요구사항</t>
  </si>
  <si>
    <t>보안 관련 요구사항 분석 타당성, 보안기술·방법 적정성</t>
  </si>
  <si>
    <t>데이터요구사항</t>
  </si>
  <si>
    <t>데이터 표준화 관련 요구사항 분석 타당성·방안 적정성</t>
  </si>
  <si>
    <t>8점</t>
  </si>
  <si>
    <t>제약사항</t>
  </si>
  <si>
    <t>제약사항 준수방안 적정 제시 여부</t>
  </si>
  <si>
    <t>2점</t>
  </si>
  <si>
    <t>품질요구사항</t>
  </si>
  <si>
    <t>단계별 품질 요구사항 점검·검토 방안 구체성</t>
  </si>
  <si>
    <t>프로젝트
관리(20점)</t>
  </si>
  <si>
    <t>관리방법론</t>
  </si>
  <si>
    <t>사업위험·진도·보안 관리방법, 산출물 형상·문서 관리방법</t>
  </si>
  <si>
    <t>일정계획</t>
  </si>
  <si>
    <t>필요 활동 도출, 정확한 활동기간 산정, 적합한 자원 할당</t>
  </si>
  <si>
    <t>★배점 높음</t>
  </si>
  <si>
    <t>수행역량</t>
  </si>
  <si>
    <t>참여 의지, 조직적 대응, 준비성, 컨설팅 수행 경험, 제안인력 전문성</t>
  </si>
  <si>
    <t>프로젝트
지원(10점)</t>
  </si>
  <si>
    <t>하자보증</t>
  </si>
  <si>
    <t>하자보증 방안이 사업 수행에 적합한지 확인·평가</t>
  </si>
  <si>
    <t>교육·기술지원</t>
  </si>
  <si>
    <t>교육훈련·기술이전 지원 방법·내용·일정·조직 평가</t>
  </si>
  <si>
    <t>3점</t>
  </si>
  <si>
    <t>사업지원</t>
  </si>
  <si>
    <t>후속 사업지원 제안 적합성·우수성</t>
  </si>
  <si>
    <t>합 계</t>
  </si>
  <si>
    <t>100점</t>
  </si>
  <si>
    <t>과업 요구사항 ↔ 제안서 목차 매핑표</t>
  </si>
  <si>
    <t>요구사항ID</t>
  </si>
  <si>
    <t>요구사항명</t>
  </si>
  <si>
    <t>세부 내용 요약</t>
  </si>
  <si>
    <t>대응 목차</t>
  </si>
  <si>
    <t>중요도</t>
  </si>
  <si>
    <t>CNR-001</t>
  </si>
  <si>
    <t>컨설팅 공통사항</t>
  </si>
  <si>
    <t>ISMP 방법론 제시, 단계별 산출물</t>
  </si>
  <si>
    <t>Ⅱ-3-1 ISMP 수행방법론</t>
  </si>
  <si>
    <t>상</t>
  </si>
  <si>
    <t>CNR-002</t>
  </si>
  <si>
    <t>차세대 실행계획 수립</t>
  </si>
  <si>
    <t>추진목표·전략 수립, 환경분석</t>
  </si>
  <si>
    <t>Ⅱ-1-1, Ⅱ-2-1</t>
  </si>
  <si>
    <t>CNR-003</t>
  </si>
  <si>
    <t>H/W·S/W 규모산정</t>
  </si>
  <si>
    <t>인프라 자원 분석·규모산정</t>
  </si>
  <si>
    <t>Ⅲ-1-3 통합아키텍처</t>
  </si>
  <si>
    <t>CNR-004</t>
  </si>
  <si>
    <t>IT 인프라 구축 기술 검토</t>
  </si>
  <si>
    <t>클라우드·온프레미스 비교</t>
  </si>
  <si>
    <t>Ⅱ-2-4 클라우드전환전략</t>
  </si>
  <si>
    <t>CNR-005</t>
  </si>
  <si>
    <t>웹기반 시스템 전환 분석</t>
  </si>
  <si>
    <t>C/S→WEB 3-Tier 전환</t>
  </si>
  <si>
    <t>CNR-006</t>
  </si>
  <si>
    <t>전국지사 PDA 환경 분석</t>
  </si>
  <si>
    <t>PDA 단말·통신 환경 조사</t>
  </si>
  <si>
    <t>Ⅱ-2-2 현장중심전략</t>
  </si>
  <si>
    <t>CNR-007</t>
  </si>
  <si>
    <t>자동화 대상 업무 조사</t>
  </si>
  <si>
    <t>수작업(엑셀·이메일) 업무 현황</t>
  </si>
  <si>
    <t>Ⅱ-2-2, Ⅲ-1-2</t>
  </si>
  <si>
    <t>CNR-008</t>
  </si>
  <si>
    <t>데이터 식별정보·공통코드</t>
  </si>
  <si>
    <t>번호체계·공통코드 현황 분석</t>
  </si>
  <si>
    <t>Ⅲ-4-1 데이터표준화</t>
  </si>
  <si>
    <t>중</t>
  </si>
  <si>
    <t>CNR-009</t>
  </si>
  <si>
    <t>대내외 연계 현황 분석</t>
  </si>
  <si>
    <t>FTP→API 전환 검토</t>
  </si>
  <si>
    <t>Ⅲ-1-5 전자문서통합체계</t>
  </si>
  <si>
    <t>CNR-010</t>
  </si>
  <si>
    <t>데이터 이관 방안</t>
  </si>
  <si>
    <t>이관범위·기준·방식 검토</t>
  </si>
  <si>
    <t>Ⅲ-4-3 데이터이관전략</t>
  </si>
  <si>
    <t>CNR-011</t>
  </si>
  <si>
    <t>특송센터 WMS 연계 분석</t>
  </si>
  <si>
    <t>인천공항·항 WMS 기능 식별</t>
  </si>
  <si>
    <t>Ⅲ-1-4 WMS·CDMS통합</t>
  </si>
  <si>
    <t>CNR-012</t>
  </si>
  <si>
    <t>X-RAY 동시구현 시스템 분석</t>
  </si>
  <si>
    <t>지사별 동시구현시스템 현황</t>
  </si>
  <si>
    <t>Ⅲ-1-2 업무프로세스혁신</t>
  </si>
  <si>
    <t>CNR-013</t>
  </si>
  <si>
    <t>통계·보고서 구현 방향</t>
  </si>
  <si>
    <t>자동생성·정형보고서 표준화</t>
  </si>
  <si>
    <t>Ⅲ-1-6 통계·보고체계</t>
  </si>
  <si>
    <t>CNR-014</t>
  </si>
  <si>
    <t>관세청 전자문서 분석</t>
  </si>
  <si>
    <t>40여종 전자문서 처리체계</t>
  </si>
  <si>
    <t>CNR-015</t>
  </si>
  <si>
    <t>지정장치장 요율 현황</t>
  </si>
  <si>
    <t>요율 산정·관리 개선방안</t>
  </si>
  <si>
    <t>Ⅲ-1-7 요율관리혁신</t>
  </si>
  <si>
    <t>CNR-016</t>
  </si>
  <si>
    <t>마이그레이션 대상 분석</t>
  </si>
  <si>
    <t>Legacy 프로그램 현황·분류</t>
  </si>
  <si>
    <t>Ⅱ-2-4, Ⅲ-1-8</t>
  </si>
  <si>
    <t>CNR-017</t>
  </si>
  <si>
    <t>제안요청서(RFP) 수립</t>
  </si>
  <si>
    <t>본사업 RFP 작성 (최우선)</t>
  </si>
  <si>
    <t>Ⅲ-1-9 차세대구축로드맵</t>
  </si>
  <si>
    <t>최상</t>
  </si>
  <si>
    <t>DAR-001</t>
  </si>
  <si>
    <t>데이터 표준화</t>
  </si>
  <si>
    <t>표준항목(단어·용어·도메인) 분석</t>
  </si>
  <si>
    <t>Ⅲ-4-1</t>
  </si>
  <si>
    <t>DAR-002</t>
  </si>
  <si>
    <t>데이터 표준관리</t>
  </si>
  <si>
    <t>메타데이터 관리·문서화</t>
  </si>
  <si>
    <t>DAR-003</t>
  </si>
  <si>
    <t>데이터 구조 설계</t>
  </si>
  <si>
    <t>개념·논리·물리 모델 설계</t>
  </si>
  <si>
    <t>Ⅲ-4-2</t>
  </si>
  <si>
    <t>DAR-004</t>
  </si>
  <si>
    <t>데이터 구조 검증·개선</t>
  </si>
  <si>
    <t>반복 오류 현황 분석·개선</t>
  </si>
  <si>
    <t>DAR-005</t>
  </si>
  <si>
    <t>데이터 구조 관리</t>
  </si>
  <si>
    <t>변경이력·메타데이터 관리체계</t>
  </si>
  <si>
    <t>DAR-006</t>
  </si>
  <si>
    <t>데이터 값 검증</t>
  </si>
  <si>
    <t>데이터 오류 진단·개선방안</t>
  </si>
  <si>
    <t>DAR-007</t>
  </si>
  <si>
    <t>이관 데이터 값 검증</t>
  </si>
  <si>
    <t>GAP분석·매핑정의·이관 품질확보</t>
  </si>
  <si>
    <t>Ⅲ-4-3</t>
  </si>
  <si>
    <t>SER-001</t>
  </si>
  <si>
    <t>보안 관리 및 규정 준수</t>
  </si>
  <si>
    <t>보안서약서·보안교육 실시</t>
  </si>
  <si>
    <t>Ⅲ-2-1</t>
  </si>
  <si>
    <t>SER-002</t>
  </si>
  <si>
    <t>보안 위규 처리기준</t>
  </si>
  <si>
    <t>위반 시 위약금·행정조치</t>
  </si>
  <si>
    <t>SER-003</t>
  </si>
  <si>
    <t>투입인력 보안관리</t>
  </si>
  <si>
    <t>인력 보안교육·출입 관리</t>
  </si>
  <si>
    <t>SER-004</t>
  </si>
  <si>
    <t>자료 보안관리</t>
  </si>
  <si>
    <t>기밀등급 분류·외부유출 방지</t>
  </si>
  <si>
    <t>SER-005</t>
  </si>
  <si>
    <t>저장매체·장비 보안관리</t>
  </si>
  <si>
    <t>PC·USB 보안관리</t>
  </si>
  <si>
    <t>SER-006</t>
  </si>
  <si>
    <t>계약종료 후 보안관리</t>
  </si>
  <si>
    <t>산출물 반납·삭제·폐기</t>
  </si>
  <si>
    <t>QUR-001</t>
  </si>
  <si>
    <t>품질관리 계획 수립</t>
  </si>
  <si>
    <t>품질보증 계획·조직·절차</t>
  </si>
  <si>
    <t>Ⅱ-3-3, Ⅲ-5-1</t>
  </si>
  <si>
    <t>QUR-002</t>
  </si>
  <si>
    <t>산출물 품질관리</t>
  </si>
  <si>
    <t>산출물 제출·검토·보완 관리</t>
  </si>
  <si>
    <t>Ⅲ-5-1</t>
  </si>
  <si>
    <t>QUR-003</t>
  </si>
  <si>
    <t>프로젝트 품질관리</t>
  </si>
  <si>
    <t>사업추진 전반 품질 책임</t>
  </si>
  <si>
    <t>COR-001</t>
  </si>
  <si>
    <t>표준 준수</t>
  </si>
  <si>
    <t>정보화사업 표준·법령 준수</t>
  </si>
  <si>
    <t>Ⅲ-3-1</t>
  </si>
  <si>
    <t>COR-002</t>
  </si>
  <si>
    <t>지식재산권</t>
  </si>
  <si>
    <t>산출물 지식재산권 귀속</t>
  </si>
  <si>
    <t>PMR-001</t>
  </si>
  <si>
    <t>수행조직</t>
  </si>
  <si>
    <t>PM 자격, 상주 원칙</t>
  </si>
  <si>
    <t>Ⅰ-3, Ⅳ-2</t>
  </si>
  <si>
    <t>PMR-002</t>
  </si>
  <si>
    <t>요구사항 관리</t>
  </si>
  <si>
    <t>기능·비기능 요구사항 추적</t>
  </si>
  <si>
    <t>Ⅳ-1</t>
  </si>
  <si>
    <t>PMR-003</t>
  </si>
  <si>
    <t>핵심인력 자격요건</t>
  </si>
  <si>
    <t>PM 최근5년 ISP PM 1회 이상</t>
  </si>
  <si>
    <t>Ⅰ-4</t>
  </si>
  <si>
    <t>PMR-004</t>
  </si>
  <si>
    <t>투입인력 변경방안</t>
  </si>
  <si>
    <t>인력교체 절차·조건</t>
  </si>
  <si>
    <t>PMR-005</t>
  </si>
  <si>
    <t>일정관리</t>
  </si>
  <si>
    <t>단계별 추진일정·세부활동</t>
  </si>
  <si>
    <t>Ⅳ-3</t>
  </si>
  <si>
    <t>PMR-006</t>
  </si>
  <si>
    <t>사업관리 방법</t>
  </si>
  <si>
    <t>통합 PM 방법론</t>
  </si>
  <si>
    <t>PMR-007</t>
  </si>
  <si>
    <t>위험관리 방안</t>
  </si>
  <si>
    <t>위험 식별·통제·추적</t>
  </si>
  <si>
    <t>PMR-008</t>
  </si>
  <si>
    <t>산출물 관리방안</t>
  </si>
  <si>
    <t>보고서 작성·제출 일정</t>
  </si>
  <si>
    <t>PMR-009</t>
  </si>
  <si>
    <t>업무보고</t>
  </si>
  <si>
    <t>착수·중간·완료 보고체계</t>
  </si>
  <si>
    <t>참여인력 보안서약</t>
  </si>
  <si>
    <t>전 인원 보안서약서 제출</t>
  </si>
  <si>
    <t>PMR-011</t>
  </si>
  <si>
    <t>정보보안 계획 수립·실행</t>
  </si>
  <si>
    <t>정보보호 계획·방안</t>
  </si>
  <si>
    <t>PSR-001</t>
  </si>
  <si>
    <t>기술이전·하자보수</t>
  </si>
  <si>
    <t>노하우 이전·후속사업 지원</t>
  </si>
  <si>
    <t>Ⅴ-1, Ⅴ-3</t>
  </si>
  <si>
    <t>PSR-002</t>
  </si>
  <si>
    <t>교육계획 수립</t>
  </si>
  <si>
    <t>직무별 교육·기술이전 계획</t>
  </si>
  <si>
    <t>Ⅴ-2</t>
  </si>
  <si>
    <t>화물관리시스템 전면 재구축을 위한 정보시스템 마스터플랜(ISMP) 용역  |  제안서 작성 관리표</t>
  </si>
  <si>
    <t>발주기관: (사)한국관세무역개발원  |  사업예산: 135,146,000원(VAT포함)  |  사업기간: 착수일로부터 90일  |  평가: 기술 70% + 가격 30%  |  기술평가 합계: 100점</t>
  </si>
  <si>
    <t>Ⅰ
단계</t>
  </si>
  <si>
    <t>Ⅱ
항목</t>
  </si>
  <si>
    <t>Ⅲ
세항</t>
  </si>
  <si>
    <t>Ⅳ
세세항</t>
  </si>
  <si>
    <t>목차명</t>
  </si>
  <si>
    <t>세부 내용 / 작성 지침</t>
  </si>
  <si>
    <t>대응 요구사항</t>
  </si>
  <si>
    <t>핵심 메시지 (USP)</t>
  </si>
  <si>
    <t>평가 포인트</t>
  </si>
  <si>
    <t>페이지
수</t>
  </si>
  <si>
    <t>담당 업체</t>
  </si>
  <si>
    <t>진도
(%)</t>
  </si>
  <si>
    <t>작성
상태</t>
  </si>
  <si>
    <t>우선
순위</t>
  </si>
  <si>
    <t>템플릿
유형</t>
  </si>
  <si>
    <t>Ⅰ. 일반현황   |   정량평가 10점 (경영상태 5점 + 수행경험 5점)</t>
  </si>
  <si>
    <t>Ⅰ</t>
  </si>
  <si>
    <t>1</t>
  </si>
  <si>
    <t>제안사 일반현황</t>
  </si>
  <si>
    <t>제안사 일반현황 및 주요 연혁 기술. 최근 3년간 자본금 및 부문별 매출액 명료하게 제시. [별지서식 준용]</t>
  </si>
  <si>
    <t>-</t>
  </si>
  <si>
    <t>공공 ISP/ISMP 전문기업 신뢰도</t>
  </si>
  <si>
    <t>기업 안정성·신뢰도 인상</t>
  </si>
  <si>
    <t>1P</t>
  </si>
  <si>
    <t>0%</t>
  </si>
  <si>
    <t>미작성</t>
  </si>
  <si>
    <t>보통</t>
  </si>
  <si>
    <t>프로파일형</t>
  </si>
  <si>
    <t>별지서식 준용</t>
  </si>
  <si>
    <t>2</t>
  </si>
  <si>
    <t>제안사의 조직 및 인원</t>
  </si>
  <si>
    <t>제안사 조직 및 인원 현황 제시. [별지서식 준용]</t>
  </si>
  <si>
    <t>ISP·관세·물류 전문가 보유 조직</t>
  </si>
  <si>
    <t>전문 수행조직 보유 여부</t>
  </si>
  <si>
    <t>조직도형</t>
  </si>
  <si>
    <t>3</t>
  </si>
  <si>
    <t>수행조직 및 업무분장</t>
  </si>
  <si>
    <t>본 사업 수행조직 구성 및 역할·업무분장 제시. 현장 전담 조직 강조. PM은 주사업자 소속 직원이어야 하며 상주 원칙. [별지서식]</t>
  </si>
  <si>
    <t>현장 중심 전담 수행조직 (R&amp;R 명확)</t>
  </si>
  <si>
    <t>PM 상주 여부, R&amp;R 명확성</t>
  </si>
  <si>
    <t>2P</t>
  </si>
  <si>
    <t>높음</t>
  </si>
  <si>
    <t>R&amp;R Matrix형</t>
  </si>
  <si>
    <t>R&amp;R Matrix 권장</t>
  </si>
  <si>
    <t>4</t>
  </si>
  <si>
    <t>투입인력 및 이력사항</t>
  </si>
  <si>
    <t>PM·PL·기술인력 이력 상세 제시. 성명·소속·최종학력·경력·자격증·기술등급·목표투입공수(M/M) 포함.
★PM 자격: 최근 5년 유사사업(ISP/PI/ISMP) PM 경험 1회 이상 필수.
★투입인력은 반드시 본 사업 참여. SW기술자 경력증명서 첨부 필수.</t>
  </si>
  <si>
    <t>PMR-001
PMR-003
PMR-004</t>
  </si>
  <si>
    <t>ISP/물류/관세 분야 핵심 전문인력</t>
  </si>
  <si>
    <t>PM 자격요건 충족, 투입공수 적정성</t>
  </si>
  <si>
    <t>3P</t>
  </si>
  <si>
    <t>이력표형</t>
  </si>
  <si>
    <t>SW기술자 경력증명서 첨부 필수</t>
  </si>
  <si>
    <t>5</t>
  </si>
  <si>
    <t>주요 사업실적</t>
  </si>
  <si>
    <t>최근 3년 유사사업(ISP·ISMP·BPR/ISP·정보화컨설팅·정보시스템구축) 실적 제시.
★실적 인정범위: 화물·관세·유통·공공행정 관련 ISMP/ISP/BPR/ISP 컨설팅 실적(최근 5년 이내 1건 이상) 및 정보시스템 구축 실적.
관세·물류·공공 분야 실적 집중 배치.</t>
  </si>
  <si>
    <t>5점
(정량)</t>
  </si>
  <si>
    <t>대형 공공 ISP 성공 경험 다수 보유</t>
  </si>
  <si>
    <t>실적 규모·건수, 유사 분야 해당 여부</t>
  </si>
  <si>
    <t>실적맵형</t>
  </si>
  <si>
    <t>실적증명서 별도 첨부 필수 / 별지2 적용</t>
  </si>
  <si>
    <t>Ⅱ. 전략 및 방법론   |   정성평가 20점 (사업이해도 5점 + 추진전략 10점 + 컨설팅방법론 5점)</t>
  </si>
  <si>
    <t>Ⅱ</t>
  </si>
  <si>
    <t>사업 이해도</t>
  </si>
  <si>
    <t>본 사업의 제안요청 내용을 명확하게 이해하고 제안의 목적·범위·전제조건·특징 및 장점 요약 기술.
목표시스템 구성도 및 구성 체계 제시.
【포함 내용】
① 사업 추진배경 및 환경변화 (C/S 노후화·DB이원화·디지털플랫폼정부 등)
② 현행 화물관리체계 문제점 진단 ★(Root Cause 분석, Pain Point Map)
③ 차세대 화물관리 플랫폼 비전 (Digital Cargo Platform)</t>
  </si>
  <si>
    <t>CNR-001
CNR-002
전체</t>
  </si>
  <si>
    <t>5점
(정성)</t>
  </si>
  <si>
    <t>현장의 진짜 문제를 정확히 이해한 제안사</t>
  </si>
  <si>
    <t>환경분석 이해도, Root Cause 분석력, 미래상 구체성</t>
  </si>
  <si>
    <t>6P</t>
  </si>
  <si>
    <t>Pain Point Map
+ Vision Map형</t>
  </si>
  <si>
    <t>★평가위원 최집중 페이지. 2.1.2(문제점 진단)·2.1.3(비전)이 핵심 승부처</t>
  </si>
  <si>
    <t>사업을 효과적으로 수행하기 위한 추진전략(위험요소 고려, 창의적·타당한 대안) 제시.
【포함 내용】
① ISP 추진전략 (AS-IS→TO-BE→ISP 로드맵)
② 현장중심 업무혁신 전략 ★(10개 지사·28개 지정장치장 Field Driven ISP)
③ AI 기반 업무혁신 전략 (전자문서 자동분류·데이터품질검증·보고서자동생성·AI Assistant)
④ 클라우드 전환 전략 (온프레미스→Hybrid Cloud 단계적 전환)
⑤ 데이터 통합 전략 (DB이원화→One Data Platform)</t>
  </si>
  <si>
    <t>CNR-002
CNR-004
CNR-006~015
DAR 전체</t>
  </si>
  <si>
    <t>10점
(정성)</t>
  </si>
  <si>
    <t>Field Driven ISP + AI 미래지향 전략</t>
  </si>
  <si>
    <t>전략 창의성·타당성·위험요소 고려, 현장조사 체계성</t>
  </si>
  <si>
    <t>8P</t>
  </si>
  <si>
    <t>전략체계도
+ Framework형</t>
  </si>
  <si>
    <t>★배점 가장 높은 정성 항목. 2.2.2(현장전략)·2.2.3(AI전략)이 차별화 포인트</t>
  </si>
  <si>
    <t>컨설팅 방법론</t>
  </si>
  <si>
    <t>컨설팅에 적용할 방법론 절차 및 기법 활용방안 제시.
적용방법론의 경험과 컨설팅 방법론에 따른 제출 산출물 종류·내역·제출시기 기술.
【포함 내용】
① ISMP 수행방법론 (정부 표준 ISMP + 화물·물류 특화 방법론, Phase·Activity·Task 상세)
② 이해관계자 참여체계 (ICT협력실·시스템구축사업부·각 지사·세관 등 현업 참여형 거버넌스)
③ 품질 확보 방법론 (QA Cycle, 단계별 산출물 검증체계)</t>
  </si>
  <si>
    <t>CNR-001
PMR 전체
QUR-001~003</t>
  </si>
  <si>
    <t>정부 표준 ISMP + 물류 특화 방법론</t>
  </si>
  <si>
    <t>방법론 타당성·실적용 경험, 산출물 적정성</t>
  </si>
  <si>
    <t>방법론 다이어그램
+ 거버넌스형</t>
  </si>
  <si>
    <t>방법론에 따른 산출물 목록 반드시 포함</t>
  </si>
  <si>
    <t>Ⅲ. 사업수행(성능 및 품질)   |   정성평가 40점 (컨설팅요구사항 20점 + 보안 5점 + 데이터 8점 + 제약 2점 + 품질 5점)</t>
  </si>
  <si>
    <t>Ⅲ</t>
  </si>
  <si>
    <t>컨설팅 요구사항</t>
  </si>
  <si>
    <t>정보화 방향성 검토 방안, 조직·업무 프로세스·데이터·인프라 분석 등 현황 분석, 개선계획, 목표모델 수립, To-Be 아키텍처 설계, 정보기술 요건 정의, 사업계획 수립 등 컨설팅 수행방안 제시.
【세부 목차 구성 권장】</t>
  </si>
  <si>
    <t>CNR-001~017
전체</t>
  </si>
  <si>
    <t>20점
(정성)</t>
  </si>
  <si>
    <t>전 과업 요구사항 완전 대응</t>
  </si>
  <si>
    <t>ISMP 요구사항 전반 적정 제시 여부</t>
  </si>
  <si>
    <t>20P</t>
  </si>
  <si>
    <t>복합형</t>
  </si>
  <si>
    <t>컨설팅요구사항 배점 20점 (최대). 아래 세부항목 참조</t>
  </si>
  <si>
    <t>현황분석 체계
(업무·시스템·데이터·인프라)</t>
  </si>
  <si>
    <t>업무·시스템·데이터·인프라 4개 관점 AS-IS 현황 분석 방법론 제시. 현장인터뷰·설문·문서분석 병행.</t>
  </si>
  <si>
    <t>CNR-001
CNR-002</t>
  </si>
  <si>
    <t>체계적 4관점 AS-IS 분석</t>
  </si>
  <si>
    <t>분석 범위·방법 적절성</t>
  </si>
  <si>
    <t>4분면 분석형</t>
  </si>
  <si>
    <t>업무 프로세스 혁신방안
(PDA·반출입·정산·전자문서·특송)</t>
  </si>
  <si>
    <t>수작업(엑셀·이메일·오프라인) 업무 자동화, 지사별 업무 표준화. CDMS/WMS 통합 방향. CNR-006·007·011·012 대응.</t>
  </si>
  <si>
    <t>CNR-006
CNR-007
CNR-011
CNR-012</t>
  </si>
  <si>
    <t>현장 수작업→자동화 표준 프로세스</t>
  </si>
  <si>
    <t>업무 개선 구체성, 실현가능성</t>
  </si>
  <si>
    <t>As-Is/To-Be형</t>
  </si>
  <si>
    <t>통합 아키텍처 설계
★기술점수 핵심</t>
  </si>
  <si>
    <t>EA 관점 4계층(Business/Application/Data/Infrastructure) 통합 설계.
반드시 포함: Business Layer(반입·반출·정산·통계) / Application Layer(Portal·Workflow·API Hub) / Data Layer(MDM·DW) / Infrastructure Layer(Cloud·Security).
WEB-WAS-DB 3-Tier 전환. CNR-003·004·005·009 대응.</t>
  </si>
  <si>
    <t>CNR-003
CNR-004
CNR-005
CNR-009</t>
  </si>
  <si>
    <t>EA 기반 통합 플랫폼 아키텍처</t>
  </si>
  <si>
    <t>아키텍처 역량, 4계층 구성 완전성</t>
  </si>
  <si>
    <t>아키텍처
다이어그램형</t>
  </si>
  <si>
    <t>★4계층 아키텍처 다이어그램 필수</t>
  </si>
  <si>
    <t>WMS·CDMS 통합 모델</t>
  </si>
  <si>
    <t>인천공항·인천항 특송센터 WMS 특화 기능 식별. 전국 지사 WMS 기능 표준화 모델 도출. WMS↔CDMS 연계 구조 분석. CNR-011 대응.</t>
  </si>
  <si>
    <t>WMS·CDMS 표준화 통합 모델</t>
  </si>
  <si>
    <t>현행 WMS 이해도, 통합 방향 구체성</t>
  </si>
  <si>
    <t>비교분석형</t>
  </si>
  <si>
    <t>전자문서 통합체계
(관세청 송수신)</t>
  </si>
  <si>
    <t>관세청 40여종 보세화물 반출입 전자문서 처리체계 분석. FTP 기반→API 방식 전환 방안. 특송업체 반입예정정보 수신 인터페이스 전환. CNR-009·014 대응.</t>
  </si>
  <si>
    <t>CNR-009
CNR-014</t>
  </si>
  <si>
    <t>관세청 전자문서 API 기반 통합</t>
  </si>
  <si>
    <t>관세 전자문서 이해도, FTP→API 전환 방안</t>
  </si>
  <si>
    <t>프로세스형</t>
  </si>
  <si>
    <t>6</t>
  </si>
  <si>
    <t>통계·보고체계 혁신</t>
  </si>
  <si>
    <t>수작업 보고서→자동생성 체계. 징수일보·물동량 등 정형보고서 표준화. ERP 연계 현황 분석. CNR-013 대응.</t>
  </si>
  <si>
    <t>자동화 기반 통계·보고 혁신</t>
  </si>
  <si>
    <t>보고 자동화 방안 구체성</t>
  </si>
  <si>
    <t>7</t>
  </si>
  <si>
    <t>요율관리 혁신방안</t>
  </si>
  <si>
    <t>지정장치장별 요율 현황·산정기준 분석. DB프로시저 의존 구조→사용자 기반 관리 전환. CNR-015 대응.</t>
  </si>
  <si>
    <t>사용자 주도 요율 관리 체계</t>
  </si>
  <si>
    <t>요율 관리 문제 인식, 개선방안</t>
  </si>
  <si>
    <t>개선방안형</t>
  </si>
  <si>
    <t>8</t>
  </si>
  <si>
    <t>Legacy Migration 전략</t>
  </si>
  <si>
    <t>PowerBuilder 마이그레이션 대상 분류(재사용·재개발·폐기). 리호스팅·리플랫폼·리아키텍팅 비교. 단계적 전환 우선순위. CNR-016 대응.</t>
  </si>
  <si>
    <t>단계적 Legacy Migration 전략</t>
  </si>
  <si>
    <t>마이그레이션 리스크 통제 방안</t>
  </si>
  <si>
    <t>로드맵형</t>
  </si>
  <si>
    <t>9</t>
  </si>
  <si>
    <t>차세대 구축 로드맵 및 본사업 RFP 작성
★산출물 최고 중요</t>
  </si>
  <si>
    <t>단계별 추진 로드맵 수립 및 소요 예산 산정.
본사업 RFP 작성: 공공 SW사업 RFP 작성 매뉴얼 준수. 입찰공고문·제안안내서·기술제안요청서·산출근거 자료 포함. FP 기반 사업비 산정. CNR-017 대응.</t>
  </si>
  <si>
    <t>CNR-002
CNR-017</t>
  </si>
  <si>
    <t>실행 가능한 재구축 RFP 작성 역량</t>
  </si>
  <si>
    <t>RFP 완성도·실현가능성, 사업비 산정 근거</t>
  </si>
  <si>
    <t>★CNR-017: 산출물 중 최고 중요도</t>
  </si>
  <si>
    <t>보안 요구사항</t>
  </si>
  <si>
    <t>보안 요구사항 분석 및 적용할 보안기술·표준·제안방안 구체적으로 제시.
【포함 내용】
① 보안관리 체계: ISMS-P 수준 보안 설계. 착수 시 보안서약서 제출. 보안교육 계획.
② 개인정보보호 체계: 개인정보보호법 준수. 화물 수취인 개인정보 처리 절차.
③ 투입인력·자료·저장매체·계약종료 후 보안관리 (SER-001~006 전체 대응)</t>
  </si>
  <si>
    <t>SER-001~006</t>
  </si>
  <si>
    <t>ISMS-P 수준 관세·물류 데이터 보안</t>
  </si>
  <si>
    <t>보안 방안 구체성·적정성, 법 준수</t>
  </si>
  <si>
    <t>보안체계도형</t>
  </si>
  <si>
    <t>SER-001~006 전체 대응 필수</t>
  </si>
  <si>
    <t>관련 제약사항과 대응방안을 구체적으로 기술.
① COR-001 표준 준수: 개인정보보호법 등 관련 법령·지침·정부 정책 준수
② COR-002 지식재산권: 산출물 지식재산권 귀속(발주기관·제안사 공동소유 원칙)</t>
  </si>
  <si>
    <t>COR-001
COR-002</t>
  </si>
  <si>
    <t>2점
(정성)</t>
  </si>
  <si>
    <t>법·제도 전면 컴플라이언스</t>
  </si>
  <si>
    <t>제약사항 인식 및 준수방안 구체성</t>
  </si>
  <si>
    <t>체크리스트형</t>
  </si>
  <si>
    <t>데이터 요구사항</t>
  </si>
  <si>
    <t>데이터 요구사항 분석 및 표준화 대상·방안 구체적으로 기술.
【포함 내용】
① 데이터 표준화 전략 (DAR-001~002): 단어·용어·도메인 표준 목표모델, One Data Standard
② 데이터 구조 혁신 (DAR-003~006): 개념·논리·물리 모델, 반복 오류 개선, 메타데이터 관리
③ 데이터 이관 전략 ★(DAR-007/CNR-010): Zero Data Loss, GAP분석서·매핑정의서·이관프로그램, 개인정보 보호방안, 백업·복구방안</t>
  </si>
  <si>
    <t>DAR-001~007
CNR-010</t>
  </si>
  <si>
    <t>8점
(정성)</t>
  </si>
  <si>
    <t>One Data Standard + Zero Data Loss</t>
  </si>
  <si>
    <t>데이터 표준 방법론, 이관 리스크 통제력</t>
  </si>
  <si>
    <t>7P</t>
  </si>
  <si>
    <t>데이터표준체계
+ 프로세스형</t>
  </si>
  <si>
    <t>★DAR-007(데이터이관): 위험도 최고 / 평가위원 집중 검토</t>
  </si>
  <si>
    <t>품질 요구사항</t>
  </si>
  <si>
    <t>품질 요구사항 분석 및 품질관리 대상·품질 목표 구체적으로 기술.
① QUR-001 품질관리 계획 수립: 품질보증 계획·범위·조직·절차·점검방법
② QUR-002 산출물 품질관리: 산출물 제출·검토·보완 결과 관리, 일정계획 연계
③ QUR-003 프로젝트 품질관리: 사업추진 전반 품질 책임, 주관기관 지침 준수</t>
  </si>
  <si>
    <t>QUR-001~003</t>
  </si>
  <si>
    <t>품질 내재화 QA Cycle</t>
  </si>
  <si>
    <t>품질관리 구체성·체계성, 단계별 점검방안</t>
  </si>
  <si>
    <t>QA Cycle형</t>
  </si>
  <si>
    <t>Ⅳ. 프로젝트 관리   |   정성평가 20점 (관리방법론 5점 + 관리역량 5점 + 일정계획 10점)</t>
  </si>
  <si>
    <t>Ⅳ</t>
  </si>
  <si>
    <t>사업 전체를 일관된 목표와 방향으로 진행시킬 수 있는 관리방법·구성도·체계 제시.
【포함 내용】
① 사업위험 관리: 위험 식별·분류·통제·추적 (PMR-007)
② 사업진도 관리: 진도 모니터링·보고체계 (PMR-006)
③ 보안 관리: 사업수행 중 정보보안 계획 (PMR-010·011)
④ 형상 및 문서 관리: 산출물 형상관리·버전관리 (PMR-008)
⑤ 요구사항 추적 관리: 기능·비기능 요구사항 추적표 (PMR-002)</t>
  </si>
  <si>
    <t>PMR-002
PMR-006
PMR-007
PMR-008
PMR-010
PMR-011</t>
  </si>
  <si>
    <t>통합 PM 방법론 체계 (위험·진도·보안·형상)</t>
  </si>
  <si>
    <t>PM 방법론 완성도, 리스크 통제 구체성</t>
  </si>
  <si>
    <t>4P</t>
  </si>
  <si>
    <t>체계도형</t>
  </si>
  <si>
    <t>프로젝트관리 전체 20점</t>
  </si>
  <si>
    <t>관리역량</t>
  </si>
  <si>
    <t>PM의 타 프로젝트 사업관리 실적·유사 프로젝트 관리 경험·의사소통 능력 등 컨설팅 수행 역량 제시.
★PM 자격: 최근 5년 유사사업(ISP/PI/ISMP) PM 수행 경험 1회 이상, 입찰공고일 기준 입찰참가업체 재직 중.</t>
  </si>
  <si>
    <t>PMR-001
PMR-003</t>
  </si>
  <si>
    <t>검증된 ISP PM 경험 및 현장 소통 역량</t>
  </si>
  <si>
    <t>PM 경험 실증성, 의사소통 계획 구체성</t>
  </si>
  <si>
    <t>역량표형</t>
  </si>
  <si>
    <t>발주자와의 소통계획(상주여부 등) 명시</t>
  </si>
  <si>
    <t>사업수행에 필요한 활동을 도출하여 정확한 활동기간·자원·인력·조직 제시.
★90일(M1~M3) 내 완수 WBS 상세 기술.
병렬 인터뷰 및 현장조사 일정 포함(10개 지사·28개 지정장치장).
보고일정: 착수보고(착수 후 10일 이내)·월간보고(매월)·중간보고·완료보고(완료 후 14일 이내).</t>
  </si>
  <si>
    <t>PMR-005
PMR-009</t>
  </si>
  <si>
    <t>90일 실행 가능한 병렬 수행 상세 일정</t>
  </si>
  <si>
    <t>일정 현실성, 병렬 수행 계획, 현장조사 일정</t>
  </si>
  <si>
    <t>간트차트형</t>
  </si>
  <si>
    <t>★일정계획 배점 10점 (프로젝트관리 내 최대)</t>
  </si>
  <si>
    <t>Ⅴ. 프로젝트 지원   |   정성평가 10점 (하자보증 5점 + 교육·기술지원 3점 + 사업지원 2점)</t>
  </si>
  <si>
    <t>Ⅴ</t>
  </si>
  <si>
    <t>컨설팅 결과물에 대해 사업 종료 이후 하자보증 방안 제시.
하자보증 범위·기간·방법 명시. PSR-001 대응.</t>
  </si>
  <si>
    <t>실질적·구체적 하자보증 체계</t>
  </si>
  <si>
    <t>보증 방안 적절성·구체성</t>
  </si>
  <si>
    <t>프로젝트지원 전체 10점</t>
  </si>
  <si>
    <t>교육훈련 및 기술지원</t>
  </si>
  <si>
    <t>정보화 담당자·업무 담당자로 구분하여 교육훈련 방법·내용·일정·조직 상세 제시.
본 사업 착수 후 주관기관 참여인력에 아키텍처·IT신기술·타사 수행 사업 시사점 전달 교육.
기술이전 대상 목록·방법 등 기술이전 계획 포함. PSR-002 대응.</t>
  </si>
  <si>
    <t>3점
(정성)</t>
  </si>
  <si>
    <t>체계적 기술이전·직무교육 계획</t>
  </si>
  <si>
    <t>교육 방안 구체성, 기술이전 계획 완결성</t>
  </si>
  <si>
    <t>교육계획형</t>
  </si>
  <si>
    <t>후속 사업지원 방안 제시.
본 ISMP 결과물 기반 본사업(화물관리시스템 재구축) 연계 지원 의지 및 방안. PSR-001 대응.</t>
  </si>
  <si>
    <t>본사업 연계 후속 지원 의지</t>
  </si>
  <si>
    <t>후속 지원 방안 적합성·우수성</t>
  </si>
  <si>
    <t>Ⅵ. 기타사항</t>
  </si>
  <si>
    <t>Ⅵ</t>
  </si>
  <si>
    <t>기타사항</t>
  </si>
  <si>
    <t>최종 산출물의 성공적인 이행 및 활용도 제고를 위한 방안 등 상기 항목에서 제시되지 않은 내용 기술.
【권장 내용】
① 제안 차별화 포인트 (WHY US?): 관세·물류 전문성 / ISP 수행역량 / 클라우드 전환 경험 / 데이터 통합 전문성
② 기대효과 (정량: 업무시간 감소·유지관리비 절감 / 정성: 업무표준화·데이터신뢰성·디지털전환기반)</t>
  </si>
  <si>
    <t>4가지 USP 기반 경쟁사 대비 차별화</t>
  </si>
  <si>
    <t>차별화 메시지 명확성, 기대효과 정량화</t>
  </si>
  <si>
    <t>비교표형</t>
  </si>
  <si>
    <t>합계  (기술평가: 정량 10점 + 정성 90점)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</si>
</sst>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5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u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2"/>
      <color rgb="FFCD2605"/>
      <name val="맑은 고딕"/>
      <family val="3"/>
      <charset val="129"/>
    </font>
    <font>
      <b/>
      <sz val="16"/>
      <color rgb="FFCD2605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0"/>
      <color rgb="FFF79646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79646"/>
      <name val="맑은 고딕"/>
      <family val="3"/>
      <charset val="129"/>
    </font>
    <font>
      <b/>
      <sz val="18"/>
      <color rgb="FF00B0F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b/>
      <sz val="13.5"/>
      <color rgb="FF000000"/>
      <name val="맑은 고딕"/>
      <family val="3"/>
      <charset val="129"/>
    </font>
    <font>
      <b/>
      <sz val="16"/>
      <color rgb="FF002060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7F6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9"/>
      <color rgb="FFFFFFF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sz val="8"/>
      <color rgb="FF375623"/>
      <name val="맑은 고딕"/>
      <family val="3"/>
      <charset val="129"/>
    </font>
    <font>
      <sz val="8"/>
      <color rgb="FF595959"/>
      <name val="맑은 고딕"/>
      <family val="3"/>
      <charset val="129"/>
    </font>
    <font>
      <b/>
      <sz val="9"/>
      <color rgb="FF9C6500"/>
      <name val="맑은 고딕"/>
      <family val="3"/>
      <charset val="129"/>
    </font>
    <font>
      <sz val="9"/>
      <color rgb="FF9C6500"/>
      <name val="맑은 고딕"/>
      <family val="3"/>
      <charset val="129"/>
    </font>
    <font>
      <b/>
      <sz val="9"/>
      <color rgb="FF9C0006"/>
      <name val="맑은 고딕"/>
      <family val="3"/>
      <charset val="129"/>
    </font>
    <font>
      <b/>
      <sz val="11"/>
      <color rgb="FF375623"/>
      <name val="맑은 고딕"/>
      <family val="3"/>
      <charset val="129"/>
    </font>
    <font>
      <b/>
      <sz val="11"/>
      <color rgb="FF7F6000"/>
      <name val="맑은 고딕"/>
      <family val="3"/>
      <charset val="129"/>
    </font>
    <font>
      <sz val="9"/>
      <color rgb="FF9C0006"/>
      <name val="맑은 고딕"/>
      <family val="3"/>
      <charset val="129"/>
    </font>
    <font>
      <b/>
      <sz val="11"/>
      <color rgb="FF843C0C"/>
      <name val="맑은 고딕"/>
      <family val="3"/>
      <charset val="129"/>
    </font>
    <font>
      <b/>
      <sz val="11"/>
      <color rgb="FF4C003D"/>
      <name val="맑은 고딕"/>
      <family val="3"/>
      <charset val="129"/>
    </font>
    <font>
      <b/>
      <sz val="11"/>
      <color rgb="FF404040"/>
      <name val="맑은 고딕"/>
      <family val="3"/>
      <charset val="129"/>
    </font>
    <font>
      <b/>
      <sz val="10"/>
      <color rgb="FFFFFFFF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D9CEB2"/>
      </patternFill>
    </fill>
    <fill>
      <patternFill patternType="solid">
        <fgColor rgb="FF7A6A53"/>
      </patternFill>
    </fill>
    <fill>
      <patternFill patternType="solid">
        <fgColor rgb="FFC00000"/>
      </patternFill>
    </fill>
    <fill>
      <patternFill patternType="solid">
        <fgColor rgb="FF99B2B7"/>
      </patternFill>
    </fill>
    <fill>
      <patternFill patternType="solid">
        <fgColor rgb="FFD5DED9"/>
      </patternFill>
    </fill>
    <fill>
      <patternFill patternType="solid">
        <fgColor rgb="FFD99694"/>
      </patternFill>
    </fill>
    <fill>
      <patternFill patternType="solid">
        <fgColor rgb="FFFF5050"/>
      </patternFill>
    </fill>
    <fill>
      <patternFill patternType="solid">
        <fgColor rgb="FFD9D9D9"/>
      </patternFill>
    </fill>
    <fill>
      <patternFill patternType="solid">
        <f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5F5F5"/>
      </patternFill>
    </fill>
    <fill>
      <patternFill patternType="solid">
        <fgColor rgb="FFEEF4FB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4E8A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55A11"/>
      </patternFill>
    </fill>
    <fill>
      <patternFill patternType="solid">
        <fgColor rgb="FFDCE6F1"/>
      </patternFill>
    </fill>
    <fill>
      <patternFill patternType="solid">
        <fgColor rgb="FFEBF5FB"/>
      </patternFill>
    </fill>
    <fill>
      <patternFill patternType="solid">
        <fgColor rgb="FFF7FBFF"/>
      </patternFill>
    </fill>
    <fill>
      <patternFill patternType="solid">
        <fgColor rgb="FFF5F9FF"/>
      </patternFill>
    </fill>
    <fill>
      <patternFill patternType="solid">
        <fgColor rgb="FFFCE4D6"/>
      </patternFill>
    </fill>
    <fill>
      <patternFill patternType="solid">
        <fgColor rgb="FFEAD1DC"/>
      </patternFill>
    </fill>
  </fills>
  <borders count="18">
    <border>
      <left/>
      <right/>
      <top/>
      <bottom/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1" diagonalDown="1">
      <left/>
      <right/>
      <top style="thin">
        <color rgb="FFD9D9D9"/>
      </top>
      <bottom style="thin">
        <color rgb="FFD9D9D9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1" diagonalDown="1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1" diagonalDown="1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1" diagonalDown="1">
      <left style="thin">
        <color rgb="FF808080"/>
      </left>
      <right style="thin">
        <color rgb="FF80808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rgb="FFD9D9D9"/>
      </left>
      <right/>
      <top style="thin">
        <color rgb="FFD9D9D9"/>
      </top>
      <bottom/>
      <diagonal/>
    </border>
    <border diagonalUp="1" diagonalDown="1">
      <left/>
      <right/>
      <top style="thin">
        <color rgb="FFD9D9D9"/>
      </top>
      <bottom/>
      <diagonal/>
    </border>
    <border diagonalUp="1" diagonalDown="1"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ck">
        <color rgb="FF4F81BD"/>
      </bottom>
      <diagonal/>
    </border>
    <border diagonalUp="1" diagonalDown="1">
      <left/>
      <right/>
      <top/>
      <bottom/>
      <diagonal/>
    </border>
    <border>
      <left style="medium">
        <color rgb="FF2E4E8A"/>
      </left>
      <right style="medium">
        <color rgb="FF2E4E8A"/>
      </right>
      <top style="medium">
        <color rgb="FF2E4E8A"/>
      </top>
      <bottom style="medium">
        <color rgb="FF2E4E8A"/>
      </bottom>
      <diagonal/>
    </border>
  </borders>
  <cellStyleXfs count="16">
    <xf numFmtId="0" fontId="0" fillId="0" borderId="0"/>
    <xf numFmtId="0" fontId="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9" fontId="22" fillId="0" borderId="0">
      <alignment vertical="center"/>
    </xf>
    <xf numFmtId="0" fontId="22" fillId="0" borderId="0">
      <alignment vertical="center"/>
    </xf>
    <xf numFmtId="0" fontId="3" fillId="0" borderId="1">
      <alignment vertical="center"/>
    </xf>
    <xf numFmtId="0" fontId="4" fillId="2" borderId="0">
      <alignment vertical="center"/>
    </xf>
    <xf numFmtId="0" fontId="5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" fillId="0" borderId="0"/>
    <xf numFmtId="0" fontId="26" fillId="0" borderId="0" applyNumberFormat="0" applyFill="0" applyBorder="0" applyAlignment="0" applyProtection="0"/>
    <xf numFmtId="0" fontId="29" fillId="0" borderId="0"/>
  </cellStyleXfs>
  <cellXfs count="2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6" fillId="3" borderId="0" xfId="12" applyFont="1" applyFill="1" applyAlignment="1">
      <alignment horizontal="left" vertical="center"/>
    </xf>
    <xf numFmtId="0" fontId="22" fillId="3" borderId="0" xfId="12" applyFill="1" applyProtection="1">
      <alignment vertical="center"/>
      <protection locked="0"/>
    </xf>
    <xf numFmtId="0" fontId="10" fillId="3" borderId="0" xfId="12" applyFont="1" applyFill="1" applyAlignment="1" applyProtection="1">
      <alignment vertical="top"/>
      <protection locked="0"/>
    </xf>
    <xf numFmtId="0" fontId="9" fillId="4" borderId="0" xfId="12" applyFont="1" applyFill="1" applyProtection="1">
      <alignment vertical="center"/>
      <protection locked="0"/>
    </xf>
    <xf numFmtId="0" fontId="11" fillId="4" borderId="0" xfId="12" applyFont="1" applyFill="1" applyAlignment="1" applyProtection="1">
      <alignment horizontal="right" vertical="center"/>
      <protection locked="0"/>
    </xf>
    <xf numFmtId="14" fontId="11" fillId="4" borderId="0" xfId="12" applyNumberFormat="1" applyFont="1" applyFill="1" applyAlignment="1" applyProtection="1">
      <alignment horizontal="left" vertical="center"/>
      <protection locked="0"/>
    </xf>
    <xf numFmtId="14" fontId="12" fillId="4" borderId="0" xfId="12" applyNumberFormat="1" applyFont="1" applyFill="1" applyAlignment="1" applyProtection="1">
      <alignment horizontal="left" vertical="center"/>
      <protection locked="0"/>
    </xf>
    <xf numFmtId="0" fontId="13" fillId="4" borderId="0" xfId="12" applyFont="1" applyFill="1" applyAlignment="1" applyProtection="1">
      <alignment horizontal="center" vertical="center"/>
      <protection hidden="1"/>
    </xf>
    <xf numFmtId="14" fontId="14" fillId="3" borderId="0" xfId="12" applyNumberFormat="1" applyFont="1" applyFill="1" applyProtection="1">
      <alignment vertical="center"/>
      <protection locked="0"/>
    </xf>
    <xf numFmtId="0" fontId="15" fillId="7" borderId="5" xfId="12" applyFont="1" applyFill="1" applyBorder="1" applyAlignment="1" applyProtection="1">
      <alignment horizontal="center" vertical="center"/>
      <protection locked="0"/>
    </xf>
    <xf numFmtId="0" fontId="6" fillId="3" borderId="5" xfId="12" applyFont="1" applyFill="1" applyBorder="1" applyProtection="1">
      <alignment vertical="center"/>
      <protection locked="0"/>
    </xf>
    <xf numFmtId="0" fontId="8" fillId="3" borderId="5" xfId="12" applyFont="1" applyFill="1" applyBorder="1" applyProtection="1">
      <alignment vertical="center"/>
      <protection locked="0"/>
    </xf>
    <xf numFmtId="0" fontId="22" fillId="3" borderId="0" xfId="12" applyFill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9" fontId="22" fillId="0" borderId="4" xfId="4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0" fillId="0" borderId="4" xfId="8" applyFont="1" applyBorder="1" applyAlignment="1">
      <alignment horizontal="left" vertical="center"/>
    </xf>
    <xf numFmtId="0" fontId="22" fillId="0" borderId="4" xfId="9" applyBorder="1">
      <alignment vertical="center"/>
    </xf>
    <xf numFmtId="0" fontId="22" fillId="0" borderId="4" xfId="9" applyBorder="1" applyAlignment="1">
      <alignment horizontal="center" vertical="center"/>
    </xf>
    <xf numFmtId="49" fontId="0" fillId="0" borderId="4" xfId="8" applyNumberFormat="1" applyFont="1" applyBorder="1" applyAlignment="1">
      <alignment horizontal="left" vertical="center"/>
    </xf>
    <xf numFmtId="0" fontId="20" fillId="0" borderId="4" xfId="9" applyFont="1" applyBorder="1" applyAlignment="1">
      <alignment horizontal="center" vertical="center" wrapText="1"/>
    </xf>
    <xf numFmtId="0" fontId="6" fillId="0" borderId="4" xfId="10" applyFont="1" applyBorder="1" applyAlignment="1">
      <alignment vertical="center"/>
    </xf>
    <xf numFmtId="0" fontId="22" fillId="0" borderId="4" xfId="10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1" fillId="0" borderId="4" xfId="8" applyFont="1" applyBorder="1" applyAlignment="1">
      <alignment horizontal="left" vertical="center"/>
    </xf>
    <xf numFmtId="0" fontId="1" fillId="0" borderId="4" xfId="10" applyFont="1" applyBorder="1" applyAlignment="1">
      <alignment vertical="center"/>
    </xf>
    <xf numFmtId="0" fontId="22" fillId="0" borderId="4" xfId="10" applyBorder="1" applyAlignment="1">
      <alignment vertical="center"/>
    </xf>
    <xf numFmtId="49" fontId="1" fillId="0" borderId="4" xfId="8" applyNumberFormat="1" applyFont="1" applyBorder="1" applyAlignment="1">
      <alignment horizontal="left" vertical="center"/>
    </xf>
    <xf numFmtId="0" fontId="8" fillId="0" borderId="4" xfId="9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6" fillId="0" borderId="4" xfId="7" applyFont="1" applyFill="1" applyBorder="1" applyAlignment="1">
      <alignment horizontal="center" vertical="center"/>
    </xf>
    <xf numFmtId="0" fontId="6" fillId="0" borderId="4" xfId="7" quotePrefix="1" applyFont="1" applyFill="1" applyBorder="1" applyAlignment="1">
      <alignment horizontal="center" vertical="center"/>
    </xf>
    <xf numFmtId="0" fontId="6" fillId="0" borderId="4" xfId="7" applyFont="1" applyFill="1" applyBorder="1" applyAlignment="1">
      <alignment horizontal="left" vertical="center"/>
    </xf>
    <xf numFmtId="0" fontId="6" fillId="0" borderId="4" xfId="7" quotePrefix="1" applyFont="1" applyFill="1" applyBorder="1">
      <alignment vertical="center"/>
    </xf>
    <xf numFmtId="0" fontId="6" fillId="0" borderId="4" xfId="7" applyFont="1" applyFill="1" applyBorder="1">
      <alignment vertical="center"/>
    </xf>
    <xf numFmtId="0" fontId="0" fillId="0" borderId="4" xfId="7" applyFont="1" applyFill="1" applyBorder="1" applyAlignment="1">
      <alignment horizontal="center" vertical="center"/>
    </xf>
    <xf numFmtId="9" fontId="6" fillId="0" borderId="4" xfId="7" applyNumberFormat="1" applyFont="1" applyFill="1" applyBorder="1" applyAlignment="1">
      <alignment horizontal="center" vertical="center"/>
    </xf>
    <xf numFmtId="0" fontId="22" fillId="0" borderId="4" xfId="10" applyBorder="1" applyAlignment="1">
      <alignment horizontal="left" vertical="center"/>
    </xf>
    <xf numFmtId="0" fontId="20" fillId="0" borderId="4" xfId="9" applyFont="1" applyBorder="1" applyAlignment="1">
      <alignment vertical="center" wrapText="1"/>
    </xf>
    <xf numFmtId="0" fontId="8" fillId="0" borderId="1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center" vertical="center"/>
    </xf>
    <xf numFmtId="0" fontId="0" fillId="13" borderId="4" xfId="0" applyFill="1" applyBorder="1" applyAlignment="1">
      <alignment vertical="center"/>
    </xf>
    <xf numFmtId="0" fontId="0" fillId="13" borderId="4" xfId="0" applyFill="1" applyBorder="1" applyAlignment="1">
      <alignment horizontal="center" vertical="center"/>
    </xf>
    <xf numFmtId="9" fontId="22" fillId="13" borderId="4" xfId="4" applyFill="1" applyBorder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3" borderId="4" xfId="0" applyFill="1" applyBorder="1" applyAlignment="1">
      <alignment horizontal="left" vertical="center"/>
    </xf>
    <xf numFmtId="0" fontId="17" fillId="13" borderId="4" xfId="9" applyFont="1" applyFill="1" applyBorder="1" applyAlignment="1">
      <alignment horizontal="left" vertical="center" wrapText="1"/>
    </xf>
    <xf numFmtId="0" fontId="20" fillId="13" borderId="4" xfId="9" applyFont="1" applyFill="1" applyBorder="1" applyAlignment="1">
      <alignment horizontal="center" vertical="center" wrapText="1"/>
    </xf>
    <xf numFmtId="0" fontId="24" fillId="13" borderId="4" xfId="0" applyFont="1" applyFill="1" applyBorder="1" applyAlignment="1">
      <alignment horizontal="center" vertical="center"/>
    </xf>
    <xf numFmtId="0" fontId="24" fillId="13" borderId="9" xfId="0" applyFont="1" applyFill="1" applyBorder="1" applyAlignment="1">
      <alignment horizontal="center" vertical="center"/>
    </xf>
    <xf numFmtId="0" fontId="20" fillId="13" borderId="9" xfId="9" applyFont="1" applyFill="1" applyBorder="1" applyAlignment="1">
      <alignment vertical="center" wrapText="1"/>
    </xf>
    <xf numFmtId="0" fontId="25" fillId="14" borderId="13" xfId="0" applyFont="1" applyFill="1" applyBorder="1" applyAlignment="1">
      <alignment horizontal="left" vertical="center" wrapText="1"/>
    </xf>
    <xf numFmtId="0" fontId="25" fillId="15" borderId="13" xfId="0" applyFont="1" applyFill="1" applyBorder="1" applyAlignment="1">
      <alignment horizontal="left" vertical="center" wrapText="1"/>
    </xf>
    <xf numFmtId="0" fontId="25" fillId="15" borderId="14" xfId="0" applyFont="1" applyFill="1" applyBorder="1" applyAlignment="1">
      <alignment horizontal="left" vertical="center" wrapText="1"/>
    </xf>
    <xf numFmtId="0" fontId="25" fillId="14" borderId="9" xfId="0" applyFont="1" applyFill="1" applyBorder="1" applyAlignment="1">
      <alignment horizontal="left" vertical="center" wrapText="1"/>
    </xf>
    <xf numFmtId="0" fontId="26" fillId="0" borderId="4" xfId="14" applyBorder="1" applyAlignment="1">
      <alignment vertical="center" wrapText="1"/>
    </xf>
    <xf numFmtId="0" fontId="1" fillId="0" borderId="4" xfId="0" applyFont="1" applyBorder="1" applyAlignment="1">
      <alignment vertical="center"/>
    </xf>
    <xf numFmtId="49" fontId="0" fillId="0" borderId="9" xfId="8" applyNumberFormat="1" applyFont="1" applyBorder="1" applyAlignment="1">
      <alignment horizontal="left" vertical="center"/>
    </xf>
    <xf numFmtId="0" fontId="20" fillId="0" borderId="4" xfId="10" applyFont="1" applyBorder="1" applyAlignment="1">
      <alignment vertical="center" wrapText="1"/>
    </xf>
    <xf numFmtId="0" fontId="24" fillId="0" borderId="4" xfId="0" applyFont="1" applyBorder="1" applyAlignment="1">
      <alignment horizontal="center" vertical="center"/>
    </xf>
    <xf numFmtId="0" fontId="19" fillId="13" borderId="4" xfId="0" applyFont="1" applyFill="1" applyBorder="1" applyAlignment="1">
      <alignment horizontal="center" vertical="center"/>
    </xf>
    <xf numFmtId="0" fontId="0" fillId="16" borderId="4" xfId="0" applyFill="1" applyBorder="1" applyAlignment="1">
      <alignment horizontal="left" vertical="center"/>
    </xf>
    <xf numFmtId="0" fontId="6" fillId="16" borderId="4" xfId="0" applyFont="1" applyFill="1" applyBorder="1" applyAlignment="1">
      <alignment vertical="center"/>
    </xf>
    <xf numFmtId="0" fontId="0" fillId="16" borderId="4" xfId="8" applyFont="1" applyFill="1" applyBorder="1" applyAlignment="1">
      <alignment horizontal="left" vertical="center"/>
    </xf>
    <xf numFmtId="0" fontId="22" fillId="16" borderId="4" xfId="9" applyFill="1" applyBorder="1">
      <alignment vertical="center"/>
    </xf>
    <xf numFmtId="0" fontId="22" fillId="16" borderId="4" xfId="9" applyFill="1" applyBorder="1" applyAlignment="1">
      <alignment horizontal="center" vertical="center"/>
    </xf>
    <xf numFmtId="0" fontId="20" fillId="16" borderId="4" xfId="9" applyFont="1" applyFill="1" applyBorder="1" applyAlignment="1">
      <alignment vertical="center" wrapText="1"/>
    </xf>
    <xf numFmtId="0" fontId="19" fillId="16" borderId="4" xfId="0" applyFont="1" applyFill="1" applyBorder="1" applyAlignment="1">
      <alignment vertical="center"/>
    </xf>
    <xf numFmtId="0" fontId="0" fillId="16" borderId="4" xfId="0" applyFill="1" applyBorder="1" applyAlignment="1">
      <alignment horizontal="center" vertical="center"/>
    </xf>
    <xf numFmtId="0" fontId="0" fillId="16" borderId="4" xfId="0" applyFill="1" applyBorder="1" applyAlignment="1">
      <alignment vertical="center"/>
    </xf>
    <xf numFmtId="9" fontId="22" fillId="16" borderId="4" xfId="4" applyFill="1" applyBorder="1" applyAlignment="1">
      <alignment horizontal="center" vertical="center"/>
    </xf>
    <xf numFmtId="0" fontId="0" fillId="16" borderId="0" xfId="0" applyFill="1" applyAlignment="1">
      <alignment vertical="center"/>
    </xf>
    <xf numFmtId="0" fontId="22" fillId="16" borderId="4" xfId="10" applyFill="1" applyBorder="1" applyAlignment="1">
      <alignment horizontal="left" vertical="center"/>
    </xf>
    <xf numFmtId="0" fontId="6" fillId="16" borderId="4" xfId="10" applyFont="1" applyFill="1" applyBorder="1" applyAlignment="1">
      <alignment vertical="center"/>
    </xf>
    <xf numFmtId="0" fontId="1" fillId="16" borderId="4" xfId="10" applyFont="1" applyFill="1" applyBorder="1" applyAlignment="1">
      <alignment vertical="center"/>
    </xf>
    <xf numFmtId="0" fontId="22" fillId="16" borderId="4" xfId="10" applyFill="1" applyBorder="1" applyAlignment="1">
      <alignment vertical="center"/>
    </xf>
    <xf numFmtId="0" fontId="22" fillId="16" borderId="4" xfId="10" applyFill="1" applyBorder="1" applyAlignment="1">
      <alignment horizontal="center" vertical="center"/>
    </xf>
    <xf numFmtId="0" fontId="0" fillId="16" borderId="9" xfId="0" applyFill="1" applyBorder="1" applyAlignment="1">
      <alignment vertical="center"/>
    </xf>
    <xf numFmtId="49" fontId="1" fillId="16" borderId="4" xfId="8" applyNumberFormat="1" applyFont="1" applyFill="1" applyBorder="1" applyAlignment="1">
      <alignment horizontal="left" vertical="center"/>
    </xf>
    <xf numFmtId="49" fontId="0" fillId="16" borderId="4" xfId="8" applyNumberFormat="1" applyFont="1" applyFill="1" applyBorder="1" applyAlignment="1">
      <alignment horizontal="left" vertical="center"/>
    </xf>
    <xf numFmtId="0" fontId="6" fillId="16" borderId="4" xfId="10" applyFont="1" applyFill="1" applyBorder="1" applyAlignment="1">
      <alignment horizontal="left" vertical="center"/>
    </xf>
    <xf numFmtId="0" fontId="6" fillId="16" borderId="4" xfId="10" applyFont="1" applyFill="1" applyBorder="1" applyAlignment="1">
      <alignment horizontal="center" vertical="center"/>
    </xf>
    <xf numFmtId="0" fontId="9" fillId="16" borderId="4" xfId="10" applyFont="1" applyFill="1" applyBorder="1" applyAlignment="1">
      <alignment vertical="center"/>
    </xf>
    <xf numFmtId="0" fontId="19" fillId="16" borderId="4" xfId="10" applyFont="1" applyFill="1" applyBorder="1" applyAlignment="1">
      <alignment horizontal="center" vertical="center"/>
    </xf>
    <xf numFmtId="0" fontId="6" fillId="16" borderId="0" xfId="0" applyFont="1" applyFill="1" applyAlignment="1">
      <alignment vertical="center"/>
    </xf>
    <xf numFmtId="0" fontId="6" fillId="16" borderId="4" xfId="0" applyFont="1" applyFill="1" applyBorder="1" applyAlignment="1">
      <alignment horizontal="left" vertical="center"/>
    </xf>
    <xf numFmtId="0" fontId="6" fillId="16" borderId="4" xfId="0" applyFont="1" applyFill="1" applyBorder="1" applyAlignment="1">
      <alignment horizontal="center" vertical="center"/>
    </xf>
    <xf numFmtId="0" fontId="18" fillId="16" borderId="4" xfId="0" applyFon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 wrapText="1"/>
    </xf>
    <xf numFmtId="0" fontId="1" fillId="16" borderId="4" xfId="8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7" fillId="3" borderId="9" xfId="13" applyFont="1" applyFill="1" applyBorder="1" applyAlignment="1" applyProtection="1">
      <alignment horizontal="center" vertical="center"/>
      <protection locked="0"/>
    </xf>
    <xf numFmtId="0" fontId="7" fillId="0" borderId="9" xfId="13" applyFont="1" applyBorder="1" applyAlignment="1" applyProtection="1">
      <alignment vertical="center"/>
      <protection locked="0"/>
    </xf>
    <xf numFmtId="0" fontId="7" fillId="0" borderId="9" xfId="13" applyFont="1" applyBorder="1" applyAlignment="1" applyProtection="1">
      <alignment vertical="center" wrapText="1"/>
      <protection locked="0"/>
    </xf>
    <xf numFmtId="0" fontId="7" fillId="12" borderId="9" xfId="13" applyFont="1" applyFill="1" applyBorder="1" applyAlignment="1" applyProtection="1">
      <alignment horizontal="center" vertical="center"/>
      <protection locked="0"/>
    </xf>
    <xf numFmtId="0" fontId="7" fillId="17" borderId="9" xfId="13" applyFont="1" applyFill="1" applyBorder="1" applyAlignment="1" applyProtection="1">
      <alignment horizontal="center" vertical="center"/>
      <protection locked="0"/>
    </xf>
    <xf numFmtId="0" fontId="7" fillId="0" borderId="9" xfId="13" applyFont="1" applyBorder="1" applyAlignment="1" applyProtection="1">
      <alignment horizontal="center" vertical="center"/>
      <protection locked="0"/>
    </xf>
    <xf numFmtId="0" fontId="7" fillId="13" borderId="9" xfId="13" applyFont="1" applyFill="1" applyBorder="1" applyAlignment="1" applyProtection="1">
      <alignment horizontal="center" vertical="center"/>
      <protection locked="0"/>
    </xf>
    <xf numFmtId="0" fontId="11" fillId="4" borderId="16" xfId="12" applyFont="1" applyFill="1" applyBorder="1" applyAlignment="1" applyProtection="1">
      <alignment horizontal="right" vertical="center"/>
      <protection locked="0"/>
    </xf>
    <xf numFmtId="14" fontId="12" fillId="4" borderId="16" xfId="12" applyNumberFormat="1" applyFont="1" applyFill="1" applyBorder="1" applyAlignment="1" applyProtection="1">
      <alignment horizontal="left" vertical="center"/>
      <protection locked="0"/>
    </xf>
    <xf numFmtId="0" fontId="11" fillId="4" borderId="16" xfId="12" applyFont="1" applyFill="1" applyBorder="1" applyAlignment="1" applyProtection="1">
      <alignment horizontal="left" vertical="center"/>
      <protection locked="0"/>
    </xf>
    <xf numFmtId="0" fontId="15" fillId="5" borderId="4" xfId="13" applyFont="1" applyFill="1" applyBorder="1" applyAlignment="1" applyProtection="1">
      <alignment horizontal="center" vertical="center"/>
      <protection locked="0"/>
    </xf>
    <xf numFmtId="0" fontId="15" fillId="6" borderId="4" xfId="13" applyFont="1" applyFill="1" applyBorder="1" applyAlignment="1" applyProtection="1">
      <alignment horizontal="center" vertical="center"/>
      <protection locked="0"/>
    </xf>
    <xf numFmtId="0" fontId="9" fillId="8" borderId="4" xfId="12" applyFont="1" applyFill="1" applyBorder="1" applyAlignment="1" applyProtection="1">
      <alignment horizontal="center" vertical="center"/>
      <protection locked="0"/>
    </xf>
    <xf numFmtId="176" fontId="8" fillId="4" borderId="4" xfId="13" applyNumberFormat="1" applyFont="1" applyFill="1" applyBorder="1" applyAlignment="1" applyProtection="1">
      <alignment horizontal="center" vertical="center"/>
      <protection locked="0"/>
    </xf>
    <xf numFmtId="176" fontId="8" fillId="9" borderId="4" xfId="13" applyNumberFormat="1" applyFont="1" applyFill="1" applyBorder="1" applyAlignment="1" applyProtection="1">
      <alignment horizontal="center" vertical="center"/>
      <protection locked="0"/>
    </xf>
    <xf numFmtId="0" fontId="9" fillId="8" borderId="9" xfId="12" applyFont="1" applyFill="1" applyBorder="1" applyAlignment="1" applyProtection="1">
      <alignment horizontal="center" vertical="center"/>
      <protection locked="0"/>
    </xf>
    <xf numFmtId="0" fontId="7" fillId="3" borderId="4" xfId="13" applyFont="1" applyFill="1" applyBorder="1" applyAlignment="1" applyProtection="1">
      <alignment horizontal="center" vertical="center"/>
      <protection locked="0"/>
    </xf>
    <xf numFmtId="0" fontId="7" fillId="3" borderId="4" xfId="13" applyFont="1" applyFill="1" applyBorder="1" applyAlignment="1" applyProtection="1">
      <alignment horizontal="left" vertical="center"/>
      <protection locked="0"/>
    </xf>
    <xf numFmtId="0" fontId="16" fillId="3" borderId="4" xfId="13" applyFont="1" applyFill="1" applyBorder="1" applyAlignment="1" applyProtection="1">
      <alignment horizontal="center" vertical="center"/>
      <protection locked="0"/>
    </xf>
    <xf numFmtId="176" fontId="8" fillId="10" borderId="4" xfId="13" applyNumberFormat="1" applyFont="1" applyFill="1" applyBorder="1" applyAlignment="1" applyProtection="1">
      <alignment horizontal="center" vertical="center"/>
      <protection locked="0"/>
    </xf>
    <xf numFmtId="0" fontId="8" fillId="8" borderId="4" xfId="12" applyFont="1" applyFill="1" applyBorder="1" applyAlignment="1" applyProtection="1">
      <alignment horizontal="center" vertical="center"/>
      <protection locked="0"/>
    </xf>
    <xf numFmtId="0" fontId="7" fillId="11" borderId="4" xfId="13" applyFont="1" applyFill="1" applyBorder="1" applyAlignment="1" applyProtection="1">
      <alignment horizontal="center" vertical="center"/>
      <protection locked="0"/>
    </xf>
    <xf numFmtId="0" fontId="7" fillId="11" borderId="4" xfId="13" applyFont="1" applyFill="1" applyBorder="1" applyAlignment="1" applyProtection="1">
      <alignment horizontal="left" vertical="center"/>
      <protection locked="0"/>
    </xf>
    <xf numFmtId="0" fontId="7" fillId="13" borderId="4" xfId="13" applyFont="1" applyFill="1" applyBorder="1" applyAlignment="1" applyProtection="1">
      <alignment horizontal="center" vertical="center"/>
      <protection locked="0"/>
    </xf>
    <xf numFmtId="0" fontId="22" fillId="11" borderId="9" xfId="12" applyFill="1" applyBorder="1" applyProtection="1">
      <alignment vertical="center"/>
      <protection locked="0"/>
    </xf>
    <xf numFmtId="0" fontId="1" fillId="16" borderId="4" xfId="0" applyFont="1" applyFill="1" applyBorder="1" applyAlignment="1">
      <alignment vertical="center"/>
    </xf>
    <xf numFmtId="0" fontId="1" fillId="16" borderId="9" xfId="0" applyFont="1" applyFill="1" applyBorder="1" applyAlignment="1">
      <alignment vertical="center"/>
    </xf>
    <xf numFmtId="0" fontId="0" fillId="18" borderId="4" xfId="0" applyFill="1" applyBorder="1" applyAlignment="1">
      <alignment horizontal="left" vertical="center"/>
    </xf>
    <xf numFmtId="0" fontId="6" fillId="18" borderId="4" xfId="0" applyFont="1" applyFill="1" applyBorder="1" applyAlignment="1">
      <alignment vertical="center"/>
    </xf>
    <xf numFmtId="0" fontId="18" fillId="18" borderId="4" xfId="8" applyFont="1" applyFill="1" applyBorder="1" applyAlignment="1">
      <alignment horizontal="left" vertical="center"/>
    </xf>
    <xf numFmtId="0" fontId="0" fillId="18" borderId="4" xfId="8" applyFont="1" applyFill="1" applyBorder="1" applyAlignment="1">
      <alignment horizontal="left" vertical="center"/>
    </xf>
    <xf numFmtId="0" fontId="22" fillId="18" borderId="4" xfId="9" applyFill="1" applyBorder="1">
      <alignment vertical="center"/>
    </xf>
    <xf numFmtId="0" fontId="22" fillId="18" borderId="4" xfId="10" applyFill="1" applyBorder="1" applyAlignment="1">
      <alignment vertical="center"/>
    </xf>
    <xf numFmtId="0" fontId="20" fillId="18" borderId="4" xfId="9" applyFont="1" applyFill="1" applyBorder="1" applyAlignment="1">
      <alignment vertical="center" wrapText="1"/>
    </xf>
    <xf numFmtId="0" fontId="19" fillId="18" borderId="4" xfId="0" applyFont="1" applyFill="1" applyBorder="1" applyAlignment="1">
      <alignment vertical="center"/>
    </xf>
    <xf numFmtId="0" fontId="0" fillId="18" borderId="4" xfId="0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/>
    </xf>
    <xf numFmtId="9" fontId="22" fillId="18" borderId="4" xfId="4" applyFill="1" applyBorder="1" applyAlignment="1">
      <alignment horizontal="center" vertical="center"/>
    </xf>
    <xf numFmtId="0" fontId="0" fillId="18" borderId="0" xfId="0" applyFill="1" applyAlignment="1">
      <alignment vertical="center"/>
    </xf>
    <xf numFmtId="0" fontId="22" fillId="0" borderId="0" xfId="9">
      <alignment vertical="center"/>
    </xf>
    <xf numFmtId="0" fontId="22" fillId="0" borderId="0" xfId="9" applyAlignment="1">
      <alignment horizontal="center" vertical="center"/>
    </xf>
    <xf numFmtId="0" fontId="6" fillId="13" borderId="9" xfId="0" applyFont="1" applyFill="1" applyBorder="1"/>
    <xf numFmtId="0" fontId="0" fillId="13" borderId="9" xfId="0" applyFill="1" applyBorder="1"/>
    <xf numFmtId="0" fontId="1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6" fillId="19" borderId="9" xfId="0" applyFont="1" applyFill="1" applyBorder="1" applyAlignment="1">
      <alignment horizontal="center" vertical="center" wrapText="1"/>
    </xf>
    <xf numFmtId="0" fontId="29" fillId="0" borderId="0" xfId="15"/>
    <xf numFmtId="0" fontId="31" fillId="24" borderId="13" xfId="15" applyFont="1" applyFill="1" applyBorder="1" applyAlignment="1">
      <alignment horizontal="center" vertical="center" wrapText="1"/>
    </xf>
    <xf numFmtId="0" fontId="32" fillId="0" borderId="13" xfId="15" applyFont="1" applyBorder="1" applyAlignment="1">
      <alignment horizontal="center" vertical="center" wrapText="1"/>
    </xf>
    <xf numFmtId="0" fontId="25" fillId="0" borderId="13" xfId="15" applyFont="1" applyBorder="1" applyAlignment="1">
      <alignment horizontal="left" vertical="center" wrapText="1"/>
    </xf>
    <xf numFmtId="0" fontId="33" fillId="25" borderId="13" xfId="15" applyFont="1" applyFill="1" applyBorder="1" applyAlignment="1">
      <alignment horizontal="center" vertical="center" wrapText="1"/>
    </xf>
    <xf numFmtId="0" fontId="34" fillId="0" borderId="13" xfId="15" applyFont="1" applyBorder="1" applyAlignment="1">
      <alignment horizontal="center" vertical="center" wrapText="1"/>
    </xf>
    <xf numFmtId="0" fontId="35" fillId="0" borderId="13" xfId="15" applyFont="1" applyBorder="1" applyAlignment="1">
      <alignment horizontal="center" vertical="center" wrapText="1"/>
    </xf>
    <xf numFmtId="0" fontId="15" fillId="6" borderId="0" xfId="15" applyFont="1" applyFill="1" applyAlignment="1">
      <alignment horizontal="center" vertical="center" wrapText="1"/>
    </xf>
    <xf numFmtId="0" fontId="25" fillId="0" borderId="13" xfId="15" applyFont="1" applyBorder="1" applyAlignment="1">
      <alignment horizontal="center" vertical="center" wrapText="1"/>
    </xf>
    <xf numFmtId="0" fontId="25" fillId="21" borderId="13" xfId="15" applyFont="1" applyFill="1" applyBorder="1" applyAlignment="1">
      <alignment horizontal="center" vertical="center" wrapText="1"/>
    </xf>
    <xf numFmtId="0" fontId="25" fillId="14" borderId="13" xfId="15" applyFont="1" applyFill="1" applyBorder="1" applyAlignment="1">
      <alignment horizontal="center" vertical="center" wrapText="1"/>
    </xf>
    <xf numFmtId="0" fontId="25" fillId="14" borderId="13" xfId="15" applyFont="1" applyFill="1" applyBorder="1" applyAlignment="1">
      <alignment horizontal="left" vertical="center" wrapText="1"/>
    </xf>
    <xf numFmtId="0" fontId="25" fillId="26" borderId="13" xfId="15" applyFont="1" applyFill="1" applyBorder="1" applyAlignment="1">
      <alignment horizontal="center" vertical="center" wrapText="1"/>
    </xf>
    <xf numFmtId="0" fontId="32" fillId="20" borderId="13" xfId="15" applyFont="1" applyFill="1" applyBorder="1" applyAlignment="1">
      <alignment horizontal="center" vertical="center" wrapText="1"/>
    </xf>
    <xf numFmtId="0" fontId="31" fillId="27" borderId="13" xfId="15" applyFont="1" applyFill="1" applyBorder="1" applyAlignment="1">
      <alignment horizontal="center" vertical="center" wrapText="1"/>
    </xf>
    <xf numFmtId="0" fontId="25" fillId="3" borderId="13" xfId="15" applyFont="1" applyFill="1" applyBorder="1" applyAlignment="1">
      <alignment horizontal="center" vertical="center" wrapText="1"/>
    </xf>
    <xf numFmtId="0" fontId="16" fillId="3" borderId="13" xfId="15" applyFont="1" applyFill="1" applyBorder="1" applyAlignment="1">
      <alignment horizontal="left" vertical="center" wrapText="1"/>
    </xf>
    <xf numFmtId="0" fontId="25" fillId="3" borderId="13" xfId="15" applyFont="1" applyFill="1" applyBorder="1" applyAlignment="1">
      <alignment horizontal="left" vertical="center" wrapText="1"/>
    </xf>
    <xf numFmtId="0" fontId="39" fillId="26" borderId="13" xfId="15" applyFont="1" applyFill="1" applyBorder="1" applyAlignment="1">
      <alignment horizontal="left" vertical="center" wrapText="1"/>
    </xf>
    <xf numFmtId="0" fontId="33" fillId="14" borderId="13" xfId="15" applyFont="1" applyFill="1" applyBorder="1" applyAlignment="1">
      <alignment horizontal="center" vertical="center" wrapText="1"/>
    </xf>
    <xf numFmtId="0" fontId="25" fillId="29" borderId="13" xfId="15" applyFont="1" applyFill="1" applyBorder="1" applyAlignment="1">
      <alignment horizontal="left" vertical="center" wrapText="1"/>
    </xf>
    <xf numFmtId="0" fontId="40" fillId="11" borderId="13" xfId="15" applyFont="1" applyFill="1" applyBorder="1" applyAlignment="1">
      <alignment horizontal="center" vertical="center" wrapText="1"/>
    </xf>
    <xf numFmtId="0" fontId="7" fillId="3" borderId="13" xfId="15" applyFont="1" applyFill="1" applyBorder="1" applyAlignment="1">
      <alignment horizontal="center" vertical="center" wrapText="1"/>
    </xf>
    <xf numFmtId="0" fontId="25" fillId="30" borderId="13" xfId="15" applyFont="1" applyFill="1" applyBorder="1" applyAlignment="1">
      <alignment horizontal="center" vertical="center" wrapText="1"/>
    </xf>
    <xf numFmtId="0" fontId="16" fillId="30" borderId="13" xfId="15" applyFont="1" applyFill="1" applyBorder="1" applyAlignment="1">
      <alignment horizontal="left" vertical="center" wrapText="1"/>
    </xf>
    <xf numFmtId="0" fontId="25" fillId="30" borderId="13" xfId="15" applyFont="1" applyFill="1" applyBorder="1" applyAlignment="1">
      <alignment horizontal="left" vertical="center" wrapText="1"/>
    </xf>
    <xf numFmtId="0" fontId="41" fillId="3" borderId="13" xfId="15" applyFont="1" applyFill="1" applyBorder="1" applyAlignment="1">
      <alignment horizontal="left" vertical="center" wrapText="1"/>
    </xf>
    <xf numFmtId="0" fontId="42" fillId="21" borderId="13" xfId="15" applyFont="1" applyFill="1" applyBorder="1" applyAlignment="1">
      <alignment horizontal="center" vertical="center" wrapText="1"/>
    </xf>
    <xf numFmtId="0" fontId="43" fillId="30" borderId="13" xfId="15" applyFont="1" applyFill="1" applyBorder="1" applyAlignment="1">
      <alignment horizontal="left" vertical="center" wrapText="1"/>
    </xf>
    <xf numFmtId="0" fontId="43" fillId="20" borderId="13" xfId="15" applyFont="1" applyFill="1" applyBorder="1" applyAlignment="1">
      <alignment horizontal="center" vertical="center" wrapText="1"/>
    </xf>
    <xf numFmtId="0" fontId="43" fillId="3" borderId="13" xfId="15" applyFont="1" applyFill="1" applyBorder="1" applyAlignment="1">
      <alignment horizontal="left" vertical="center" wrapText="1"/>
    </xf>
    <xf numFmtId="0" fontId="41" fillId="30" borderId="13" xfId="15" applyFont="1" applyFill="1" applyBorder="1" applyAlignment="1">
      <alignment horizontal="left" vertical="center" wrapText="1"/>
    </xf>
    <xf numFmtId="0" fontId="25" fillId="15" borderId="13" xfId="15" applyFont="1" applyFill="1" applyBorder="1" applyAlignment="1">
      <alignment horizontal="center" vertical="center" wrapText="1"/>
    </xf>
    <xf numFmtId="0" fontId="42" fillId="15" borderId="13" xfId="15" applyFont="1" applyFill="1" applyBorder="1" applyAlignment="1">
      <alignment horizontal="left" vertical="center" wrapText="1"/>
    </xf>
    <xf numFmtId="0" fontId="25" fillId="15" borderId="13" xfId="15" applyFont="1" applyFill="1" applyBorder="1" applyAlignment="1">
      <alignment horizontal="left" vertical="center" wrapText="1"/>
    </xf>
    <xf numFmtId="0" fontId="25" fillId="31" borderId="13" xfId="15" applyFont="1" applyFill="1" applyBorder="1" applyAlignment="1">
      <alignment horizontal="center" vertical="center" wrapText="1"/>
    </xf>
    <xf numFmtId="0" fontId="25" fillId="31" borderId="13" xfId="15" applyFont="1" applyFill="1" applyBorder="1" applyAlignment="1">
      <alignment horizontal="left" vertical="center" wrapText="1"/>
    </xf>
    <xf numFmtId="0" fontId="46" fillId="15" borderId="13" xfId="15" applyFont="1" applyFill="1" applyBorder="1" applyAlignment="1">
      <alignment horizontal="left" vertical="center" wrapText="1"/>
    </xf>
    <xf numFmtId="0" fontId="7" fillId="15" borderId="13" xfId="15" applyFont="1" applyFill="1" applyBorder="1" applyAlignment="1">
      <alignment horizontal="left" vertical="center" wrapText="1"/>
    </xf>
    <xf numFmtId="0" fontId="30" fillId="6" borderId="0" xfId="15" applyFont="1" applyFill="1" applyAlignment="1">
      <alignment horizontal="center" vertical="center" wrapText="1"/>
    </xf>
    <xf numFmtId="0" fontId="29" fillId="23" borderId="0" xfId="15" applyFill="1"/>
    <xf numFmtId="0" fontId="48" fillId="33" borderId="17" xfId="15" applyFont="1" applyFill="1" applyBorder="1" applyAlignment="1">
      <alignment horizontal="left" vertical="center" wrapText="1"/>
    </xf>
    <xf numFmtId="0" fontId="29" fillId="0" borderId="0" xfId="15"/>
    <xf numFmtId="0" fontId="49" fillId="22" borderId="17" xfId="15" applyFont="1" applyFill="1" applyBorder="1" applyAlignment="1">
      <alignment horizontal="left" vertical="center" wrapText="1"/>
    </xf>
    <xf numFmtId="0" fontId="50" fillId="23" borderId="0" xfId="15" applyFont="1" applyFill="1" applyAlignment="1">
      <alignment horizontal="center" vertical="center" wrapText="1"/>
    </xf>
    <xf numFmtId="0" fontId="36" fillId="23" borderId="0" xfId="15" applyFont="1" applyFill="1" applyAlignment="1">
      <alignment horizontal="center" vertical="center" wrapText="1"/>
    </xf>
    <xf numFmtId="0" fontId="37" fillId="24" borderId="0" xfId="15" applyFont="1" applyFill="1" applyAlignment="1">
      <alignment horizontal="center" vertical="center" wrapText="1"/>
    </xf>
    <xf numFmtId="0" fontId="38" fillId="28" borderId="17" xfId="15" applyFont="1" applyFill="1" applyBorder="1" applyAlignment="1">
      <alignment horizontal="left" vertical="center" wrapText="1"/>
    </xf>
    <xf numFmtId="0" fontId="44" fillId="26" borderId="17" xfId="15" applyFont="1" applyFill="1" applyBorder="1" applyAlignment="1">
      <alignment horizontal="left" vertical="center" wrapText="1"/>
    </xf>
    <xf numFmtId="0" fontId="45" fillId="25" borderId="17" xfId="15" applyFont="1" applyFill="1" applyBorder="1" applyAlignment="1">
      <alignment horizontal="left" vertical="center" wrapText="1"/>
    </xf>
    <xf numFmtId="0" fontId="47" fillId="32" borderId="17" xfId="15" applyFont="1" applyFill="1" applyBorder="1" applyAlignment="1">
      <alignment horizontal="left" vertical="center" wrapText="1"/>
    </xf>
    <xf numFmtId="0" fontId="10" fillId="3" borderId="0" xfId="12" applyFont="1" applyFill="1" applyAlignment="1" applyProtection="1">
      <alignment horizontal="center" vertical="top"/>
      <protection locked="0"/>
    </xf>
    <xf numFmtId="0" fontId="9" fillId="8" borderId="4" xfId="12" applyFont="1" applyFill="1" applyBorder="1" applyAlignment="1" applyProtection="1">
      <alignment horizontal="center" vertical="center"/>
      <protection locked="0"/>
    </xf>
    <xf numFmtId="0" fontId="8" fillId="3" borderId="7" xfId="12" applyFont="1" applyFill="1" applyBorder="1" applyAlignment="1" applyProtection="1">
      <alignment horizontal="left" vertical="center" wrapText="1"/>
      <protection locked="0"/>
    </xf>
    <xf numFmtId="0" fontId="8" fillId="3" borderId="8" xfId="12" applyFont="1" applyFill="1" applyBorder="1" applyAlignment="1" applyProtection="1">
      <alignment horizontal="left" vertical="center"/>
      <protection locked="0"/>
    </xf>
    <xf numFmtId="0" fontId="7" fillId="12" borderId="9" xfId="13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6" fillId="13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20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20" fillId="0" borderId="4" xfId="9" applyFont="1" applyBorder="1" applyAlignment="1">
      <alignment horizontal="center" vertical="center" wrapText="1"/>
    </xf>
    <xf numFmtId="0" fontId="21" fillId="0" borderId="15" xfId="6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30" fillId="23" borderId="0" xfId="15" applyFont="1" applyFill="1" applyAlignment="1">
      <alignment horizontal="center" vertical="center" wrapText="1"/>
    </xf>
    <xf numFmtId="0" fontId="15" fillId="23" borderId="0" xfId="15" applyFont="1" applyFill="1" applyAlignment="1">
      <alignment horizontal="center" vertical="center" wrapText="1"/>
    </xf>
  </cellXfs>
  <cellStyles count="16">
    <cellStyle name="백분율" xfId="4" builtinId="5"/>
    <cellStyle name="제목 1" xfId="6" xr:uid="{00000000-0005-0000-0000-000001000000}"/>
    <cellStyle name="좋음" xfId="7" xr:uid="{00000000-0005-0000-0000-000002000000}"/>
    <cellStyle name="표준" xfId="0" builtinId="0"/>
    <cellStyle name="표준 2" xfId="1" xr:uid="{00000000-0005-0000-0000-000004000000}"/>
    <cellStyle name="표준 2 2" xfId="13" xr:uid="{00000000-0005-0000-0000-000005000000}"/>
    <cellStyle name="표준 3" xfId="2" xr:uid="{00000000-0005-0000-0000-000006000000}"/>
    <cellStyle name="표준 3 2" xfId="5" xr:uid="{00000000-0005-0000-0000-000007000000}"/>
    <cellStyle name="표준 3 3" xfId="9" xr:uid="{00000000-0005-0000-0000-000008000000}"/>
    <cellStyle name="표준 4" xfId="3" xr:uid="{00000000-0005-0000-0000-000009000000}"/>
    <cellStyle name="표준 4 4" xfId="11" xr:uid="{00000000-0005-0000-0000-00000A000000}"/>
    <cellStyle name="표준 5" xfId="12" xr:uid="{00000000-0005-0000-0000-00000B000000}"/>
    <cellStyle name="표준 6" xfId="10" xr:uid="{00000000-0005-0000-0000-00000C000000}"/>
    <cellStyle name="표준 7" xfId="8" xr:uid="{00000000-0005-0000-0000-00000D000000}"/>
    <cellStyle name="표준 8" xfId="15" xr:uid="{EDEC685E-A6A1-401A-9864-9C638FC7EBD8}"/>
    <cellStyle name="하이퍼링크" xfId="14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MAIL\INBOX\HSOH\TEMP\IPG0696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oopy\c\WINDOWS\&#48148;&#53461;%20&#54868;&#47732;\&#45236;%20&#49436;&#47448;%20&#44032;&#48169;\alr&#44032;&#44201;&#54364;&#4988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GNG\9&#44277;&#44396;\&#50868;&#48152;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kgmail2.skglobal.com\Documents%20and%20Settings\2009026\My%20Documents\&#44204;&#51201;&#49436;\&#44204;&#51201;&#54268;_SV(200306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MONEY\YES2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49688;\2000&#45380;%20&#49324;&#50857;\My%20Documents\2000&#45380;\&#49324;&#50857;&#47049;%20&#49328;&#51221;,%20&#51221;&#49328;\99&#49324;&#50857;&#47308;%20&#51221;&#49328;%20&#48143;%202000&#45380;%20&#49436;&#48708;&#49828;%20&#44592;&#48376;&#50836;&#44552;%20&#49328;&#51221;\99&#45380;%20&#51221;&#49328;\&#44032;&#44201;&#44208;&#51221;%20&#49345;&#49464;%20-%202000&#45380;%20&#50696;&#49328;&#51089;&#50629;(20.03.28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49688;\2000&#45380;%20&#49324;&#50857;\My%20Documents\2000&#45380;\&#49324;&#50857;&#47049;%20&#49328;&#51221;,%20&#51221;&#49328;\99&#49324;&#50857;&#47308;%20&#51221;&#49328;%20&#48143;%202000&#45380;%20&#49436;&#48708;&#49828;%20&#44592;&#48376;&#50836;&#44552;%20&#49328;&#51221;\2000&#45380;%20&#44592;&#48376;&#50836;&#44552;\back\Baseline(revised4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23\&#44277;&#50976;\PJT-98\W-POHANG\REP\CALC\FINAL\ELE\CAL_POH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gensrv\intra\WINDOWS\TEMP\SUN%20E4500&#44204;&#5120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tp:\152.149.138.130\WINDOWS\TEMP\&#44592;&#51109;&#46020;&#49440;&#44288;&#51204;&#44592;\&#49892;&#49884;&#49444;&#44228;\CAL\POWER&amp;TEL\&#44148;&#52629;&#51204;&#44592;-ko\P-Iso\Calc-St2\ILLU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gen-intra\intra\Documents%20and%20Settings\DooMok\Local%20Settings\Temporary%20Internet%20Files\Content.IE5\PWSNH1CP\&#44204;&#51201;&#54268;_SV(200306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TEMP\ARC95PR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ooMok\Local%20Settings\Temporary%20Internet%20Files\Content.IE5\PWSNH1CP\&#44204;&#51201;&#54268;_SV(200306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29;&#47924;&#54260;&#45908;\1-&#44204;&#51201;&#49436;\1212-SK&#50640;&#45320;&#51648;-&#49436;&#47536;&#48716;&#46377;\080930_SKCC_&#54364;&#51456;&#44204;&#51201;&#49436;_SK%20&#50640;&#45320;&#51648;%20&#49436;&#47536;&#48716;&#463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ement2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PRO"/>
      <sheetName val="MP"/>
      <sheetName val="Q_SMP"/>
      <sheetName val="QUAD6"/>
      <sheetName val="Option"/>
      <sheetName val="회선료"/>
      <sheetName val="DS-최종"/>
      <sheetName val="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장운반(대운반)"/>
      <sheetName val="거리운임표(대운반)"/>
      <sheetName val="운반비산출(소운반)"/>
      <sheetName val="운반비산출 (대운반)"/>
      <sheetName val="9GNG운반"/>
      <sheetName val="토질CODE (2)"/>
      <sheetName val="XXXXXX"/>
      <sheetName val="laroux"/>
      <sheetName val="laroux (2)"/>
      <sheetName val="일위대가"/>
      <sheetName val="pldt"/>
      <sheetName val="표지"/>
      <sheetName val="공사원가"/>
      <sheetName val="예산"/>
      <sheetName val="폐기물"/>
      <sheetName val="공제대"/>
      <sheetName val="공설"/>
      <sheetName val="가설"/>
      <sheetName val="J直材4"/>
      <sheetName val="N賃率-職"/>
      <sheetName val="공사설계서"/>
      <sheetName val=" HIT-&gt;HMC 견적(3900)"/>
      <sheetName val="국내조달(통합-1)"/>
      <sheetName val="복구경비"/>
      <sheetName val="⑻동원인원산출서⑧"/>
      <sheetName val="운반9"/>
      <sheetName val="Supplement2"/>
      <sheetName val="공정코드"/>
      <sheetName val="자재코드"/>
      <sheetName val="내역서"/>
      <sheetName val="신우"/>
      <sheetName val="단가산출"/>
      <sheetName val="투찰"/>
      <sheetName val="한강운반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V"/>
      <sheetName val="OPT"/>
      <sheetName val="Carepaq"/>
      <sheetName val="RACK"/>
      <sheetName val="ML330G2ATA"/>
      <sheetName val="ML330G2SCSI"/>
      <sheetName val="ML350G3"/>
      <sheetName val="ML370G3"/>
      <sheetName val="ML530G2"/>
      <sheetName val="ML570G2"/>
      <sheetName val="DL320"/>
      <sheetName val="DL360G2"/>
      <sheetName val="DL360G3"/>
      <sheetName val="DL380G2"/>
      <sheetName val="DL380G3"/>
      <sheetName val="DL560"/>
      <sheetName val="DL580G2"/>
      <sheetName val="DL740"/>
      <sheetName val="DL760"/>
      <sheetName val="DL760G2"/>
      <sheetName val="서버별 백업"/>
      <sheetName val="유효성 검사용 Sheet (삭제금지)"/>
      <sheetName val="Option"/>
      <sheetName val="Care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경비"/>
      <sheetName val="기타공사비"/>
      <sheetName val="공사비 (2)"/>
      <sheetName val="공량산출 (전등)"/>
      <sheetName val="공사비"/>
      <sheetName val="공량산출(가로등)"/>
      <sheetName val="단가"/>
      <sheetName val="일위대가집계표(사급)"/>
      <sheetName val="일위대가(사급)"/>
      <sheetName val="공량산출 (수변전)"/>
      <sheetName val="공량산출 (약전)"/>
      <sheetName val="공량산출 (소방)"/>
      <sheetName val="Y-WORK"/>
      <sheetName val="ITEM"/>
      <sheetName val="단가조사서"/>
      <sheetName val="- INFORMATION 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금(총괄)"/>
      <sheetName val="요금(세부)"/>
      <sheetName val="견적-최종"/>
      <sheetName val="DS-최종"/>
      <sheetName val="NW-최종"/>
      <sheetName val="PC-최종"/>
      <sheetName val="99년 NW 공사비총계"/>
      <sheetName val="Port"/>
      <sheetName val="공사비(프로젝트성)"/>
      <sheetName val="99년 LAN Port집계"/>
      <sheetName val="전원설비"/>
      <sheetName val="UPS(종합)"/>
      <sheetName val="UPS(공사)"/>
      <sheetName val="UPS(내역)"/>
      <sheetName val="UPS(설치)"/>
      <sheetName val="OA교육비"/>
      <sheetName val="99년 ITC-PABX"/>
      <sheetName val="1998년 고객센타"/>
      <sheetName val="1999년 고객센타"/>
      <sheetName val="Unix-Memory 단가 총괄"/>
      <sheetName val="Unix-MHz 단가 총괄"/>
      <sheetName val="Care"/>
      <sheetName val="총괄표"/>
      <sheetName val="3본사"/>
      <sheetName val="Sheet1"/>
      <sheetName val="list price"/>
      <sheetName val="분류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ssion"/>
      <sheetName val="DASD"/>
      <sheetName val="S390 SW(SKT)"/>
      <sheetName val="PABX"/>
      <sheetName val="NW_weight"/>
      <sheetName val="부록C-2"/>
      <sheetName val="합의서 별첨 (11년)"/>
      <sheetName val="합의서 별첨 (1년)"/>
      <sheetName val="99년 서비스료 산정근거"/>
      <sheetName val="99년 IT 투자비용"/>
      <sheetName val="99년 사용량(1~6월)"/>
      <sheetName val="Baseline_98"/>
      <sheetName val="유지보수현황"/>
      <sheetName val="요율산정"/>
      <sheetName val="Labor Amount"/>
      <sheetName val="Labor Amount(Details)"/>
      <sheetName val="Oper Amount"/>
      <sheetName val="Oper Amount(Details)"/>
      <sheetName val="Acq Amount"/>
      <sheetName val="Acq Amount(Details)"/>
      <sheetName val="Mount"/>
      <sheetName val="Weight"/>
      <sheetName val="세무감사결과자료"/>
      <sheetName val="Ctrl_Panel"/>
      <sheetName val="운영인건비WEIGHT"/>
      <sheetName val="MA"/>
      <sheetName val="Inventory Sum"/>
      <sheetName val="dsum_cond"/>
      <sheetName val="Projection_All"/>
      <sheetName val="Service Space"/>
      <sheetName val="HW_Projection"/>
      <sheetName val="NW_Projection"/>
      <sheetName val="Labor_Projection"/>
      <sheetName val="Item별 현보유량 list"/>
      <sheetName val="통제부(통합)"/>
      <sheetName val="가중치작업"/>
      <sheetName val="Datacenter가중치_backdata"/>
      <sheetName val="서버가중치_backdata"/>
      <sheetName val="PC가중치_backdata"/>
      <sheetName val="Network가중치_backdata"/>
      <sheetName val="Lábor_Projection"/>
      <sheetName val="서밄가중치_backdata"/>
      <sheetName val="DS_3Q"/>
      <sheetName val="OPT"/>
      <sheetName val="DS-최종"/>
      <sheetName val="유효성 검사용 Sheet (삭제금지)"/>
      <sheetName val="DS_2Q"/>
      <sheetName val="첨부4.NW첨부"/>
      <sheetName val="Supplement2"/>
      <sheetName val="1월 참고"/>
      <sheetName val="FTE"/>
      <sheetName val="차액보증"/>
      <sheetName val="MOTOR"/>
      <sheetName val="factor"/>
      <sheetName val="UX-Ser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변압기"/>
      <sheetName val="부하집계"/>
      <sheetName val="부하LOAD"/>
      <sheetName val="발전기 부하"/>
      <sheetName val="발전기"/>
      <sheetName val="BATT"/>
      <sheetName val="동력제어반전기제원표"/>
      <sheetName val="간선 CABLE SIZE"/>
      <sheetName val="부하 CABLE SIZE"/>
      <sheetName val="차단기선정"/>
      <sheetName val="data"/>
      <sheetName val="Sheet10"/>
      <sheetName val="Sheet1"/>
      <sheetName val="조도계산서 (도서)"/>
      <sheetName val="조명율표"/>
      <sheetName val="내역서"/>
      <sheetName val="MOTOR"/>
      <sheetName val="정부노임단가"/>
      <sheetName val="D-RMIL"/>
      <sheetName val="수량산출"/>
      <sheetName val="IMP(MAIN)"/>
      <sheetName val="IMP (REACTOR)"/>
      <sheetName val="기성집계"/>
      <sheetName val="CAL_POH"/>
      <sheetName val="목차"/>
      <sheetName val="L-type"/>
      <sheetName val="중기일위대가"/>
      <sheetName val="설계조건"/>
      <sheetName val="일위대가목차"/>
      <sheetName val="본사업"/>
      <sheetName val="대가단최종"/>
      <sheetName val="노무비"/>
      <sheetName val="K1자재(3차등)"/>
      <sheetName val="cost"/>
      <sheetName val="BID"/>
      <sheetName val="U-TYPE(1)"/>
      <sheetName val="품목납기"/>
      <sheetName val="TRE TABLE"/>
      <sheetName val="쌍송교"/>
      <sheetName val="인건비"/>
      <sheetName val="WORK"/>
      <sheetName val="ITEM"/>
      <sheetName val="간선계산"/>
      <sheetName val="Macro(전선)"/>
      <sheetName val="TABLE"/>
      <sheetName val="기계경비(시간당)"/>
      <sheetName val="램머"/>
      <sheetName val="변압기 및 발전기 용량"/>
      <sheetName val="MACRO(MCC)"/>
      <sheetName val="배수지(관급)"/>
      <sheetName val="원가(수)"/>
      <sheetName val="기초견적가"/>
      <sheetName val="일위대가"/>
      <sheetName val="노임단가"/>
      <sheetName val="기초일위"/>
      <sheetName val="수목단가"/>
      <sheetName val="시설수량표"/>
      <sheetName val="시설일위"/>
      <sheetName val="식재수량표"/>
      <sheetName val="식재일위"/>
      <sheetName val="102역사"/>
      <sheetName val="다이꾸"/>
      <sheetName val="일반공사"/>
      <sheetName val="횡배위치"/>
      <sheetName val="전력구구조물산근"/>
      <sheetName val="수량집계"/>
      <sheetName val="참조"/>
      <sheetName val="건축내역"/>
      <sheetName val="기성금내역서"/>
      <sheetName val="2F 회의실견적(5_14 일대)"/>
      <sheetName val="DATA1"/>
      <sheetName val="조명율데이타"/>
      <sheetName val="조도계산(가로등NEW)"/>
      <sheetName val="다심-cable"/>
      <sheetName val="1C-cable"/>
      <sheetName val="허용전류-IEC"/>
      <sheetName val="허용전류-IEC DATA"/>
      <sheetName val="SRC-B3U2"/>
      <sheetName val="ABUT수량-A1"/>
      <sheetName val="노임"/>
      <sheetName val="L_RPTA05_목록"/>
      <sheetName val="hvac(제어동)"/>
      <sheetName val="조경"/>
      <sheetName val="1"/>
      <sheetName val="Y-WORK"/>
      <sheetName val="내역"/>
      <sheetName val="기본일위"/>
      <sheetName val="도체종-상수표"/>
      <sheetName val="손익분석"/>
      <sheetName val="안정검토(온1)"/>
      <sheetName val="단가산출"/>
      <sheetName val="데이타"/>
      <sheetName val="전기일위목록"/>
      <sheetName val="요율"/>
      <sheetName val="001"/>
      <sheetName val="표지 (2)"/>
      <sheetName val="설계예시"/>
      <sheetName val="수량산출(급식소)"/>
      <sheetName val="wall"/>
      <sheetName val="일위대가표"/>
      <sheetName val="주식"/>
      <sheetName val="#REF"/>
      <sheetName val="3련 BOX"/>
      <sheetName val="5차설계"/>
      <sheetName val="을"/>
      <sheetName val="일위(PN)"/>
      <sheetName val="견적대비 견적서"/>
      <sheetName val="내역서 "/>
      <sheetName val="Oper Am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4500"/>
      <sheetName val="11월가격"/>
      <sheetName val="부하LOAD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데이타"/>
      <sheetName val="조도"/>
      <sheetName val="DATA"/>
      <sheetName val="Sheet1"/>
      <sheetName val="Sheet2"/>
      <sheetName val="IN"/>
      <sheetName val="유효성 검사용 Sheet (삭제금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V"/>
      <sheetName val="OPT"/>
      <sheetName val="Carepaq"/>
      <sheetName val="RACK"/>
      <sheetName val="ML330G2ATA"/>
      <sheetName val="ML330G2SCSI"/>
      <sheetName val="ML350G3"/>
      <sheetName val="ML370G3"/>
      <sheetName val="ML530G2"/>
      <sheetName val="ML570G2"/>
      <sheetName val="DL320"/>
      <sheetName val="DL360G2"/>
      <sheetName val="DL360G3"/>
      <sheetName val="DL380G3"/>
      <sheetName val="DL560"/>
      <sheetName val="DL580G2"/>
      <sheetName val="DL740"/>
      <sheetName val="DL760"/>
      <sheetName val="DL760G2"/>
      <sheetName val="손익분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grades pricing"/>
      <sheetName val="2.1 Reg Part Numbers"/>
      <sheetName val="2.2 Reg Part Numbers"/>
      <sheetName val="2.3 Reg Part Numbers"/>
      <sheetName val="2.1  pricing"/>
      <sheetName val="2.2  pricing"/>
      <sheetName val="2.3  pricing"/>
      <sheetName val="Upgradespricing"/>
      <sheetName val="Start"/>
      <sheetName val="PriceMaster"/>
      <sheetName val="inputarea_ref"/>
      <sheetName val="Uplift"/>
      <sheetName val="ARC95PRC"/>
      <sheetName val="11월가격"/>
      <sheetName val="Option"/>
      <sheetName val="T진도"/>
      <sheetName val="9월가격"/>
      <sheetName val="과천MAIN"/>
      <sheetName val="Supplement2"/>
      <sheetName val="상담파트"/>
      <sheetName val="Sheet1"/>
      <sheetName val="경"/>
      <sheetName val="Server"/>
      <sheetName val="기본계획"/>
      <sheetName val="노임"/>
      <sheetName val="인건-측정"/>
      <sheetName val="Master"/>
      <sheetName val="GRACE"/>
      <sheetName val="COST"/>
      <sheetName val="DWDM 10M+SEC"/>
      <sheetName val="KASHTEO"/>
      <sheetName val="OPT"/>
      <sheetName val="SV"/>
      <sheetName val="list price"/>
      <sheetName val="수주월"/>
      <sheetName val="PS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V"/>
      <sheetName val="OPT"/>
      <sheetName val="Carepaq"/>
      <sheetName val="RACK"/>
      <sheetName val="ML330G2ATA"/>
      <sheetName val="ML330G2SCSI"/>
      <sheetName val="ML350G3"/>
      <sheetName val="ML370G3"/>
      <sheetName val="ML530G2"/>
      <sheetName val="ML570G2"/>
      <sheetName val="DL320"/>
      <sheetName val="DL360G2"/>
      <sheetName val="DL360G3"/>
      <sheetName val="DL380G3"/>
      <sheetName val="DL560"/>
      <sheetName val="DL580G2"/>
      <sheetName val="DL740"/>
      <sheetName val="DL760"/>
      <sheetName val="DL760G2"/>
      <sheetName val="2000"/>
      <sheetName val="2001"/>
      <sheetName val="2002"/>
      <sheetName val="유효성 검사용 Sheet(삭제금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준견적서"/>
      <sheetName val="세부내역서"/>
      <sheetName val="공급사 견적서(표지및상세내역)"/>
      <sheetName val="데이터유효성검사자료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8CB3E4"/>
  </sheetPr>
  <dimension ref="A1:M30"/>
  <sheetViews>
    <sheetView showGridLines="0" tabSelected="1" zoomScaleNormal="100" zoomScaleSheetLayoutView="75" workbookViewId="0">
      <pane ySplit="4" topLeftCell="A5" activePane="bottomLeft" state="frozen"/>
      <selection pane="bottomLeft" activeCell="I20" sqref="I20"/>
    </sheetView>
  </sheetViews>
  <sheetFormatPr defaultColWidth="9" defaultRowHeight="17"/>
  <cols>
    <col min="1" max="2" width="5.5" style="16" customWidth="1"/>
    <col min="3" max="9" width="20.58203125" style="5" customWidth="1"/>
    <col min="10" max="10" width="1.5" style="5" customWidth="1"/>
    <col min="11" max="11" width="23.5" style="5" customWidth="1"/>
    <col min="12" max="12" width="42.08203125" style="5" customWidth="1"/>
    <col min="13" max="13" width="11.58203125" style="5" bestFit="1" customWidth="1"/>
    <col min="14" max="14" width="12.08203125" style="5" bestFit="1" customWidth="1"/>
    <col min="15" max="15" width="13.75" style="5" bestFit="1" customWidth="1"/>
    <col min="16" max="16" width="12.08203125" style="5" bestFit="1" customWidth="1"/>
    <col min="17" max="17" width="24.25" style="5" bestFit="1" customWidth="1"/>
    <col min="18" max="18" width="14" style="5" bestFit="1" customWidth="1"/>
    <col min="19" max="19" width="14.58203125" style="5" bestFit="1" customWidth="1"/>
    <col min="20" max="20" width="14" style="5" bestFit="1" customWidth="1"/>
    <col min="21" max="16384" width="9" style="5"/>
  </cols>
  <sheetData>
    <row r="1" spans="1:13" ht="28.5" customHeight="1">
      <c r="A1" s="4" t="s">
        <v>245</v>
      </c>
      <c r="B1" s="4"/>
    </row>
    <row r="2" spans="1:13" ht="30.75" customHeight="1">
      <c r="A2" s="207" t="s">
        <v>95</v>
      </c>
      <c r="B2" s="207"/>
      <c r="C2" s="207"/>
      <c r="D2" s="207"/>
      <c r="E2" s="207"/>
      <c r="F2" s="207"/>
      <c r="G2" s="207"/>
      <c r="H2" s="207"/>
      <c r="I2" s="207"/>
      <c r="J2" s="6"/>
      <c r="K2" s="6"/>
      <c r="L2" s="6"/>
      <c r="M2" s="6"/>
    </row>
    <row r="3" spans="1:13" ht="23.65" customHeight="1">
      <c r="A3" s="7" t="s">
        <v>102</v>
      </c>
      <c r="B3" s="7"/>
      <c r="C3" s="8"/>
      <c r="D3" s="9"/>
      <c r="E3" s="113"/>
      <c r="F3" s="114"/>
      <c r="G3" s="10"/>
      <c r="H3" s="115" t="s">
        <v>1</v>
      </c>
      <c r="I3" s="11">
        <v>11</v>
      </c>
      <c r="J3" s="6"/>
      <c r="K3" s="12" t="e">
        <f>#REF!</f>
        <v>#REF!</v>
      </c>
      <c r="L3" s="6"/>
      <c r="M3" s="6"/>
    </row>
    <row r="4" spans="1:13" ht="21" customHeight="1">
      <c r="A4" s="116" t="s">
        <v>51</v>
      </c>
      <c r="B4" s="116"/>
      <c r="C4" s="116" t="s">
        <v>48</v>
      </c>
      <c r="D4" s="116" t="s">
        <v>54</v>
      </c>
      <c r="E4" s="116" t="s">
        <v>50</v>
      </c>
      <c r="F4" s="116" t="s">
        <v>56</v>
      </c>
      <c r="G4" s="116" t="s">
        <v>52</v>
      </c>
      <c r="H4" s="117" t="s">
        <v>53</v>
      </c>
      <c r="I4" s="117" t="s">
        <v>60</v>
      </c>
      <c r="K4" s="13" t="s">
        <v>90</v>
      </c>
      <c r="L4" s="13" t="s">
        <v>91</v>
      </c>
    </row>
    <row r="5" spans="1:13" hidden="1">
      <c r="A5" s="208"/>
      <c r="B5" s="118"/>
      <c r="C5" s="119"/>
      <c r="D5" s="119"/>
      <c r="E5" s="119"/>
      <c r="F5" s="119">
        <v>44287</v>
      </c>
      <c r="G5" s="119">
        <v>44288</v>
      </c>
      <c r="H5" s="120">
        <v>44289</v>
      </c>
      <c r="I5" s="120">
        <v>44290</v>
      </c>
      <c r="K5" s="14" t="s">
        <v>24</v>
      </c>
      <c r="L5" s="15" t="s">
        <v>30</v>
      </c>
    </row>
    <row r="6" spans="1:13" hidden="1">
      <c r="A6" s="208"/>
      <c r="B6" s="121"/>
      <c r="C6" s="122"/>
      <c r="D6" s="122"/>
      <c r="E6" s="122"/>
      <c r="F6" s="122"/>
      <c r="G6" s="122" t="s">
        <v>22</v>
      </c>
      <c r="H6" s="122"/>
      <c r="I6" s="122"/>
      <c r="K6" s="14" t="s">
        <v>57</v>
      </c>
      <c r="L6" s="15" t="s">
        <v>27</v>
      </c>
    </row>
    <row r="7" spans="1:13" hidden="1">
      <c r="A7" s="208"/>
      <c r="B7" s="121"/>
      <c r="C7" s="122"/>
      <c r="D7" s="122"/>
      <c r="E7" s="122"/>
      <c r="F7" s="122"/>
      <c r="G7" s="122"/>
      <c r="H7" s="122"/>
      <c r="I7" s="122"/>
      <c r="K7" s="14" t="s">
        <v>32</v>
      </c>
      <c r="L7" s="15" t="s">
        <v>104</v>
      </c>
    </row>
    <row r="8" spans="1:13" hidden="1">
      <c r="A8" s="208"/>
      <c r="B8" s="121"/>
      <c r="C8" s="122"/>
      <c r="D8" s="122"/>
      <c r="E8" s="122"/>
      <c r="F8" s="122"/>
      <c r="G8" s="122"/>
      <c r="H8" s="122"/>
      <c r="I8" s="122"/>
      <c r="K8" s="14" t="s">
        <v>23</v>
      </c>
      <c r="L8" s="15" t="s">
        <v>31</v>
      </c>
    </row>
    <row r="9" spans="1:13" hidden="1">
      <c r="A9" s="208"/>
      <c r="B9" s="121"/>
      <c r="C9" s="122"/>
      <c r="D9" s="122"/>
      <c r="E9" s="123"/>
      <c r="F9" s="124"/>
      <c r="G9" s="122"/>
      <c r="H9" s="122"/>
      <c r="I9" s="123"/>
      <c r="K9" s="14" t="s">
        <v>93</v>
      </c>
      <c r="L9" s="209" t="s">
        <v>25</v>
      </c>
    </row>
    <row r="10" spans="1:13" hidden="1">
      <c r="A10" s="208"/>
      <c r="B10" s="121"/>
      <c r="C10" s="123"/>
      <c r="D10" s="123"/>
      <c r="E10" s="123"/>
      <c r="F10" s="123"/>
      <c r="G10" s="123"/>
      <c r="H10" s="122"/>
      <c r="I10" s="122"/>
      <c r="K10" s="14" t="s">
        <v>94</v>
      </c>
      <c r="L10" s="210"/>
    </row>
    <row r="11" spans="1:13">
      <c r="A11" s="208" t="s">
        <v>59</v>
      </c>
      <c r="B11" s="118" t="s">
        <v>64</v>
      </c>
      <c r="C11" s="119">
        <v>46174</v>
      </c>
      <c r="D11" s="119">
        <f>C11+1</f>
        <v>46175</v>
      </c>
      <c r="E11" s="119">
        <f t="shared" ref="E11:I11" si="0">D11+1</f>
        <v>46176</v>
      </c>
      <c r="F11" s="119">
        <f t="shared" si="0"/>
        <v>46177</v>
      </c>
      <c r="G11" s="119">
        <f t="shared" si="0"/>
        <v>46178</v>
      </c>
      <c r="H11" s="125">
        <f t="shared" si="0"/>
        <v>46179</v>
      </c>
      <c r="I11" s="125">
        <f t="shared" si="0"/>
        <v>46180</v>
      </c>
    </row>
    <row r="12" spans="1:13">
      <c r="A12" s="208"/>
      <c r="B12" s="126" t="s">
        <v>46</v>
      </c>
      <c r="C12" s="106"/>
      <c r="D12" s="211" t="s">
        <v>236</v>
      </c>
      <c r="E12" s="106"/>
      <c r="F12" s="106"/>
      <c r="G12" s="109" t="s">
        <v>235</v>
      </c>
      <c r="H12" s="127"/>
      <c r="I12" s="127"/>
    </row>
    <row r="13" spans="1:13">
      <c r="A13" s="208"/>
      <c r="B13" s="126" t="s">
        <v>63</v>
      </c>
      <c r="C13" s="106"/>
      <c r="D13" s="211"/>
      <c r="E13" s="106"/>
      <c r="F13" s="106"/>
      <c r="G13" s="107"/>
      <c r="H13" s="127"/>
      <c r="I13" s="127"/>
    </row>
    <row r="14" spans="1:13">
      <c r="A14" s="208"/>
      <c r="B14" s="126" t="s">
        <v>49</v>
      </c>
      <c r="C14" s="106"/>
      <c r="D14" s="211"/>
      <c r="E14" s="106"/>
      <c r="F14" s="106"/>
      <c r="G14" s="107"/>
      <c r="H14" s="127"/>
      <c r="I14" s="127"/>
    </row>
    <row r="15" spans="1:13">
      <c r="A15" s="208"/>
      <c r="B15" s="126" t="s">
        <v>44</v>
      </c>
      <c r="C15" s="106"/>
      <c r="D15" s="106"/>
      <c r="E15" s="106"/>
      <c r="F15" s="106"/>
      <c r="G15" s="106"/>
      <c r="H15" s="127"/>
      <c r="I15" s="128"/>
    </row>
    <row r="16" spans="1:13">
      <c r="A16" s="208" t="s">
        <v>65</v>
      </c>
      <c r="B16" s="118" t="s">
        <v>64</v>
      </c>
      <c r="C16" s="119">
        <f>I11+1</f>
        <v>46181</v>
      </c>
      <c r="D16" s="119">
        <f>C16+1</f>
        <v>46182</v>
      </c>
      <c r="E16" s="119">
        <f t="shared" ref="E16:I16" si="1">D16+1</f>
        <v>46183</v>
      </c>
      <c r="F16" s="119">
        <f t="shared" si="1"/>
        <v>46184</v>
      </c>
      <c r="G16" s="119">
        <f t="shared" si="1"/>
        <v>46185</v>
      </c>
      <c r="H16" s="125">
        <f t="shared" si="1"/>
        <v>46186</v>
      </c>
      <c r="I16" s="125">
        <f t="shared" si="1"/>
        <v>46187</v>
      </c>
    </row>
    <row r="17" spans="1:9" ht="17.649999999999999" customHeight="1">
      <c r="A17" s="208"/>
      <c r="B17" s="126" t="s">
        <v>46</v>
      </c>
      <c r="C17" s="106"/>
      <c r="D17" s="109" t="s">
        <v>237</v>
      </c>
      <c r="E17" s="108"/>
      <c r="F17" s="111"/>
      <c r="G17" s="109"/>
      <c r="H17" s="109" t="s">
        <v>262</v>
      </c>
      <c r="I17" s="127"/>
    </row>
    <row r="18" spans="1:9">
      <c r="A18" s="208"/>
      <c r="B18" s="126" t="s">
        <v>63</v>
      </c>
      <c r="C18" s="106"/>
      <c r="D18" s="109" t="s">
        <v>239</v>
      </c>
      <c r="E18" s="108"/>
      <c r="F18" s="110" t="s">
        <v>261</v>
      </c>
      <c r="G18" s="110" t="s">
        <v>260</v>
      </c>
      <c r="H18" s="110" t="s">
        <v>246</v>
      </c>
      <c r="I18" s="111"/>
    </row>
    <row r="19" spans="1:9">
      <c r="A19" s="208"/>
      <c r="B19" s="126" t="s">
        <v>49</v>
      </c>
      <c r="C19" s="106"/>
      <c r="D19" s="107"/>
      <c r="E19" s="108"/>
      <c r="F19" s="106"/>
      <c r="G19" s="106"/>
      <c r="H19" s="127"/>
      <c r="I19" s="129" t="s">
        <v>241</v>
      </c>
    </row>
    <row r="20" spans="1:9">
      <c r="A20" s="208"/>
      <c r="B20" s="126" t="s">
        <v>44</v>
      </c>
      <c r="C20" s="106"/>
      <c r="D20" s="106"/>
      <c r="E20" s="106"/>
      <c r="F20" s="106"/>
      <c r="G20" s="106"/>
      <c r="H20" s="127"/>
      <c r="I20" s="128"/>
    </row>
    <row r="21" spans="1:9">
      <c r="A21" s="208" t="s">
        <v>243</v>
      </c>
      <c r="B21" s="118" t="s">
        <v>64</v>
      </c>
      <c r="C21" s="119">
        <f>I16+1</f>
        <v>46188</v>
      </c>
      <c r="D21" s="119">
        <f>C21+1</f>
        <v>46189</v>
      </c>
      <c r="E21" s="119">
        <f t="shared" ref="E21" si="2">D21+1</f>
        <v>46190</v>
      </c>
      <c r="F21" s="119">
        <f t="shared" ref="F21" si="3">E21+1</f>
        <v>46191</v>
      </c>
      <c r="G21" s="119">
        <f t="shared" ref="G21" si="4">F21+1</f>
        <v>46192</v>
      </c>
      <c r="H21" s="125">
        <f t="shared" ref="H21" si="5">G21+1</f>
        <v>46193</v>
      </c>
      <c r="I21" s="125">
        <f t="shared" ref="I21" si="6">H21+1</f>
        <v>46194</v>
      </c>
    </row>
    <row r="22" spans="1:9" ht="17.649999999999999" customHeight="1">
      <c r="A22" s="208"/>
      <c r="B22" s="126" t="s">
        <v>46</v>
      </c>
      <c r="C22" s="211" t="s">
        <v>240</v>
      </c>
      <c r="D22" s="211" t="s">
        <v>238</v>
      </c>
      <c r="E22" s="108"/>
      <c r="F22" s="106"/>
      <c r="G22" s="106"/>
      <c r="H22" s="127"/>
      <c r="I22" s="127"/>
    </row>
    <row r="23" spans="1:9">
      <c r="A23" s="208"/>
      <c r="B23" s="126" t="s">
        <v>63</v>
      </c>
      <c r="C23" s="211"/>
      <c r="D23" s="211"/>
      <c r="E23" s="108"/>
      <c r="F23" s="112" t="s">
        <v>242</v>
      </c>
      <c r="G23" s="106"/>
      <c r="H23" s="130"/>
      <c r="I23" s="127"/>
    </row>
    <row r="24" spans="1:9">
      <c r="A24" s="208"/>
      <c r="B24" s="126" t="s">
        <v>49</v>
      </c>
      <c r="C24" s="211"/>
      <c r="D24" s="211"/>
      <c r="E24" s="108"/>
      <c r="F24" s="106"/>
      <c r="G24" s="106"/>
      <c r="H24" s="127"/>
      <c r="I24" s="127"/>
    </row>
    <row r="25" spans="1:9">
      <c r="A25" s="208"/>
      <c r="B25" s="126" t="s">
        <v>44</v>
      </c>
      <c r="C25" s="106"/>
      <c r="D25" s="106"/>
      <c r="E25" s="106"/>
      <c r="F25" s="106"/>
      <c r="G25" s="106"/>
      <c r="H25" s="127"/>
      <c r="I25" s="128"/>
    </row>
    <row r="26" spans="1:9">
      <c r="A26" s="208" t="s">
        <v>244</v>
      </c>
      <c r="B26" s="118" t="s">
        <v>64</v>
      </c>
      <c r="C26" s="119">
        <f>I21+1</f>
        <v>46195</v>
      </c>
      <c r="D26" s="119">
        <f>C26+1</f>
        <v>46196</v>
      </c>
      <c r="E26" s="119">
        <f t="shared" ref="E26" si="7">D26+1</f>
        <v>46197</v>
      </c>
      <c r="F26" s="119">
        <f t="shared" ref="F26" si="8">E26+1</f>
        <v>46198</v>
      </c>
      <c r="G26" s="119">
        <f t="shared" ref="G26" si="9">F26+1</f>
        <v>46199</v>
      </c>
      <c r="H26" s="125">
        <f t="shared" ref="H26" si="10">G26+1</f>
        <v>46200</v>
      </c>
      <c r="I26" s="125">
        <f t="shared" ref="I26" si="11">H26+1</f>
        <v>46201</v>
      </c>
    </row>
    <row r="27" spans="1:9" ht="17.649999999999999" customHeight="1">
      <c r="A27" s="208"/>
      <c r="B27" s="126" t="s">
        <v>46</v>
      </c>
      <c r="C27" s="106"/>
      <c r="D27" s="111"/>
      <c r="E27" s="108"/>
      <c r="F27" s="111"/>
      <c r="G27" s="111"/>
      <c r="H27" s="127"/>
      <c r="I27" s="127"/>
    </row>
    <row r="28" spans="1:9">
      <c r="A28" s="208"/>
      <c r="B28" s="126" t="s">
        <v>63</v>
      </c>
      <c r="C28" s="111"/>
      <c r="D28" s="111"/>
      <c r="E28" s="108"/>
      <c r="F28" s="111"/>
      <c r="G28" s="111"/>
      <c r="H28" s="130"/>
      <c r="I28" s="127"/>
    </row>
    <row r="29" spans="1:9">
      <c r="A29" s="208"/>
      <c r="B29" s="126" t="s">
        <v>49</v>
      </c>
      <c r="C29" s="106"/>
      <c r="D29" s="107"/>
      <c r="E29" s="108"/>
      <c r="F29" s="111"/>
      <c r="G29" s="111"/>
      <c r="H29" s="127"/>
      <c r="I29" s="127"/>
    </row>
    <row r="30" spans="1:9">
      <c r="A30" s="208"/>
      <c r="B30" s="126" t="s">
        <v>44</v>
      </c>
      <c r="C30" s="106"/>
      <c r="D30" s="111"/>
      <c r="E30" s="111"/>
      <c r="F30" s="111"/>
      <c r="G30" s="111"/>
      <c r="H30" s="127"/>
      <c r="I30" s="128"/>
    </row>
  </sheetData>
  <sheetProtection formatCells="0" formatColumns="0" formatRows="0" insertColumns="0" insertRows="0" deleteColumns="0" deleteRows="0"/>
  <mergeCells count="10">
    <mergeCell ref="A26:A30"/>
    <mergeCell ref="A21:A25"/>
    <mergeCell ref="D22:D24"/>
    <mergeCell ref="C22:C24"/>
    <mergeCell ref="A2:I2"/>
    <mergeCell ref="A5:A10"/>
    <mergeCell ref="A16:A20"/>
    <mergeCell ref="L9:L10"/>
    <mergeCell ref="A11:A15"/>
    <mergeCell ref="D12:D14"/>
  </mergeCells>
  <phoneticPr fontId="23" type="noConversion"/>
  <dataValidations count="1">
    <dataValidation allowBlank="1" showInputMessage="1" showErrorMessage="1" prompt="필수일정 선택" sqref="C6:I7" xr:uid="{00000000-0002-0000-0000-000000000000}"/>
  </dataValidations>
  <pageMargins left="0.69999998807907104" right="0.69999998807907104" top="0.75" bottom="0.75" header="0.30000001192092896" footer="0.30000001192092896"/>
  <pageSetup paperSize="9" scale="52" orientation="portrait"/>
  <colBreaks count="1" manualBreakCount="1">
    <brk id="10" max="1638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R223"/>
  <sheetViews>
    <sheetView zoomScaleNormal="100" zoomScaleSheetLayoutView="85" workbookViewId="0">
      <pane xSplit="7" ySplit="9" topLeftCell="H191" activePane="bottomRight" state="frozen"/>
      <selection pane="topRight"/>
      <selection pane="bottomLeft"/>
      <selection pane="bottomRight" activeCell="A101" sqref="A101"/>
    </sheetView>
  </sheetViews>
  <sheetFormatPr defaultColWidth="9" defaultRowHeight="20.149999999999999" customHeight="1" outlineLevelRow="1"/>
  <cols>
    <col min="1" max="1" width="3.58203125" style="17" customWidth="1"/>
    <col min="2" max="2" width="3.58203125" style="2" customWidth="1"/>
    <col min="3" max="3" width="5" style="17" customWidth="1"/>
    <col min="4" max="4" width="6.25" style="17" customWidth="1"/>
    <col min="5" max="5" width="58.25" style="2" customWidth="1"/>
    <col min="6" max="6" width="54.75" style="2" hidden="1" customWidth="1"/>
    <col min="7" max="7" width="25.75" style="1" hidden="1" customWidth="1"/>
    <col min="8" max="8" width="47.75" style="2" hidden="1" customWidth="1"/>
    <col min="9" max="9" width="10" style="1" hidden="1" customWidth="1"/>
    <col min="10" max="10" width="11.75" style="1" customWidth="1"/>
    <col min="11" max="11" width="19.58203125" style="1" customWidth="1"/>
    <col min="12" max="12" width="15.75" style="1" bestFit="1" customWidth="1"/>
    <col min="13" max="14" width="13.5" style="1" bestFit="1" customWidth="1"/>
    <col min="15" max="15" width="62.25" style="1" customWidth="1"/>
    <col min="16" max="16384" width="9" style="2"/>
  </cols>
  <sheetData>
    <row r="1" spans="1:18" ht="33.65" customHeight="1" thickBot="1">
      <c r="B1" s="218" t="s">
        <v>175</v>
      </c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</row>
    <row r="2" spans="1:18" ht="37.15" hidden="1" customHeight="1" outlineLevel="1">
      <c r="B2" s="223" t="s">
        <v>100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18"/>
      <c r="P2" s="19"/>
      <c r="Q2" s="19"/>
      <c r="R2" s="19"/>
    </row>
    <row r="3" spans="1:18" ht="18" hidden="1" customHeight="1" outlineLevel="1">
      <c r="B3" s="223" t="s">
        <v>26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18"/>
      <c r="P3" s="19"/>
      <c r="Q3" s="19"/>
      <c r="R3" s="19"/>
    </row>
    <row r="4" spans="1:18" ht="24" hidden="1" customHeight="1" outlineLevel="1">
      <c r="B4" s="223" t="s">
        <v>16</v>
      </c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18"/>
      <c r="P4" s="19"/>
      <c r="Q4" s="19"/>
      <c r="R4" s="19"/>
    </row>
    <row r="5" spans="1:18" ht="26.65" hidden="1" customHeight="1" outlineLevel="1">
      <c r="B5" s="221" t="s">
        <v>101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18"/>
      <c r="P5" s="19"/>
      <c r="Q5" s="19"/>
      <c r="R5" s="19"/>
    </row>
    <row r="6" spans="1:18" ht="31.15" hidden="1" customHeight="1" outlineLevel="1">
      <c r="B6" s="221" t="s">
        <v>19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0"/>
      <c r="P6" s="20"/>
      <c r="Q6" s="20"/>
      <c r="R6" s="20"/>
    </row>
    <row r="7" spans="1:18" ht="43.5" hidden="1" customHeight="1" outlineLevel="1">
      <c r="B7" s="219" t="s">
        <v>0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52"/>
      <c r="P7" s="19"/>
      <c r="Q7" s="19"/>
      <c r="R7" s="19"/>
    </row>
    <row r="8" spans="1:18" ht="20.149999999999999" customHeight="1" collapsed="1" thickTop="1">
      <c r="A8" s="43" t="s">
        <v>55</v>
      </c>
      <c r="B8" s="44" t="s">
        <v>61</v>
      </c>
      <c r="C8" s="43" t="s">
        <v>69</v>
      </c>
      <c r="D8" s="43" t="s">
        <v>70</v>
      </c>
      <c r="E8" s="43" t="s">
        <v>66</v>
      </c>
      <c r="F8" s="43" t="s">
        <v>47</v>
      </c>
      <c r="G8" s="43" t="s">
        <v>21</v>
      </c>
      <c r="H8" s="43" t="s">
        <v>79</v>
      </c>
      <c r="I8" s="43" t="s">
        <v>42</v>
      </c>
      <c r="J8" s="43" t="s">
        <v>41</v>
      </c>
      <c r="K8" s="43" t="s">
        <v>92</v>
      </c>
      <c r="L8" s="43" t="s">
        <v>58</v>
      </c>
      <c r="M8" s="43" t="s">
        <v>62</v>
      </c>
      <c r="N8" s="43" t="s">
        <v>43</v>
      </c>
      <c r="O8" s="43" t="s">
        <v>80</v>
      </c>
    </row>
    <row r="9" spans="1:18" s="21" customFormat="1" ht="20.149999999999999" customHeight="1">
      <c r="A9" s="45"/>
      <c r="B9" s="46"/>
      <c r="C9" s="45"/>
      <c r="D9" s="45"/>
      <c r="E9" s="47"/>
      <c r="F9" s="47"/>
      <c r="G9" s="43"/>
      <c r="H9" s="43"/>
      <c r="I9" s="43"/>
      <c r="J9" s="48"/>
      <c r="K9" s="43"/>
      <c r="L9" s="43"/>
      <c r="M9" s="49"/>
      <c r="N9" s="43"/>
      <c r="O9" s="43"/>
    </row>
    <row r="10" spans="1:18" ht="20.149999999999999" hidden="1" customHeight="1" outlineLevel="1">
      <c r="A10" s="26"/>
      <c r="B10" s="22" t="s">
        <v>45</v>
      </c>
      <c r="C10" s="22"/>
      <c r="D10" s="22"/>
      <c r="E10" s="23"/>
      <c r="F10" s="212"/>
      <c r="G10" s="212"/>
      <c r="H10" s="212"/>
      <c r="I10" s="24"/>
      <c r="J10" s="3"/>
      <c r="K10" s="3"/>
      <c r="L10" s="3"/>
      <c r="M10" s="25">
        <v>0</v>
      </c>
      <c r="N10" s="3"/>
      <c r="O10" s="22"/>
    </row>
    <row r="11" spans="1:18" ht="20.25" hidden="1" customHeight="1" outlineLevel="1">
      <c r="A11" s="22"/>
      <c r="B11" s="26" t="s">
        <v>73</v>
      </c>
      <c r="C11" s="22"/>
      <c r="D11" s="22"/>
      <c r="E11" s="23"/>
      <c r="F11" s="23"/>
      <c r="G11" s="3"/>
      <c r="H11" s="215" t="s">
        <v>20</v>
      </c>
      <c r="I11" s="216">
        <v>5</v>
      </c>
      <c r="J11" s="3"/>
      <c r="K11" s="3"/>
      <c r="L11" s="3"/>
      <c r="M11" s="3"/>
      <c r="N11" s="3"/>
      <c r="O11" s="22"/>
    </row>
    <row r="12" spans="1:18" ht="20.149999999999999" hidden="1" customHeight="1" outlineLevel="1">
      <c r="A12" s="22"/>
      <c r="B12" s="28"/>
      <c r="C12" s="29" t="s">
        <v>81</v>
      </c>
      <c r="D12" s="29"/>
      <c r="E12" s="29"/>
      <c r="F12" s="30"/>
      <c r="G12" s="31"/>
      <c r="H12" s="215"/>
      <c r="I12" s="216"/>
      <c r="J12" s="3">
        <v>1</v>
      </c>
      <c r="K12" s="212" t="s">
        <v>67</v>
      </c>
      <c r="L12" s="212" t="s">
        <v>68</v>
      </c>
      <c r="M12" s="25"/>
      <c r="N12" s="3"/>
      <c r="O12" s="214" t="s">
        <v>15</v>
      </c>
    </row>
    <row r="13" spans="1:18" ht="20.149999999999999" hidden="1" customHeight="1" outlineLevel="1">
      <c r="A13" s="22"/>
      <c r="B13" s="28"/>
      <c r="C13" s="29" t="s">
        <v>77</v>
      </c>
      <c r="D13" s="29"/>
      <c r="E13" s="29"/>
      <c r="F13" s="30"/>
      <c r="G13" s="31"/>
      <c r="H13" s="215"/>
      <c r="I13" s="216"/>
      <c r="J13" s="3">
        <v>5</v>
      </c>
      <c r="K13" s="212"/>
      <c r="L13" s="212"/>
      <c r="M13" s="25"/>
      <c r="N13" s="3"/>
      <c r="O13" s="214"/>
    </row>
    <row r="14" spans="1:18" ht="20.149999999999999" hidden="1" customHeight="1" outlineLevel="1">
      <c r="A14" s="22"/>
      <c r="B14" s="28"/>
      <c r="C14" s="29" t="s">
        <v>76</v>
      </c>
      <c r="D14" s="29"/>
      <c r="E14" s="29"/>
      <c r="F14" s="30"/>
      <c r="G14" s="31"/>
      <c r="H14" s="215"/>
      <c r="I14" s="216"/>
      <c r="J14" s="3">
        <v>1</v>
      </c>
      <c r="K14" s="212"/>
      <c r="L14" s="212"/>
      <c r="M14" s="25"/>
      <c r="N14" s="3"/>
      <c r="O14" s="214"/>
    </row>
    <row r="15" spans="1:18" ht="20.149999999999999" hidden="1" customHeight="1" outlineLevel="1">
      <c r="A15" s="22"/>
      <c r="B15" s="28"/>
      <c r="C15" s="29" t="s">
        <v>78</v>
      </c>
      <c r="D15" s="29"/>
      <c r="E15" s="29"/>
      <c r="F15" s="30"/>
      <c r="G15" s="31"/>
      <c r="H15" s="215"/>
      <c r="I15" s="216"/>
      <c r="J15" s="3">
        <v>1</v>
      </c>
      <c r="K15" s="212"/>
      <c r="L15" s="212"/>
      <c r="M15" s="25"/>
      <c r="N15" s="3"/>
      <c r="O15" s="214"/>
    </row>
    <row r="16" spans="1:18" ht="20.149999999999999" hidden="1" customHeight="1" outlineLevel="1">
      <c r="A16" s="22"/>
      <c r="B16" s="28"/>
      <c r="C16" s="29" t="s">
        <v>85</v>
      </c>
      <c r="D16" s="29"/>
      <c r="E16" s="29"/>
      <c r="F16" s="30"/>
      <c r="G16" s="31"/>
      <c r="H16" s="215"/>
      <c r="I16" s="216"/>
      <c r="J16" s="3">
        <v>2</v>
      </c>
      <c r="K16" s="212"/>
      <c r="L16" s="212"/>
      <c r="M16" s="25"/>
      <c r="N16" s="3"/>
      <c r="O16" s="214"/>
    </row>
    <row r="17" spans="1:15" ht="20.149999999999999" hidden="1" customHeight="1" outlineLevel="1">
      <c r="A17" s="22"/>
      <c r="B17" s="28"/>
      <c r="C17" s="29" t="s">
        <v>82</v>
      </c>
      <c r="D17" s="29"/>
      <c r="E17" s="29"/>
      <c r="F17" s="30"/>
      <c r="G17" s="31"/>
      <c r="H17" s="215"/>
      <c r="I17" s="216"/>
      <c r="J17" s="3">
        <v>1</v>
      </c>
      <c r="K17" s="212"/>
      <c r="L17" s="212"/>
      <c r="M17" s="25"/>
      <c r="N17" s="3"/>
      <c r="O17" s="214"/>
    </row>
    <row r="18" spans="1:15" ht="20.149999999999999" hidden="1" customHeight="1" outlineLevel="1">
      <c r="A18" s="22"/>
      <c r="B18" s="28"/>
      <c r="C18" s="29" t="s">
        <v>5</v>
      </c>
      <c r="D18" s="29"/>
      <c r="E18" s="29"/>
      <c r="F18" s="30"/>
      <c r="G18" s="31"/>
      <c r="H18" s="215"/>
      <c r="I18" s="216"/>
      <c r="J18" s="3">
        <v>2</v>
      </c>
      <c r="K18" s="212"/>
      <c r="L18" s="212"/>
      <c r="M18" s="25"/>
      <c r="N18" s="3"/>
      <c r="O18" s="214"/>
    </row>
    <row r="19" spans="1:15" ht="20.149999999999999" hidden="1" customHeight="1" outlineLevel="1">
      <c r="A19" s="22"/>
      <c r="B19" s="28"/>
      <c r="C19" s="32" t="s">
        <v>98</v>
      </c>
      <c r="D19" s="29"/>
      <c r="E19" s="29"/>
      <c r="F19" s="30"/>
      <c r="G19" s="31"/>
      <c r="H19" s="215"/>
      <c r="I19" s="216"/>
      <c r="J19" s="3">
        <v>1</v>
      </c>
      <c r="K19" s="212"/>
      <c r="L19" s="212"/>
      <c r="M19" s="25"/>
      <c r="N19" s="3"/>
      <c r="O19" s="214"/>
    </row>
    <row r="20" spans="1:15" ht="20.149999999999999" hidden="1" customHeight="1" outlineLevel="1">
      <c r="A20" s="22"/>
      <c r="B20" s="26" t="s">
        <v>74</v>
      </c>
      <c r="C20" s="22"/>
      <c r="D20" s="22"/>
      <c r="E20" s="22"/>
      <c r="F20" s="23"/>
      <c r="G20" s="3"/>
      <c r="H20" s="215" t="s">
        <v>18</v>
      </c>
      <c r="I20" s="216">
        <v>5</v>
      </c>
      <c r="J20" s="3"/>
      <c r="K20" s="3"/>
      <c r="L20" s="3"/>
      <c r="M20" s="25"/>
      <c r="N20" s="3"/>
      <c r="O20" s="214"/>
    </row>
    <row r="21" spans="1:15" ht="20.149999999999999" hidden="1" customHeight="1" outlineLevel="1">
      <c r="A21" s="22"/>
      <c r="B21" s="26"/>
      <c r="C21" s="22" t="s">
        <v>2</v>
      </c>
      <c r="D21" s="22"/>
      <c r="E21" s="22"/>
      <c r="F21" s="23"/>
      <c r="G21" s="3"/>
      <c r="H21" s="215"/>
      <c r="I21" s="216"/>
      <c r="J21" s="3">
        <v>1</v>
      </c>
      <c r="K21" s="3" t="s">
        <v>67</v>
      </c>
      <c r="L21" s="3" t="s">
        <v>68</v>
      </c>
      <c r="M21" s="25"/>
      <c r="N21" s="3"/>
      <c r="O21" s="214"/>
    </row>
    <row r="22" spans="1:15" ht="20.149999999999999" hidden="1" customHeight="1" outlineLevel="1">
      <c r="A22" s="22"/>
      <c r="B22" s="28"/>
      <c r="C22" s="29" t="s">
        <v>86</v>
      </c>
      <c r="D22" s="29"/>
      <c r="E22" s="29"/>
      <c r="F22" s="30"/>
      <c r="G22" s="31"/>
      <c r="H22" s="215"/>
      <c r="I22" s="216"/>
      <c r="J22" s="3">
        <v>1</v>
      </c>
      <c r="K22" s="3" t="s">
        <v>67</v>
      </c>
      <c r="L22" s="3" t="s">
        <v>68</v>
      </c>
      <c r="M22" s="25"/>
      <c r="N22" s="3"/>
      <c r="O22" s="214"/>
    </row>
    <row r="23" spans="1:15" ht="20.149999999999999" hidden="1" customHeight="1" outlineLevel="1">
      <c r="A23" s="22"/>
      <c r="B23" s="28"/>
      <c r="C23" s="29" t="s">
        <v>39</v>
      </c>
      <c r="D23" s="29"/>
      <c r="E23" s="29"/>
      <c r="F23" s="30"/>
      <c r="G23" s="31"/>
      <c r="H23" s="215"/>
      <c r="I23" s="216"/>
      <c r="J23" s="3">
        <v>1</v>
      </c>
      <c r="K23" s="3" t="s">
        <v>67</v>
      </c>
      <c r="L23" s="3" t="s">
        <v>68</v>
      </c>
      <c r="M23" s="25"/>
      <c r="N23" s="3"/>
      <c r="O23" s="214"/>
    </row>
    <row r="24" spans="1:15" ht="20.149999999999999" hidden="1" customHeight="1" outlineLevel="1">
      <c r="A24" s="22"/>
      <c r="B24" s="26"/>
      <c r="C24" s="22" t="s">
        <v>3</v>
      </c>
      <c r="D24" s="22"/>
      <c r="E24" s="22"/>
      <c r="F24" s="23"/>
      <c r="G24" s="31"/>
      <c r="H24" s="215"/>
      <c r="I24" s="216"/>
      <c r="J24" s="3">
        <v>1</v>
      </c>
      <c r="K24" s="3" t="s">
        <v>96</v>
      </c>
      <c r="L24" s="3" t="s">
        <v>99</v>
      </c>
      <c r="M24" s="25"/>
      <c r="N24" s="3"/>
      <c r="O24" s="214"/>
    </row>
    <row r="25" spans="1:15" ht="20.149999999999999" hidden="1" customHeight="1" outlineLevel="1">
      <c r="A25" s="22"/>
      <c r="B25" s="26"/>
      <c r="C25" s="22" t="s">
        <v>84</v>
      </c>
      <c r="D25" s="22"/>
      <c r="E25" s="22"/>
      <c r="F25" s="23"/>
      <c r="G25" s="31"/>
      <c r="H25" s="215"/>
      <c r="I25" s="216"/>
      <c r="J25" s="3">
        <v>2</v>
      </c>
      <c r="K25" s="3" t="s">
        <v>96</v>
      </c>
      <c r="L25" s="3" t="s">
        <v>99</v>
      </c>
      <c r="M25" s="25"/>
      <c r="N25" s="3"/>
      <c r="O25" s="214"/>
    </row>
    <row r="26" spans="1:15" ht="20.149999999999999" hidden="1" customHeight="1" outlineLevel="1">
      <c r="A26" s="22"/>
      <c r="B26" s="26" t="s">
        <v>72</v>
      </c>
      <c r="C26" s="22"/>
      <c r="D26" s="22"/>
      <c r="E26" s="22"/>
      <c r="F26" s="23"/>
      <c r="G26" s="3"/>
      <c r="H26" s="215" t="s">
        <v>17</v>
      </c>
      <c r="I26" s="216">
        <v>5</v>
      </c>
      <c r="J26" s="3"/>
      <c r="K26" s="3"/>
      <c r="L26" s="3"/>
      <c r="M26" s="25"/>
      <c r="N26" s="3"/>
      <c r="O26" s="22"/>
    </row>
    <row r="27" spans="1:15" ht="20.149999999999999" hidden="1" customHeight="1" outlineLevel="1">
      <c r="A27" s="22"/>
      <c r="B27" s="26"/>
      <c r="C27" s="22" t="s">
        <v>4</v>
      </c>
      <c r="D27" s="22"/>
      <c r="E27" s="22"/>
      <c r="F27" s="23"/>
      <c r="G27" s="3"/>
      <c r="H27" s="215"/>
      <c r="I27" s="216"/>
      <c r="J27" s="3">
        <v>1</v>
      </c>
      <c r="K27" s="3" t="s">
        <v>67</v>
      </c>
      <c r="L27" s="3" t="s">
        <v>68</v>
      </c>
      <c r="M27" s="25"/>
      <c r="N27" s="3"/>
      <c r="O27" s="22"/>
    </row>
    <row r="28" spans="1:15" ht="20.149999999999999" hidden="1" customHeight="1" outlineLevel="1">
      <c r="A28" s="22"/>
      <c r="B28" s="26"/>
      <c r="C28" s="22" t="s">
        <v>6</v>
      </c>
      <c r="D28" s="22"/>
      <c r="E28" s="22"/>
      <c r="F28" s="23"/>
      <c r="G28" s="3"/>
      <c r="H28" s="215"/>
      <c r="I28" s="216"/>
      <c r="J28" s="3">
        <v>1</v>
      </c>
      <c r="K28" s="3" t="s">
        <v>67</v>
      </c>
      <c r="L28" s="3" t="s">
        <v>68</v>
      </c>
      <c r="M28" s="25"/>
      <c r="N28" s="3"/>
      <c r="O28" s="22"/>
    </row>
    <row r="29" spans="1:15" ht="20.149999999999999" hidden="1" customHeight="1" outlineLevel="1">
      <c r="A29" s="22"/>
      <c r="B29" s="26"/>
      <c r="C29" s="22" t="s">
        <v>7</v>
      </c>
      <c r="D29" s="22"/>
      <c r="E29" s="22"/>
      <c r="F29" s="23"/>
      <c r="G29" s="3"/>
      <c r="H29" s="215"/>
      <c r="I29" s="216"/>
      <c r="J29" s="3">
        <v>1</v>
      </c>
      <c r="K29" s="3" t="s">
        <v>67</v>
      </c>
      <c r="L29" s="3" t="s">
        <v>68</v>
      </c>
      <c r="M29" s="25"/>
      <c r="N29" s="3"/>
      <c r="O29" s="22"/>
    </row>
    <row r="30" spans="1:15" ht="20.149999999999999" hidden="1" customHeight="1" outlineLevel="1">
      <c r="A30" s="22"/>
      <c r="B30" s="26"/>
      <c r="C30" s="22" t="s">
        <v>8</v>
      </c>
      <c r="D30" s="22"/>
      <c r="E30" s="22"/>
      <c r="F30" s="23"/>
      <c r="G30" s="3"/>
      <c r="H30" s="215"/>
      <c r="I30" s="216"/>
      <c r="J30" s="3">
        <v>1</v>
      </c>
      <c r="K30" s="3" t="s">
        <v>96</v>
      </c>
      <c r="L30" s="3" t="s">
        <v>99</v>
      </c>
      <c r="M30" s="25"/>
      <c r="N30" s="3"/>
      <c r="O30" s="22"/>
    </row>
    <row r="31" spans="1:15" ht="20.149999999999999" hidden="1" customHeight="1" outlineLevel="1">
      <c r="A31" s="22"/>
      <c r="B31" s="26"/>
      <c r="C31" s="22" t="s">
        <v>33</v>
      </c>
      <c r="D31" s="22"/>
      <c r="E31" s="22"/>
      <c r="F31" s="23"/>
      <c r="G31" s="3"/>
      <c r="H31" s="215"/>
      <c r="I31" s="216"/>
      <c r="J31" s="3">
        <v>1</v>
      </c>
      <c r="K31" s="3" t="s">
        <v>67</v>
      </c>
      <c r="L31" s="3" t="s">
        <v>68</v>
      </c>
      <c r="M31" s="25"/>
      <c r="N31" s="3"/>
      <c r="O31" s="22"/>
    </row>
    <row r="32" spans="1:15" ht="20.149999999999999" hidden="1" customHeight="1" outlineLevel="1">
      <c r="A32" s="22"/>
      <c r="B32" s="26"/>
      <c r="C32" s="22" t="s">
        <v>103</v>
      </c>
      <c r="D32" s="22"/>
      <c r="E32" s="22"/>
      <c r="F32" s="23"/>
      <c r="G32" s="3"/>
      <c r="H32" s="215"/>
      <c r="I32" s="216"/>
      <c r="J32" s="3">
        <v>1</v>
      </c>
      <c r="K32" s="3" t="s">
        <v>67</v>
      </c>
      <c r="L32" s="3" t="s">
        <v>68</v>
      </c>
      <c r="M32" s="25"/>
      <c r="N32" s="3"/>
      <c r="O32" s="22"/>
    </row>
    <row r="33" spans="1:15" ht="20.149999999999999" hidden="1" customHeight="1" outlineLevel="1">
      <c r="A33" s="22"/>
      <c r="B33" s="26"/>
      <c r="C33" s="22" t="s">
        <v>37</v>
      </c>
      <c r="D33" s="22"/>
      <c r="E33" s="22"/>
      <c r="F33" s="23"/>
      <c r="G33" s="3"/>
      <c r="H33" s="215"/>
      <c r="I33" s="216"/>
      <c r="J33" s="3">
        <v>1</v>
      </c>
      <c r="K33" s="3" t="s">
        <v>67</v>
      </c>
      <c r="L33" s="3" t="s">
        <v>68</v>
      </c>
      <c r="M33" s="25"/>
      <c r="N33" s="3"/>
      <c r="O33" s="22"/>
    </row>
    <row r="34" spans="1:15" ht="20.149999999999999" hidden="1" customHeight="1" outlineLevel="1">
      <c r="A34" s="22"/>
      <c r="B34" s="26"/>
      <c r="C34" s="22" t="s">
        <v>13</v>
      </c>
      <c r="D34" s="22"/>
      <c r="E34" s="22"/>
      <c r="F34" s="23"/>
      <c r="G34" s="3"/>
      <c r="H34" s="215" t="s">
        <v>29</v>
      </c>
      <c r="I34" s="216">
        <v>5</v>
      </c>
      <c r="J34" s="3"/>
      <c r="K34" s="3"/>
      <c r="L34" s="3"/>
      <c r="M34" s="25"/>
      <c r="N34" s="3"/>
      <c r="O34" s="22"/>
    </row>
    <row r="35" spans="1:15" ht="20.149999999999999" hidden="1" customHeight="1" outlineLevel="1">
      <c r="A35" s="22"/>
      <c r="B35" s="26"/>
      <c r="C35" s="22"/>
      <c r="D35" s="22" t="s">
        <v>83</v>
      </c>
      <c r="E35" s="22"/>
      <c r="F35" s="23"/>
      <c r="G35" s="3"/>
      <c r="H35" s="215"/>
      <c r="I35" s="216"/>
      <c r="J35" s="3">
        <v>1</v>
      </c>
      <c r="K35" s="3" t="s">
        <v>67</v>
      </c>
      <c r="L35" s="3" t="s">
        <v>68</v>
      </c>
      <c r="M35" s="25"/>
      <c r="N35" s="3"/>
      <c r="O35" s="22"/>
    </row>
    <row r="36" spans="1:15" ht="20.149999999999999" hidden="1" customHeight="1" outlineLevel="1">
      <c r="A36" s="22"/>
      <c r="B36" s="26"/>
      <c r="C36" s="22"/>
      <c r="D36" s="22" t="s">
        <v>89</v>
      </c>
      <c r="E36" s="22"/>
      <c r="F36" s="23"/>
      <c r="G36" s="3"/>
      <c r="H36" s="215"/>
      <c r="I36" s="216"/>
      <c r="J36" s="3">
        <v>2</v>
      </c>
      <c r="K36" s="3" t="s">
        <v>67</v>
      </c>
      <c r="L36" s="3" t="s">
        <v>68</v>
      </c>
      <c r="M36" s="25"/>
      <c r="N36" s="3"/>
      <c r="O36" s="22"/>
    </row>
    <row r="37" spans="1:15" ht="20.149999999999999" hidden="1" customHeight="1" outlineLevel="1">
      <c r="A37" s="22"/>
      <c r="B37" s="26"/>
      <c r="C37" s="22"/>
      <c r="D37" s="22" t="s">
        <v>105</v>
      </c>
      <c r="E37" s="22"/>
      <c r="F37" s="23"/>
      <c r="G37" s="3"/>
      <c r="H37" s="215"/>
      <c r="I37" s="216"/>
      <c r="J37" s="3">
        <v>1</v>
      </c>
      <c r="K37" s="3" t="s">
        <v>67</v>
      </c>
      <c r="L37" s="3" t="s">
        <v>68</v>
      </c>
      <c r="M37" s="25"/>
      <c r="N37" s="3"/>
      <c r="O37" s="22"/>
    </row>
    <row r="38" spans="1:15" ht="20.149999999999999" hidden="1" customHeight="1" outlineLevel="1">
      <c r="A38" s="22"/>
      <c r="B38" s="26"/>
      <c r="C38" s="22"/>
      <c r="D38" s="22" t="s">
        <v>12</v>
      </c>
      <c r="E38" s="22"/>
      <c r="F38" s="23"/>
      <c r="G38" s="3"/>
      <c r="H38" s="215"/>
      <c r="I38" s="216"/>
      <c r="J38" s="3">
        <v>1</v>
      </c>
      <c r="K38" s="3" t="s">
        <v>67</v>
      </c>
      <c r="L38" s="3" t="s">
        <v>68</v>
      </c>
      <c r="M38" s="25"/>
      <c r="N38" s="3"/>
      <c r="O38" s="22"/>
    </row>
    <row r="39" spans="1:15" ht="20.149999999999999" hidden="1" customHeight="1" outlineLevel="1">
      <c r="A39" s="22"/>
      <c r="B39" s="26" t="s">
        <v>9</v>
      </c>
      <c r="C39" s="22"/>
      <c r="D39" s="22"/>
      <c r="E39" s="22"/>
      <c r="F39" s="23"/>
      <c r="G39" s="3"/>
      <c r="H39" s="217" t="s">
        <v>71</v>
      </c>
      <c r="I39" s="216">
        <v>5</v>
      </c>
      <c r="J39" s="3"/>
      <c r="K39" s="3"/>
      <c r="L39" s="3"/>
      <c r="M39" s="25"/>
      <c r="N39" s="3"/>
      <c r="O39" s="22"/>
    </row>
    <row r="40" spans="1:15" ht="20.149999999999999" hidden="1" customHeight="1" outlineLevel="1">
      <c r="A40" s="22"/>
      <c r="B40" s="26"/>
      <c r="C40" s="22" t="s">
        <v>88</v>
      </c>
      <c r="D40" s="22"/>
      <c r="E40" s="22"/>
      <c r="F40" s="23"/>
      <c r="G40" s="3"/>
      <c r="H40" s="217"/>
      <c r="I40" s="216"/>
      <c r="J40" s="3">
        <v>1</v>
      </c>
      <c r="K40" s="212" t="s">
        <v>67</v>
      </c>
      <c r="L40" s="212" t="s">
        <v>68</v>
      </c>
      <c r="M40" s="25"/>
      <c r="N40" s="3"/>
      <c r="O40" s="22"/>
    </row>
    <row r="41" spans="1:15" ht="20.149999999999999" hidden="1" customHeight="1" outlineLevel="1">
      <c r="A41" s="22"/>
      <c r="B41" s="26"/>
      <c r="C41" s="22" t="s">
        <v>87</v>
      </c>
      <c r="D41" s="22"/>
      <c r="E41" s="22"/>
      <c r="F41" s="23"/>
      <c r="G41" s="3"/>
      <c r="H41" s="217"/>
      <c r="I41" s="216"/>
      <c r="J41" s="3">
        <v>1</v>
      </c>
      <c r="K41" s="212"/>
      <c r="L41" s="212"/>
      <c r="M41" s="25"/>
      <c r="N41" s="3"/>
      <c r="O41" s="22"/>
    </row>
    <row r="42" spans="1:15" ht="20.149999999999999" hidden="1" customHeight="1" outlineLevel="1">
      <c r="A42" s="22"/>
      <c r="B42" s="26"/>
      <c r="C42" s="22" t="s">
        <v>14</v>
      </c>
      <c r="D42" s="22"/>
      <c r="E42" s="22"/>
      <c r="F42" s="23"/>
      <c r="G42" s="3"/>
      <c r="H42" s="217"/>
      <c r="I42" s="216"/>
      <c r="J42" s="3">
        <v>2</v>
      </c>
      <c r="K42" s="212"/>
      <c r="L42" s="212"/>
      <c r="M42" s="25"/>
      <c r="N42" s="3"/>
      <c r="O42" s="22"/>
    </row>
    <row r="43" spans="1:15" ht="20.149999999999999" hidden="1" customHeight="1" outlineLevel="1">
      <c r="A43" s="22"/>
      <c r="B43" s="26"/>
      <c r="C43" s="22" t="s">
        <v>38</v>
      </c>
      <c r="D43" s="22"/>
      <c r="E43" s="22"/>
      <c r="F43" s="23"/>
      <c r="G43" s="3"/>
      <c r="H43" s="217"/>
      <c r="I43" s="216"/>
      <c r="J43" s="3">
        <v>2</v>
      </c>
      <c r="K43" s="212"/>
      <c r="L43" s="212"/>
      <c r="M43" s="25"/>
      <c r="N43" s="3"/>
      <c r="O43" s="22"/>
    </row>
    <row r="44" spans="1:15" ht="20.149999999999999" hidden="1" customHeight="1" outlineLevel="1">
      <c r="A44" s="22"/>
      <c r="B44" s="26"/>
      <c r="C44" s="22" t="s">
        <v>36</v>
      </c>
      <c r="D44" s="22"/>
      <c r="E44" s="22"/>
      <c r="F44" s="23"/>
      <c r="G44" s="212" t="s">
        <v>97</v>
      </c>
      <c r="H44" s="217"/>
      <c r="I44" s="216"/>
      <c r="J44" s="3"/>
      <c r="K44" s="212"/>
      <c r="L44" s="212"/>
      <c r="M44" s="25"/>
      <c r="N44" s="3"/>
      <c r="O44" s="22"/>
    </row>
    <row r="45" spans="1:15" ht="20.149999999999999" hidden="1" customHeight="1" outlineLevel="1">
      <c r="A45" s="22"/>
      <c r="B45" s="26"/>
      <c r="C45" s="22"/>
      <c r="D45" s="22" t="s">
        <v>10</v>
      </c>
      <c r="E45" s="22"/>
      <c r="F45" s="23"/>
      <c r="G45" s="212"/>
      <c r="H45" s="217"/>
      <c r="I45" s="216"/>
      <c r="J45" s="3">
        <v>1</v>
      </c>
      <c r="K45" s="212"/>
      <c r="L45" s="212"/>
      <c r="M45" s="25"/>
      <c r="N45" s="3"/>
      <c r="O45" s="22"/>
    </row>
    <row r="46" spans="1:15" ht="20.149999999999999" hidden="1" customHeight="1" outlineLevel="1">
      <c r="A46" s="22"/>
      <c r="B46" s="26"/>
      <c r="C46" s="22"/>
      <c r="D46" s="22" t="s">
        <v>35</v>
      </c>
      <c r="E46" s="22"/>
      <c r="F46" s="23"/>
      <c r="G46" s="212"/>
      <c r="H46" s="217"/>
      <c r="I46" s="216"/>
      <c r="J46" s="3">
        <v>1</v>
      </c>
      <c r="K46" s="212"/>
      <c r="L46" s="212"/>
      <c r="M46" s="25"/>
      <c r="N46" s="3"/>
      <c r="O46" s="22"/>
    </row>
    <row r="47" spans="1:15" ht="20.149999999999999" hidden="1" customHeight="1" outlineLevel="1">
      <c r="A47" s="22"/>
      <c r="B47" s="26"/>
      <c r="C47" s="22"/>
      <c r="D47" s="22" t="s">
        <v>34</v>
      </c>
      <c r="E47" s="22"/>
      <c r="F47" s="23"/>
      <c r="G47" s="212"/>
      <c r="H47" s="217"/>
      <c r="I47" s="216"/>
      <c r="J47" s="3">
        <v>1</v>
      </c>
      <c r="K47" s="212"/>
      <c r="L47" s="212"/>
      <c r="M47" s="25"/>
      <c r="N47" s="3"/>
      <c r="O47" s="22"/>
    </row>
    <row r="48" spans="1:15" ht="20.149999999999999" hidden="1" customHeight="1" outlineLevel="1">
      <c r="A48" s="22"/>
      <c r="B48" s="26"/>
      <c r="C48" s="22"/>
      <c r="D48" s="22" t="s">
        <v>11</v>
      </c>
      <c r="E48" s="22"/>
      <c r="F48" s="23"/>
      <c r="G48" s="212"/>
      <c r="H48" s="217"/>
      <c r="I48" s="216"/>
      <c r="J48" s="3">
        <v>2</v>
      </c>
      <c r="K48" s="212"/>
      <c r="L48" s="212"/>
      <c r="M48" s="25"/>
      <c r="N48" s="3"/>
      <c r="O48" s="22"/>
    </row>
    <row r="49" spans="1:15" ht="20.149999999999999" hidden="1" customHeight="1" outlineLevel="1">
      <c r="A49" s="22"/>
      <c r="B49" s="26"/>
      <c r="C49" s="22"/>
      <c r="D49" s="22" t="s">
        <v>106</v>
      </c>
      <c r="E49" s="22"/>
      <c r="F49" s="23"/>
      <c r="G49" s="212"/>
      <c r="H49" s="217"/>
      <c r="I49" s="216"/>
      <c r="J49" s="3">
        <v>1</v>
      </c>
      <c r="K49" s="212"/>
      <c r="L49" s="212"/>
      <c r="M49" s="25"/>
      <c r="N49" s="3"/>
      <c r="O49" s="22"/>
    </row>
    <row r="50" spans="1:15" ht="20.149999999999999" hidden="1" customHeight="1" outlineLevel="1">
      <c r="A50" s="22"/>
      <c r="B50" s="26"/>
      <c r="C50" s="22" t="s">
        <v>40</v>
      </c>
      <c r="D50" s="22"/>
      <c r="E50" s="22"/>
      <c r="F50" s="23"/>
      <c r="G50" s="3"/>
      <c r="H50" s="217"/>
      <c r="I50" s="216"/>
      <c r="J50" s="3">
        <v>2</v>
      </c>
      <c r="K50" s="212"/>
      <c r="L50" s="212"/>
      <c r="M50" s="25"/>
      <c r="N50" s="3"/>
      <c r="O50" s="22" t="s">
        <v>28</v>
      </c>
    </row>
    <row r="51" spans="1:15" s="59" customFormat="1" ht="20.149999999999999" customHeight="1" collapsed="1">
      <c r="A51" s="213" t="s">
        <v>107</v>
      </c>
      <c r="B51" s="213"/>
      <c r="C51" s="213"/>
      <c r="D51" s="213"/>
      <c r="E51" s="213"/>
      <c r="F51" s="213"/>
      <c r="G51" s="55"/>
      <c r="H51" s="56"/>
      <c r="I51" s="55"/>
      <c r="J51" s="75">
        <f>SUM(J52:J63)</f>
        <v>9</v>
      </c>
      <c r="K51" s="55" t="s">
        <v>227</v>
      </c>
      <c r="L51" s="57"/>
      <c r="M51" s="58">
        <f>AVERAGE(M52:M63)</f>
        <v>0</v>
      </c>
      <c r="N51" s="57"/>
      <c r="O51" s="57"/>
    </row>
    <row r="52" spans="1:15" s="59" customFormat="1" ht="20.149999999999999" customHeight="1" outlineLevel="1">
      <c r="A52" s="54"/>
      <c r="B52" s="60" t="s">
        <v>45</v>
      </c>
      <c r="C52" s="60"/>
      <c r="D52" s="60"/>
      <c r="E52" s="56"/>
      <c r="F52" s="56"/>
      <c r="G52" s="57"/>
      <c r="H52" s="61"/>
      <c r="I52" s="55"/>
      <c r="J52" s="57"/>
      <c r="K52" s="55" t="s">
        <v>227</v>
      </c>
      <c r="L52" s="57"/>
      <c r="M52" s="58">
        <v>0</v>
      </c>
      <c r="N52" s="57"/>
      <c r="O52" s="60"/>
    </row>
    <row r="53" spans="1:15" s="59" customFormat="1" ht="20.149999999999999" customHeight="1" outlineLevel="1">
      <c r="A53" s="54"/>
      <c r="B53" s="54" t="s">
        <v>108</v>
      </c>
      <c r="C53" s="60"/>
      <c r="D53" s="60"/>
      <c r="E53" s="60"/>
      <c r="F53" s="56"/>
      <c r="G53" s="57"/>
      <c r="H53" s="65"/>
      <c r="I53" s="63"/>
      <c r="J53" s="57">
        <v>1</v>
      </c>
      <c r="K53" s="55" t="s">
        <v>227</v>
      </c>
      <c r="L53" s="57"/>
      <c r="M53" s="57"/>
      <c r="N53" s="57"/>
      <c r="O53" s="60"/>
    </row>
    <row r="54" spans="1:15" s="59" customFormat="1" ht="20.149999999999999" customHeight="1" outlineLevel="1">
      <c r="A54" s="54"/>
      <c r="B54" s="54"/>
      <c r="C54" s="60"/>
      <c r="D54" s="60"/>
      <c r="E54" s="60"/>
      <c r="F54" s="56"/>
      <c r="G54" s="57"/>
      <c r="H54" s="65"/>
      <c r="I54" s="63"/>
      <c r="J54" s="57"/>
      <c r="K54" s="55" t="s">
        <v>227</v>
      </c>
      <c r="L54" s="57"/>
      <c r="M54" s="58"/>
      <c r="N54" s="57"/>
      <c r="O54" s="60"/>
    </row>
    <row r="55" spans="1:15" s="59" customFormat="1" ht="20.149999999999999" customHeight="1" outlineLevel="1">
      <c r="A55" s="54"/>
      <c r="B55" s="54" t="s">
        <v>75</v>
      </c>
      <c r="C55" s="60"/>
      <c r="D55" s="60"/>
      <c r="E55" s="56"/>
      <c r="F55" s="56"/>
      <c r="G55" s="57"/>
      <c r="H55" s="62"/>
      <c r="I55" s="63"/>
      <c r="J55" s="57">
        <v>1</v>
      </c>
      <c r="K55" s="55" t="s">
        <v>227</v>
      </c>
      <c r="L55" s="57"/>
      <c r="M55" s="57"/>
      <c r="N55" s="57"/>
      <c r="O55" s="60"/>
    </row>
    <row r="56" spans="1:15" s="59" customFormat="1" ht="20.149999999999999" customHeight="1" outlineLevel="1">
      <c r="A56" s="54"/>
      <c r="B56" s="54"/>
      <c r="C56" s="60"/>
      <c r="D56" s="60"/>
      <c r="E56" s="56"/>
      <c r="F56" s="56"/>
      <c r="G56" s="57"/>
      <c r="H56" s="62"/>
      <c r="I56" s="63"/>
      <c r="J56" s="57"/>
      <c r="K56" s="55" t="s">
        <v>227</v>
      </c>
      <c r="L56" s="57"/>
      <c r="M56" s="57"/>
      <c r="N56" s="57"/>
      <c r="O56" s="60"/>
    </row>
    <row r="57" spans="1:15" s="59" customFormat="1" ht="20.149999999999999" customHeight="1" outlineLevel="1">
      <c r="A57" s="54"/>
      <c r="B57" s="54" t="s">
        <v>109</v>
      </c>
      <c r="C57" s="60"/>
      <c r="D57" s="60"/>
      <c r="E57" s="56"/>
      <c r="F57" s="56"/>
      <c r="G57" s="57"/>
      <c r="H57" s="62"/>
      <c r="I57" s="63"/>
      <c r="J57" s="57">
        <v>2</v>
      </c>
      <c r="K57" s="55" t="s">
        <v>227</v>
      </c>
      <c r="L57" s="57"/>
      <c r="M57" s="58"/>
      <c r="N57" s="57"/>
      <c r="O57" s="60"/>
    </row>
    <row r="58" spans="1:15" s="59" customFormat="1" ht="20.149999999999999" customHeight="1" outlineLevel="1">
      <c r="A58" s="54"/>
      <c r="B58" s="54"/>
      <c r="C58" s="60"/>
      <c r="D58" s="60"/>
      <c r="E58" s="56"/>
      <c r="F58" s="56"/>
      <c r="G58" s="57"/>
      <c r="H58" s="62"/>
      <c r="I58" s="63"/>
      <c r="J58" s="57"/>
      <c r="K58" s="55" t="s">
        <v>227</v>
      </c>
      <c r="L58" s="57"/>
      <c r="M58" s="58"/>
      <c r="N58" s="57"/>
      <c r="O58" s="60"/>
    </row>
    <row r="59" spans="1:15" s="59" customFormat="1" ht="20.149999999999999" customHeight="1" outlineLevel="1">
      <c r="A59" s="54"/>
      <c r="B59" s="54"/>
      <c r="C59" s="60"/>
      <c r="D59" s="60"/>
      <c r="E59" s="56"/>
      <c r="F59" s="56"/>
      <c r="G59" s="57"/>
      <c r="H59" s="62"/>
      <c r="I59" s="63"/>
      <c r="J59" s="57"/>
      <c r="K59" s="55" t="s">
        <v>227</v>
      </c>
      <c r="L59" s="57"/>
      <c r="M59" s="58"/>
      <c r="N59" s="57"/>
      <c r="O59" s="60"/>
    </row>
    <row r="60" spans="1:15" s="59" customFormat="1" ht="20.149999999999999" customHeight="1" outlineLevel="1">
      <c r="A60" s="54"/>
      <c r="B60" s="54" t="s">
        <v>110</v>
      </c>
      <c r="C60" s="60"/>
      <c r="D60" s="60"/>
      <c r="E60" s="56"/>
      <c r="F60" s="56"/>
      <c r="G60" s="57"/>
      <c r="H60" s="65"/>
      <c r="I60" s="64"/>
      <c r="J60" s="57">
        <v>3</v>
      </c>
      <c r="K60" s="55" t="s">
        <v>233</v>
      </c>
      <c r="L60" s="57"/>
      <c r="M60" s="58"/>
      <c r="N60" s="56"/>
      <c r="O60" s="56"/>
    </row>
    <row r="61" spans="1:15" s="59" customFormat="1" ht="20.149999999999999" customHeight="1" outlineLevel="1">
      <c r="A61" s="54"/>
      <c r="B61" s="54"/>
      <c r="C61" s="60"/>
      <c r="D61" s="60"/>
      <c r="E61" s="56"/>
      <c r="F61" s="56"/>
      <c r="G61" s="57"/>
      <c r="H61" s="65"/>
      <c r="I61" s="64"/>
      <c r="J61" s="57"/>
      <c r="K61" s="55" t="s">
        <v>233</v>
      </c>
      <c r="L61" s="57"/>
      <c r="M61" s="58"/>
      <c r="N61" s="56"/>
      <c r="O61" s="60"/>
    </row>
    <row r="62" spans="1:15" s="59" customFormat="1" ht="20.149999999999999" customHeight="1" outlineLevel="1">
      <c r="A62" s="54"/>
      <c r="B62" s="54" t="s">
        <v>111</v>
      </c>
      <c r="C62" s="60"/>
      <c r="D62" s="60"/>
      <c r="E62" s="56"/>
      <c r="F62" s="56"/>
      <c r="G62" s="57"/>
      <c r="H62" s="65"/>
      <c r="I62" s="64"/>
      <c r="J62" s="57">
        <v>2</v>
      </c>
      <c r="K62" s="55" t="s">
        <v>233</v>
      </c>
      <c r="L62" s="57"/>
      <c r="M62" s="58"/>
      <c r="N62" s="56"/>
      <c r="O62" s="60"/>
    </row>
    <row r="63" spans="1:15" s="59" customFormat="1" ht="20.149999999999999" customHeight="1" outlineLevel="1">
      <c r="A63" s="54"/>
      <c r="B63" s="54"/>
      <c r="C63" s="60"/>
      <c r="D63" s="60"/>
      <c r="E63" s="56"/>
      <c r="F63" s="56"/>
      <c r="G63" s="57"/>
      <c r="H63" s="65"/>
      <c r="I63" s="64"/>
      <c r="J63" s="57"/>
      <c r="K63" s="55" t="s">
        <v>233</v>
      </c>
      <c r="L63" s="57"/>
      <c r="M63" s="58"/>
      <c r="N63" s="56"/>
      <c r="O63" s="60"/>
    </row>
    <row r="64" spans="1:15" s="99" customFormat="1" ht="20.149999999999999" customHeight="1">
      <c r="A64" s="95" t="s">
        <v>112</v>
      </c>
      <c r="B64" s="88"/>
      <c r="C64" s="95"/>
      <c r="D64" s="95"/>
      <c r="E64" s="88"/>
      <c r="F64" s="88"/>
      <c r="G64" s="96"/>
      <c r="H64" s="97"/>
      <c r="I64" s="96"/>
      <c r="J64" s="98">
        <f>SUM(J65:J100)</f>
        <v>34</v>
      </c>
      <c r="K64" s="96" t="s">
        <v>228</v>
      </c>
      <c r="L64" s="96"/>
      <c r="M64" s="85"/>
      <c r="N64" s="96"/>
      <c r="O64" s="96"/>
    </row>
    <row r="65" spans="1:15" s="86" customFormat="1" ht="20.149999999999999" customHeight="1" outlineLevel="1">
      <c r="A65" s="100"/>
      <c r="B65" s="76" t="s">
        <v>45</v>
      </c>
      <c r="C65" s="76"/>
      <c r="D65" s="76"/>
      <c r="E65" s="84"/>
      <c r="F65" s="84"/>
      <c r="G65" s="83"/>
      <c r="H65" s="83"/>
      <c r="I65" s="101"/>
      <c r="J65" s="102">
        <v>1</v>
      </c>
      <c r="K65" s="96" t="s">
        <v>228</v>
      </c>
      <c r="L65" s="83"/>
      <c r="M65" s="85"/>
      <c r="N65" s="83"/>
      <c r="O65" s="83"/>
    </row>
    <row r="66" spans="1:15" s="86" customFormat="1" ht="22.4" customHeight="1" outlineLevel="1">
      <c r="A66" s="100"/>
      <c r="B66" s="100" t="s">
        <v>113</v>
      </c>
      <c r="C66" s="76"/>
      <c r="D66" s="76"/>
      <c r="E66" s="84"/>
      <c r="F66" s="84"/>
      <c r="G66" s="83"/>
      <c r="H66" s="103"/>
      <c r="I66" s="82"/>
      <c r="J66" s="83"/>
      <c r="K66" s="96" t="s">
        <v>229</v>
      </c>
      <c r="L66" s="83"/>
      <c r="M66" s="83"/>
      <c r="N66" s="83"/>
      <c r="O66" s="76"/>
    </row>
    <row r="67" spans="1:15" s="86" customFormat="1" ht="20.149999999999999" customHeight="1" outlineLevel="1">
      <c r="A67" s="76"/>
      <c r="B67" s="77"/>
      <c r="C67" s="104" t="s">
        <v>114</v>
      </c>
      <c r="D67" s="78"/>
      <c r="E67" s="78"/>
      <c r="F67" s="79"/>
      <c r="G67" s="80"/>
      <c r="H67" s="81"/>
      <c r="I67" s="82"/>
      <c r="J67" s="83"/>
      <c r="K67" s="96" t="s">
        <v>229</v>
      </c>
      <c r="L67" s="83"/>
      <c r="M67" s="85"/>
      <c r="N67" s="83"/>
      <c r="O67" s="83"/>
    </row>
    <row r="68" spans="1:15" s="86" customFormat="1" ht="20.149999999999999" customHeight="1" outlineLevel="1">
      <c r="A68" s="76"/>
      <c r="B68" s="77"/>
      <c r="C68" s="78"/>
      <c r="D68" s="104" t="s">
        <v>263</v>
      </c>
      <c r="E68" s="78"/>
      <c r="F68" s="79"/>
      <c r="G68" s="80"/>
      <c r="H68" s="81"/>
      <c r="I68" s="82"/>
      <c r="J68" s="83">
        <v>1</v>
      </c>
      <c r="K68" s="96" t="s">
        <v>229</v>
      </c>
      <c r="L68" s="84"/>
      <c r="M68" s="85"/>
      <c r="N68" s="83"/>
      <c r="O68" s="83"/>
    </row>
    <row r="69" spans="1:15" s="86" customFormat="1" ht="20.149999999999999" customHeight="1" outlineLevel="1">
      <c r="A69" s="76"/>
      <c r="B69" s="77"/>
      <c r="C69" s="78"/>
      <c r="D69" s="104" t="s">
        <v>254</v>
      </c>
      <c r="E69" s="78"/>
      <c r="F69" s="79"/>
      <c r="G69" s="80"/>
      <c r="H69" s="81"/>
      <c r="I69" s="82"/>
      <c r="J69" s="83">
        <v>1</v>
      </c>
      <c r="K69" s="96" t="s">
        <v>229</v>
      </c>
      <c r="L69" s="84"/>
      <c r="M69" s="85"/>
      <c r="N69" s="83"/>
      <c r="O69" s="83"/>
    </row>
    <row r="70" spans="1:15" s="86" customFormat="1" ht="20.149999999999999" customHeight="1" outlineLevel="1">
      <c r="A70" s="76"/>
      <c r="B70" s="77"/>
      <c r="C70" s="104" t="s">
        <v>115</v>
      </c>
      <c r="D70" s="78"/>
      <c r="E70" s="78"/>
      <c r="F70" s="79"/>
      <c r="G70" s="80"/>
      <c r="H70" s="81"/>
      <c r="I70" s="82"/>
      <c r="J70" s="83"/>
      <c r="K70" s="96" t="s">
        <v>229</v>
      </c>
      <c r="L70" s="84"/>
      <c r="M70" s="85"/>
      <c r="N70" s="83"/>
      <c r="O70" s="83"/>
    </row>
    <row r="71" spans="1:15" s="86" customFormat="1" ht="20.149999999999999" customHeight="1" outlineLevel="1">
      <c r="A71" s="76"/>
      <c r="B71" s="77"/>
      <c r="C71" s="104"/>
      <c r="D71" s="104" t="s">
        <v>255</v>
      </c>
      <c r="E71" s="78"/>
      <c r="F71" s="79"/>
      <c r="G71" s="80"/>
      <c r="H71" s="81"/>
      <c r="I71" s="82"/>
      <c r="J71" s="83">
        <v>1</v>
      </c>
      <c r="K71" s="96" t="s">
        <v>229</v>
      </c>
      <c r="L71" s="84"/>
      <c r="M71" s="85"/>
      <c r="N71" s="83"/>
      <c r="O71" s="83"/>
    </row>
    <row r="72" spans="1:15" s="86" customFormat="1" ht="20.149999999999999" customHeight="1" outlineLevel="1">
      <c r="A72" s="76"/>
      <c r="B72" s="77"/>
      <c r="C72" s="78"/>
      <c r="D72" s="104" t="s">
        <v>256</v>
      </c>
      <c r="E72" s="78"/>
      <c r="F72" s="79"/>
      <c r="G72" s="80"/>
      <c r="H72" s="81"/>
      <c r="I72" s="82"/>
      <c r="J72" s="83">
        <v>2</v>
      </c>
      <c r="K72" s="96" t="s">
        <v>229</v>
      </c>
      <c r="L72" s="84"/>
      <c r="M72" s="85"/>
      <c r="N72" s="83"/>
      <c r="O72" s="83"/>
    </row>
    <row r="73" spans="1:15" s="86" customFormat="1" ht="20.149999999999999" customHeight="1" outlineLevel="1">
      <c r="A73" s="76"/>
      <c r="B73" s="77"/>
      <c r="C73" s="78"/>
      <c r="D73" s="104" t="s">
        <v>257</v>
      </c>
      <c r="E73" s="78"/>
      <c r="F73" s="79"/>
      <c r="G73" s="80"/>
      <c r="H73" s="81"/>
      <c r="I73" s="82"/>
      <c r="J73" s="83">
        <v>1</v>
      </c>
      <c r="K73" s="96" t="s">
        <v>229</v>
      </c>
      <c r="L73" s="84"/>
      <c r="M73" s="85"/>
      <c r="N73" s="83"/>
      <c r="O73" s="83"/>
    </row>
    <row r="74" spans="1:15" s="86" customFormat="1" ht="20.149999999999999" customHeight="1" outlineLevel="1">
      <c r="A74" s="76"/>
      <c r="B74" s="77"/>
      <c r="C74" s="78"/>
      <c r="D74" s="104" t="s">
        <v>258</v>
      </c>
      <c r="E74" s="78"/>
      <c r="F74" s="79"/>
      <c r="G74" s="80"/>
      <c r="H74" s="81"/>
      <c r="I74" s="82"/>
      <c r="J74" s="83">
        <v>1</v>
      </c>
      <c r="K74" s="96" t="s">
        <v>229</v>
      </c>
      <c r="L74" s="84"/>
      <c r="M74" s="85"/>
      <c r="N74" s="83"/>
      <c r="O74" s="83"/>
    </row>
    <row r="75" spans="1:15" s="86" customFormat="1" ht="20.149999999999999" customHeight="1" outlineLevel="1">
      <c r="A75" s="76"/>
      <c r="B75" s="77"/>
      <c r="C75" s="78"/>
      <c r="D75" s="104" t="s">
        <v>259</v>
      </c>
      <c r="E75" s="78"/>
      <c r="F75" s="79"/>
      <c r="G75" s="80"/>
      <c r="H75" s="81"/>
      <c r="I75" s="82"/>
      <c r="J75" s="83">
        <v>1</v>
      </c>
      <c r="K75" s="96" t="s">
        <v>229</v>
      </c>
      <c r="L75" s="84"/>
      <c r="M75" s="85"/>
      <c r="N75" s="83"/>
      <c r="O75" s="83"/>
    </row>
    <row r="76" spans="1:15" s="86" customFormat="1" ht="20.149999999999999" customHeight="1" outlineLevel="1">
      <c r="A76" s="76"/>
      <c r="B76" s="77"/>
      <c r="C76" s="104" t="s">
        <v>116</v>
      </c>
      <c r="D76" s="78"/>
      <c r="E76" s="78"/>
      <c r="F76" s="79"/>
      <c r="G76" s="80"/>
      <c r="H76" s="81"/>
      <c r="I76" s="82"/>
      <c r="J76" s="83"/>
      <c r="K76" s="96" t="s">
        <v>229</v>
      </c>
      <c r="L76" s="84"/>
      <c r="M76" s="85"/>
      <c r="N76" s="83"/>
      <c r="O76" s="83"/>
    </row>
    <row r="77" spans="1:15" s="86" customFormat="1" ht="20.149999999999999" customHeight="1" outlineLevel="1">
      <c r="A77" s="76"/>
      <c r="B77" s="77"/>
      <c r="C77" s="104"/>
      <c r="D77" s="104" t="s">
        <v>264</v>
      </c>
      <c r="E77" s="78"/>
      <c r="F77" s="79"/>
      <c r="G77" s="80"/>
      <c r="H77" s="81"/>
      <c r="I77" s="82"/>
      <c r="J77" s="83">
        <v>1</v>
      </c>
      <c r="K77" s="96" t="s">
        <v>229</v>
      </c>
      <c r="L77" s="84"/>
      <c r="M77" s="85"/>
      <c r="N77" s="83"/>
      <c r="O77" s="83"/>
    </row>
    <row r="78" spans="1:15" s="86" customFormat="1" ht="20.149999999999999" customHeight="1" outlineLevel="1">
      <c r="A78" s="76"/>
      <c r="B78" s="77"/>
      <c r="C78" s="104"/>
      <c r="D78" s="104" t="s">
        <v>265</v>
      </c>
      <c r="E78" s="78"/>
      <c r="F78" s="79"/>
      <c r="G78" s="80"/>
      <c r="H78" s="81"/>
      <c r="I78" s="82"/>
      <c r="J78" s="83">
        <v>1</v>
      </c>
      <c r="K78" s="96" t="s">
        <v>229</v>
      </c>
      <c r="L78" s="84"/>
      <c r="M78" s="85"/>
      <c r="N78" s="83"/>
      <c r="O78" s="83"/>
    </row>
    <row r="79" spans="1:15" s="86" customFormat="1" ht="20.149999999999999" customHeight="1" outlineLevel="1">
      <c r="A79" s="76"/>
      <c r="B79" s="77"/>
      <c r="C79" s="104"/>
      <c r="D79" s="104" t="s">
        <v>266</v>
      </c>
      <c r="E79" s="78"/>
      <c r="F79" s="79"/>
      <c r="G79" s="80"/>
      <c r="H79" s="81"/>
      <c r="I79" s="82"/>
      <c r="J79" s="83">
        <v>1</v>
      </c>
      <c r="K79" s="96" t="s">
        <v>229</v>
      </c>
      <c r="L79" s="84"/>
      <c r="M79" s="85"/>
      <c r="N79" s="83"/>
      <c r="O79" s="83"/>
    </row>
    <row r="80" spans="1:15" s="86" customFormat="1" ht="20.149999999999999" customHeight="1" outlineLevel="1">
      <c r="A80" s="76"/>
      <c r="B80" s="77"/>
      <c r="C80" s="78"/>
      <c r="D80" s="104" t="s">
        <v>267</v>
      </c>
      <c r="E80" s="78"/>
      <c r="F80" s="79"/>
      <c r="G80" s="80"/>
      <c r="H80" s="81"/>
      <c r="I80" s="82"/>
      <c r="J80" s="83">
        <v>1</v>
      </c>
      <c r="K80" s="96" t="s">
        <v>229</v>
      </c>
      <c r="L80" s="84"/>
      <c r="M80" s="85"/>
      <c r="N80" s="83"/>
      <c r="O80" s="83"/>
    </row>
    <row r="81" spans="1:15" s="86" customFormat="1" ht="20.149999999999999" customHeight="1" outlineLevel="1">
      <c r="A81" s="76"/>
      <c r="B81" s="77" t="s">
        <v>117</v>
      </c>
      <c r="C81" s="78"/>
      <c r="D81" s="78"/>
      <c r="E81" s="78"/>
      <c r="F81" s="79"/>
      <c r="G81" s="80"/>
      <c r="H81" s="81"/>
      <c r="I81" s="82"/>
      <c r="J81" s="83"/>
      <c r="K81" s="96" t="s">
        <v>229</v>
      </c>
      <c r="L81" s="84"/>
      <c r="M81" s="85"/>
      <c r="N81" s="83"/>
      <c r="O81" s="83"/>
    </row>
    <row r="82" spans="1:15" s="86" customFormat="1" ht="20.149999999999999" customHeight="1" outlineLevel="1">
      <c r="A82" s="87"/>
      <c r="B82" s="88"/>
      <c r="C82" s="89" t="s">
        <v>118</v>
      </c>
      <c r="D82" s="90"/>
      <c r="E82" s="90"/>
      <c r="F82" s="90"/>
      <c r="G82" s="91"/>
      <c r="H82" s="81"/>
      <c r="I82" s="82"/>
      <c r="K82" s="96" t="s">
        <v>229</v>
      </c>
      <c r="L82" s="84"/>
      <c r="M82" s="85"/>
      <c r="N82" s="91"/>
      <c r="O82" s="83"/>
    </row>
    <row r="83" spans="1:15" s="86" customFormat="1" ht="20.149999999999999" customHeight="1" outlineLevel="1">
      <c r="A83" s="87"/>
      <c r="B83" s="88"/>
      <c r="C83" s="90"/>
      <c r="D83" s="131" t="s">
        <v>268</v>
      </c>
      <c r="E83" s="90"/>
      <c r="F83" s="90"/>
      <c r="G83" s="91"/>
      <c r="H83" s="81"/>
      <c r="I83" s="82"/>
      <c r="J83" s="91">
        <v>1</v>
      </c>
      <c r="K83" s="96" t="s">
        <v>229</v>
      </c>
      <c r="L83" s="84"/>
      <c r="M83" s="85"/>
      <c r="N83" s="91"/>
      <c r="O83" s="91"/>
    </row>
    <row r="84" spans="1:15" s="86" customFormat="1" ht="20.149999999999999" customHeight="1" outlineLevel="1">
      <c r="A84" s="87"/>
      <c r="B84" s="88"/>
      <c r="C84" s="89" t="s">
        <v>119</v>
      </c>
      <c r="D84" s="92"/>
      <c r="E84" s="90"/>
      <c r="F84" s="90"/>
      <c r="G84" s="91"/>
      <c r="H84" s="81"/>
      <c r="I84" s="82"/>
      <c r="J84" s="91"/>
      <c r="K84" s="96" t="s">
        <v>229</v>
      </c>
      <c r="L84" s="84"/>
      <c r="M84" s="85"/>
      <c r="N84" s="91"/>
      <c r="O84" s="91"/>
    </row>
    <row r="85" spans="1:15" s="86" customFormat="1" ht="20.149999999999999" customHeight="1" outlineLevel="1">
      <c r="A85" s="87"/>
      <c r="B85" s="88"/>
      <c r="C85" s="89"/>
      <c r="D85" s="132" t="s">
        <v>269</v>
      </c>
      <c r="E85" s="90"/>
      <c r="F85" s="90"/>
      <c r="G85" s="91"/>
      <c r="H85" s="81"/>
      <c r="I85" s="82"/>
      <c r="J85" s="91">
        <v>1</v>
      </c>
      <c r="K85" s="96" t="s">
        <v>229</v>
      </c>
      <c r="L85" s="84"/>
      <c r="M85" s="85"/>
      <c r="N85" s="91"/>
      <c r="O85" s="91"/>
    </row>
    <row r="86" spans="1:15" s="86" customFormat="1" ht="20.149999999999999" customHeight="1" outlineLevel="1">
      <c r="A86" s="87"/>
      <c r="B86" s="88"/>
      <c r="C86" s="89"/>
      <c r="D86" s="132" t="s">
        <v>270</v>
      </c>
      <c r="E86" s="90"/>
      <c r="F86" s="90"/>
      <c r="G86" s="91"/>
      <c r="H86" s="81"/>
      <c r="I86" s="82"/>
      <c r="J86" s="91">
        <v>1</v>
      </c>
      <c r="K86" s="96" t="s">
        <v>229</v>
      </c>
      <c r="L86" s="84"/>
      <c r="M86" s="85"/>
      <c r="N86" s="91"/>
      <c r="O86" s="91"/>
    </row>
    <row r="87" spans="1:15" s="86" customFormat="1" ht="20.149999999999999" customHeight="1" outlineLevel="1">
      <c r="A87" s="87"/>
      <c r="B87" s="88"/>
      <c r="C87" s="89"/>
      <c r="D87" s="132" t="s">
        <v>271</v>
      </c>
      <c r="E87" s="90"/>
      <c r="F87" s="90"/>
      <c r="G87" s="91"/>
      <c r="H87" s="81"/>
      <c r="I87" s="82"/>
      <c r="J87" s="91">
        <v>1</v>
      </c>
      <c r="K87" s="96" t="s">
        <v>229</v>
      </c>
      <c r="L87" s="84"/>
      <c r="M87" s="85"/>
      <c r="N87" s="91"/>
      <c r="O87" s="91"/>
    </row>
    <row r="88" spans="1:15" s="86" customFormat="1" ht="20.149999999999999" customHeight="1" outlineLevel="1">
      <c r="A88" s="87"/>
      <c r="B88" s="88"/>
      <c r="C88" s="89" t="s">
        <v>120</v>
      </c>
      <c r="D88" s="90"/>
      <c r="E88" s="90"/>
      <c r="F88" s="90"/>
      <c r="G88" s="91"/>
      <c r="H88" s="81"/>
      <c r="I88" s="82"/>
      <c r="J88" s="91">
        <v>2</v>
      </c>
      <c r="K88" s="96" t="s">
        <v>232</v>
      </c>
      <c r="L88" s="84"/>
      <c r="M88" s="85"/>
      <c r="N88" s="91"/>
      <c r="O88" s="91"/>
    </row>
    <row r="89" spans="1:15" s="86" customFormat="1" ht="20.149999999999999" customHeight="1" outlineLevel="1">
      <c r="A89" s="87"/>
      <c r="B89" s="88"/>
      <c r="C89" s="90"/>
      <c r="D89" s="90"/>
      <c r="E89" s="90"/>
      <c r="F89" s="90"/>
      <c r="G89" s="91"/>
      <c r="H89" s="81"/>
      <c r="I89" s="82"/>
      <c r="J89" s="91"/>
      <c r="K89" s="96" t="s">
        <v>232</v>
      </c>
      <c r="L89" s="84"/>
      <c r="M89" s="85"/>
      <c r="N89" s="91"/>
      <c r="O89" s="91"/>
    </row>
    <row r="90" spans="1:15" s="86" customFormat="1" ht="20.149999999999999" customHeight="1" outlineLevel="1">
      <c r="A90" s="87"/>
      <c r="B90" s="88"/>
      <c r="C90" s="89" t="s">
        <v>121</v>
      </c>
      <c r="D90" s="90"/>
      <c r="E90" s="90"/>
      <c r="F90" s="90"/>
      <c r="G90" s="91"/>
      <c r="H90" s="81"/>
      <c r="I90" s="82"/>
      <c r="J90" s="91">
        <v>3</v>
      </c>
      <c r="K90" s="96" t="s">
        <v>232</v>
      </c>
      <c r="L90" s="84"/>
      <c r="M90" s="85"/>
      <c r="N90" s="91"/>
      <c r="O90" s="91"/>
    </row>
    <row r="91" spans="1:15" s="86" customFormat="1" ht="20.149999999999999" customHeight="1" outlineLevel="1">
      <c r="A91" s="87"/>
      <c r="B91" s="88"/>
      <c r="C91" s="90"/>
      <c r="D91" s="90"/>
      <c r="E91" s="90"/>
      <c r="F91" s="90"/>
      <c r="G91" s="91"/>
      <c r="H91" s="81"/>
      <c r="I91" s="82"/>
      <c r="J91" s="91"/>
      <c r="K91" s="96" t="s">
        <v>232</v>
      </c>
      <c r="L91" s="84"/>
      <c r="M91" s="85"/>
      <c r="N91" s="91"/>
      <c r="O91" s="91"/>
    </row>
    <row r="92" spans="1:15" s="86" customFormat="1" ht="20.149999999999999" customHeight="1" outlineLevel="1">
      <c r="A92" s="76"/>
      <c r="B92" s="77"/>
      <c r="C92" s="93" t="s">
        <v>122</v>
      </c>
      <c r="D92" s="78"/>
      <c r="E92" s="78"/>
      <c r="F92" s="79"/>
      <c r="G92" s="80"/>
      <c r="H92" s="81"/>
      <c r="I92" s="82"/>
      <c r="J92" s="83">
        <v>3</v>
      </c>
      <c r="K92" s="96" t="s">
        <v>232</v>
      </c>
      <c r="L92" s="84"/>
      <c r="M92" s="85"/>
      <c r="N92" s="83"/>
      <c r="O92" s="83"/>
    </row>
    <row r="93" spans="1:15" s="86" customFormat="1" ht="20.149999999999999" customHeight="1" outlineLevel="1">
      <c r="A93" s="76"/>
      <c r="B93" s="77"/>
      <c r="C93" s="94"/>
      <c r="D93" s="78"/>
      <c r="E93" s="78"/>
      <c r="F93" s="79"/>
      <c r="G93" s="80"/>
      <c r="H93" s="81"/>
      <c r="I93" s="82"/>
      <c r="J93" s="83"/>
      <c r="K93" s="96" t="s">
        <v>232</v>
      </c>
      <c r="L93" s="84"/>
      <c r="M93" s="85"/>
      <c r="N93" s="83"/>
      <c r="O93" s="83"/>
    </row>
    <row r="94" spans="1:15" s="86" customFormat="1" ht="20.149999999999999" customHeight="1" outlineLevel="1">
      <c r="A94" s="76"/>
      <c r="B94" s="77" t="s">
        <v>123</v>
      </c>
      <c r="C94" s="94"/>
      <c r="D94" s="104"/>
      <c r="E94" s="78"/>
      <c r="F94" s="79"/>
      <c r="G94" s="80"/>
      <c r="H94" s="81"/>
      <c r="I94" s="82"/>
      <c r="J94" s="83"/>
      <c r="K94" s="96" t="s">
        <v>232</v>
      </c>
      <c r="L94" s="84"/>
      <c r="M94" s="85"/>
      <c r="N94" s="83"/>
      <c r="O94" s="83"/>
    </row>
    <row r="95" spans="1:15" s="86" customFormat="1" ht="20.149999999999999" customHeight="1" outlineLevel="1">
      <c r="A95" s="76"/>
      <c r="B95" s="77"/>
      <c r="C95" s="93" t="s">
        <v>124</v>
      </c>
      <c r="D95" s="78"/>
      <c r="E95" s="78"/>
      <c r="F95" s="79"/>
      <c r="G95" s="80"/>
      <c r="H95" s="81"/>
      <c r="I95" s="82"/>
      <c r="J95" s="83">
        <v>4</v>
      </c>
      <c r="K95" s="96" t="s">
        <v>232</v>
      </c>
      <c r="L95" s="84"/>
      <c r="M95" s="85"/>
      <c r="N95" s="83"/>
      <c r="O95" s="83"/>
    </row>
    <row r="96" spans="1:15" s="86" customFormat="1" ht="20.149999999999999" customHeight="1" outlineLevel="1">
      <c r="A96" s="76"/>
      <c r="B96" s="77"/>
      <c r="C96" s="94"/>
      <c r="D96" s="94"/>
      <c r="E96" s="78"/>
      <c r="F96" s="79"/>
      <c r="G96" s="80"/>
      <c r="H96" s="81"/>
      <c r="I96" s="82"/>
      <c r="J96" s="83"/>
      <c r="K96" s="96" t="s">
        <v>232</v>
      </c>
      <c r="L96" s="84"/>
      <c r="M96" s="85"/>
      <c r="N96" s="83"/>
      <c r="O96" s="83"/>
    </row>
    <row r="97" spans="1:15" s="86" customFormat="1" ht="20.149999999999999" customHeight="1" outlineLevel="1">
      <c r="A97" s="76"/>
      <c r="B97" s="77"/>
      <c r="C97" s="93" t="s">
        <v>125</v>
      </c>
      <c r="D97" s="78"/>
      <c r="E97" s="78"/>
      <c r="F97" s="79"/>
      <c r="G97" s="91"/>
      <c r="H97" s="81"/>
      <c r="I97" s="82"/>
      <c r="J97" s="83">
        <v>2</v>
      </c>
      <c r="K97" s="96" t="s">
        <v>229</v>
      </c>
      <c r="L97" s="83"/>
      <c r="M97" s="85"/>
      <c r="N97" s="83"/>
      <c r="O97" s="83"/>
    </row>
    <row r="98" spans="1:15" s="86" customFormat="1" ht="20.149999999999999" customHeight="1" outlineLevel="1">
      <c r="A98" s="76"/>
      <c r="B98" s="77"/>
      <c r="C98" s="94"/>
      <c r="D98" s="78"/>
      <c r="E98" s="78"/>
      <c r="F98" s="79"/>
      <c r="G98" s="80"/>
      <c r="H98" s="81"/>
      <c r="I98" s="82"/>
      <c r="J98" s="83"/>
      <c r="K98" s="96" t="s">
        <v>229</v>
      </c>
      <c r="L98" s="83"/>
      <c r="M98" s="85"/>
      <c r="N98" s="83"/>
      <c r="O98" s="83"/>
    </row>
    <row r="99" spans="1:15" s="86" customFormat="1" ht="20.149999999999999" customHeight="1" outlineLevel="1">
      <c r="A99" s="76"/>
      <c r="B99" s="77"/>
      <c r="C99" s="93" t="s">
        <v>126</v>
      </c>
      <c r="D99" s="78"/>
      <c r="E99" s="78"/>
      <c r="F99" s="79"/>
      <c r="G99" s="80"/>
      <c r="H99" s="81"/>
      <c r="I99" s="82"/>
      <c r="J99" s="83">
        <v>3</v>
      </c>
      <c r="K99" s="96" t="s">
        <v>232</v>
      </c>
      <c r="L99" s="83"/>
      <c r="M99" s="85"/>
      <c r="N99" s="83"/>
      <c r="O99" s="83"/>
    </row>
    <row r="100" spans="1:15" s="86" customFormat="1" ht="20.149999999999999" customHeight="1" outlineLevel="1">
      <c r="A100" s="76"/>
      <c r="B100" s="77"/>
      <c r="C100" s="94"/>
      <c r="D100" s="78"/>
      <c r="E100" s="78"/>
      <c r="F100" s="79"/>
      <c r="G100" s="80"/>
      <c r="H100" s="81"/>
      <c r="I100" s="82"/>
      <c r="J100" s="83"/>
      <c r="K100" s="96" t="s">
        <v>232</v>
      </c>
      <c r="L100" s="83"/>
      <c r="M100" s="85"/>
      <c r="N100" s="83"/>
      <c r="O100" s="83"/>
    </row>
    <row r="101" spans="1:15" ht="20.149999999999999" customHeight="1" outlineLevel="1">
      <c r="A101" s="26" t="s">
        <v>127</v>
      </c>
      <c r="B101" s="28"/>
      <c r="C101" s="32"/>
      <c r="D101" s="29"/>
      <c r="E101" s="29"/>
      <c r="F101" s="30"/>
      <c r="G101" s="31"/>
      <c r="H101" s="51"/>
      <c r="I101" s="36"/>
      <c r="J101" s="27">
        <f>SUM(J103:J185)</f>
        <v>67</v>
      </c>
      <c r="K101" s="105" t="s">
        <v>229</v>
      </c>
      <c r="L101" s="3"/>
      <c r="M101" s="25"/>
      <c r="N101" s="3"/>
      <c r="O101" s="3"/>
    </row>
    <row r="102" spans="1:15" ht="20.149999999999999" customHeight="1" outlineLevel="1">
      <c r="A102" s="22"/>
      <c r="B102" s="28" t="s">
        <v>128</v>
      </c>
      <c r="C102" s="32"/>
      <c r="D102" s="29"/>
      <c r="E102" s="29"/>
      <c r="F102" s="30"/>
      <c r="G102" s="31"/>
      <c r="H102" s="51"/>
      <c r="I102" s="36"/>
      <c r="J102" s="3"/>
      <c r="K102" s="105" t="s">
        <v>229</v>
      </c>
      <c r="L102" s="3"/>
      <c r="M102" s="25"/>
      <c r="N102" s="3"/>
      <c r="O102" s="3"/>
    </row>
    <row r="103" spans="1:15" ht="72.5" outlineLevel="1">
      <c r="A103" s="22"/>
      <c r="B103" s="28"/>
      <c r="C103" s="40" t="s">
        <v>182</v>
      </c>
      <c r="D103" s="29"/>
      <c r="E103" s="29"/>
      <c r="F103" s="69" t="s">
        <v>176</v>
      </c>
      <c r="G103" s="68" t="s">
        <v>177</v>
      </c>
      <c r="H103" s="51"/>
      <c r="I103" s="74"/>
      <c r="J103" s="3">
        <v>1</v>
      </c>
      <c r="K103" s="105" t="s">
        <v>229</v>
      </c>
      <c r="L103" s="3"/>
      <c r="M103" s="25"/>
      <c r="N103" s="3"/>
      <c r="O103" s="3"/>
    </row>
    <row r="104" spans="1:15" ht="20.149999999999999" customHeight="1" outlineLevel="1">
      <c r="A104" s="22"/>
      <c r="B104" s="28"/>
      <c r="C104" s="32"/>
      <c r="D104" s="37" t="s">
        <v>178</v>
      </c>
      <c r="E104" s="29"/>
      <c r="F104" s="30"/>
      <c r="G104" s="31"/>
      <c r="H104" s="51"/>
      <c r="I104" s="36"/>
      <c r="J104" s="3">
        <v>1</v>
      </c>
      <c r="K104" s="105" t="s">
        <v>229</v>
      </c>
      <c r="L104" s="3"/>
      <c r="M104" s="25"/>
      <c r="N104" s="3"/>
      <c r="O104" s="3"/>
    </row>
    <row r="105" spans="1:15" ht="20.149999999999999" customHeight="1" outlineLevel="1">
      <c r="A105" s="22"/>
      <c r="B105" s="28"/>
      <c r="C105" s="32"/>
      <c r="D105" s="37" t="s">
        <v>181</v>
      </c>
      <c r="E105" s="29"/>
      <c r="F105" s="30"/>
      <c r="G105" s="31"/>
      <c r="H105" s="51"/>
      <c r="I105" s="36"/>
      <c r="J105" s="3">
        <v>1</v>
      </c>
      <c r="K105" s="105" t="s">
        <v>229</v>
      </c>
      <c r="L105" s="3"/>
      <c r="M105" s="25"/>
      <c r="N105" s="3"/>
      <c r="O105" s="3"/>
    </row>
    <row r="106" spans="1:15" ht="20.149999999999999" customHeight="1" outlineLevel="1">
      <c r="A106" s="22"/>
      <c r="B106" s="28"/>
      <c r="C106" s="32"/>
      <c r="D106" s="37" t="s">
        <v>179</v>
      </c>
      <c r="E106" s="29"/>
      <c r="F106" s="30"/>
      <c r="G106" s="31"/>
      <c r="H106" s="51"/>
      <c r="I106" s="36"/>
      <c r="J106" s="3">
        <v>2</v>
      </c>
      <c r="K106" s="105" t="s">
        <v>229</v>
      </c>
      <c r="L106" s="3"/>
      <c r="M106" s="25"/>
      <c r="N106" s="3"/>
      <c r="O106" s="3"/>
    </row>
    <row r="107" spans="1:15" ht="20.149999999999999" customHeight="1" outlineLevel="1">
      <c r="A107" s="22"/>
      <c r="B107" s="28"/>
      <c r="C107" s="32"/>
      <c r="D107" s="37" t="s">
        <v>180</v>
      </c>
      <c r="E107" s="29"/>
      <c r="F107" s="30"/>
      <c r="G107" s="31"/>
      <c r="H107" s="51"/>
      <c r="I107" s="36"/>
      <c r="J107" s="3">
        <v>2</v>
      </c>
      <c r="K107" s="105" t="s">
        <v>229</v>
      </c>
      <c r="L107" s="3"/>
      <c r="M107" s="25"/>
      <c r="N107" s="3"/>
      <c r="O107" s="3"/>
    </row>
    <row r="108" spans="1:15" ht="72.5" outlineLevel="1">
      <c r="A108" s="22"/>
      <c r="B108" s="28"/>
      <c r="C108" s="40" t="s">
        <v>129</v>
      </c>
      <c r="D108" s="29"/>
      <c r="E108" s="29"/>
      <c r="F108" s="69" t="s">
        <v>183</v>
      </c>
      <c r="G108" s="68" t="s">
        <v>188</v>
      </c>
      <c r="H108" s="51"/>
      <c r="I108" s="36"/>
      <c r="J108" s="3">
        <v>1</v>
      </c>
      <c r="K108" s="105" t="s">
        <v>229</v>
      </c>
      <c r="L108" s="3"/>
      <c r="M108" s="25"/>
      <c r="N108" s="3"/>
      <c r="O108" s="3"/>
    </row>
    <row r="109" spans="1:15" ht="20.149999999999999" customHeight="1" outlineLevel="1">
      <c r="A109" s="22"/>
      <c r="B109" s="28"/>
      <c r="C109" s="32"/>
      <c r="D109" s="37" t="s">
        <v>184</v>
      </c>
      <c r="E109" s="29"/>
      <c r="F109" s="30"/>
      <c r="G109" s="35"/>
      <c r="H109" s="51"/>
      <c r="I109" s="36"/>
      <c r="J109" s="3">
        <v>2</v>
      </c>
      <c r="K109" s="105" t="s">
        <v>229</v>
      </c>
      <c r="L109" s="3"/>
      <c r="M109" s="25"/>
      <c r="N109" s="3"/>
      <c r="O109" s="3"/>
    </row>
    <row r="110" spans="1:15" ht="20.149999999999999" customHeight="1" outlineLevel="1">
      <c r="A110" s="22"/>
      <c r="B110" s="28"/>
      <c r="C110" s="32"/>
      <c r="D110" s="37" t="s">
        <v>185</v>
      </c>
      <c r="E110" s="29"/>
      <c r="F110" s="30"/>
      <c r="G110" s="35"/>
      <c r="H110" s="51"/>
      <c r="I110" s="36"/>
      <c r="J110" s="3">
        <v>2</v>
      </c>
      <c r="K110" s="105" t="s">
        <v>229</v>
      </c>
      <c r="L110" s="3"/>
      <c r="M110" s="25"/>
      <c r="N110" s="3"/>
      <c r="O110" s="3"/>
    </row>
    <row r="111" spans="1:15" ht="20.149999999999999" customHeight="1" outlineLevel="1">
      <c r="A111" s="22"/>
      <c r="B111" s="28"/>
      <c r="C111" s="32"/>
      <c r="D111" s="37" t="s">
        <v>186</v>
      </c>
      <c r="E111" s="29"/>
      <c r="F111" s="30"/>
      <c r="G111" s="35"/>
      <c r="H111" s="51"/>
      <c r="I111" s="36"/>
      <c r="J111" s="3">
        <v>2</v>
      </c>
      <c r="K111" s="105" t="s">
        <v>229</v>
      </c>
      <c r="L111" s="3"/>
      <c r="M111" s="25"/>
      <c r="N111" s="3"/>
      <c r="O111" s="3"/>
    </row>
    <row r="112" spans="1:15" ht="20.149999999999999" customHeight="1" outlineLevel="1">
      <c r="A112" s="22"/>
      <c r="B112" s="28"/>
      <c r="C112" s="32"/>
      <c r="D112" s="37" t="s">
        <v>187</v>
      </c>
      <c r="E112" s="29"/>
      <c r="F112" s="30"/>
      <c r="G112" s="35"/>
      <c r="H112" s="51"/>
      <c r="I112" s="36"/>
      <c r="J112" s="3">
        <v>2</v>
      </c>
      <c r="K112" s="105" t="s">
        <v>229</v>
      </c>
      <c r="L112" s="3"/>
      <c r="M112" s="25"/>
      <c r="N112" s="3"/>
      <c r="O112" s="3"/>
    </row>
    <row r="113" spans="1:15" ht="20.149999999999999" customHeight="1" outlineLevel="1">
      <c r="A113" s="22"/>
      <c r="B113" s="28"/>
      <c r="C113" s="32"/>
      <c r="D113" s="37" t="s">
        <v>189</v>
      </c>
      <c r="E113" s="29"/>
      <c r="F113" s="30"/>
      <c r="G113" s="35"/>
      <c r="H113" s="51"/>
      <c r="I113" s="36"/>
      <c r="J113" s="3">
        <v>2</v>
      </c>
      <c r="K113" s="105" t="s">
        <v>229</v>
      </c>
      <c r="L113" s="3"/>
      <c r="M113" s="25"/>
      <c r="N113" s="3"/>
      <c r="O113" s="3"/>
    </row>
    <row r="114" spans="1:15" ht="101.5" outlineLevel="1">
      <c r="A114" s="22"/>
      <c r="B114" s="28"/>
      <c r="C114" s="40" t="s">
        <v>130</v>
      </c>
      <c r="D114" s="23"/>
      <c r="E114" s="29"/>
      <c r="F114" s="66" t="s">
        <v>226</v>
      </c>
      <c r="G114" s="67" t="s">
        <v>190</v>
      </c>
      <c r="H114" s="70"/>
      <c r="I114" s="36"/>
      <c r="J114" s="3">
        <v>1</v>
      </c>
      <c r="K114" s="105" t="s">
        <v>229</v>
      </c>
      <c r="L114" s="3"/>
      <c r="M114" s="25"/>
      <c r="N114" s="3"/>
      <c r="O114" s="3"/>
    </row>
    <row r="115" spans="1:15" ht="20.149999999999999" customHeight="1" outlineLevel="1">
      <c r="A115" s="22"/>
      <c r="B115" s="28"/>
      <c r="C115" s="32"/>
      <c r="D115" s="71" t="s">
        <v>191</v>
      </c>
      <c r="E115" s="29"/>
      <c r="F115" s="30"/>
      <c r="G115" s="31"/>
      <c r="H115" s="51"/>
      <c r="I115" s="36"/>
      <c r="J115" s="3">
        <v>1</v>
      </c>
      <c r="K115" s="105" t="s">
        <v>229</v>
      </c>
      <c r="L115" s="3"/>
      <c r="M115" s="25"/>
      <c r="N115" s="3"/>
      <c r="O115" s="3"/>
    </row>
    <row r="116" spans="1:15" ht="20.149999999999999" customHeight="1" outlineLevel="1">
      <c r="A116" s="22"/>
      <c r="B116" s="28"/>
      <c r="C116" s="32"/>
      <c r="D116" s="71" t="s">
        <v>192</v>
      </c>
      <c r="E116" s="29"/>
      <c r="F116" s="30"/>
      <c r="G116" s="31"/>
      <c r="H116" s="51"/>
      <c r="I116" s="36"/>
      <c r="J116" s="3">
        <v>1</v>
      </c>
      <c r="K116" s="105" t="s">
        <v>229</v>
      </c>
      <c r="L116" s="3"/>
      <c r="M116" s="25"/>
      <c r="N116" s="3"/>
      <c r="O116" s="3"/>
    </row>
    <row r="117" spans="1:15" ht="20.149999999999999" customHeight="1" outlineLevel="1">
      <c r="A117" s="22"/>
      <c r="B117" s="28"/>
      <c r="C117" s="32"/>
      <c r="D117" s="71" t="s">
        <v>272</v>
      </c>
      <c r="E117" s="29"/>
      <c r="F117" s="30"/>
      <c r="G117" s="31"/>
      <c r="H117" s="51"/>
      <c r="I117" s="36"/>
      <c r="J117" s="3">
        <v>1</v>
      </c>
      <c r="K117" s="105"/>
      <c r="L117" s="3"/>
      <c r="M117" s="25"/>
      <c r="N117" s="3"/>
      <c r="O117" s="3"/>
    </row>
    <row r="118" spans="1:15" ht="20.149999999999999" customHeight="1" outlineLevel="1">
      <c r="A118" s="22"/>
      <c r="B118" s="28"/>
      <c r="C118" s="32"/>
      <c r="D118" s="71" t="s">
        <v>193</v>
      </c>
      <c r="E118" s="29"/>
      <c r="F118" s="30"/>
      <c r="G118" s="31"/>
      <c r="H118" s="51"/>
      <c r="I118" s="36"/>
      <c r="J118" s="3">
        <v>1</v>
      </c>
      <c r="K118" s="105" t="s">
        <v>229</v>
      </c>
      <c r="L118" s="3"/>
      <c r="M118" s="25"/>
      <c r="N118" s="3"/>
      <c r="O118" s="3"/>
    </row>
    <row r="119" spans="1:15" ht="20.149999999999999" customHeight="1" outlineLevel="1">
      <c r="A119" s="22"/>
      <c r="B119" s="28"/>
      <c r="C119" s="32"/>
      <c r="D119" s="71" t="s">
        <v>273</v>
      </c>
      <c r="E119" s="29"/>
      <c r="F119" s="30"/>
      <c r="G119" s="31"/>
      <c r="H119" s="51"/>
      <c r="I119" s="36"/>
      <c r="J119" s="3">
        <v>1</v>
      </c>
      <c r="K119" s="105"/>
      <c r="L119" s="3"/>
      <c r="M119" s="25"/>
      <c r="N119" s="3"/>
      <c r="O119" s="3"/>
    </row>
    <row r="120" spans="1:15" ht="20.149999999999999" customHeight="1" outlineLevel="1">
      <c r="A120" s="22"/>
      <c r="B120" s="28"/>
      <c r="C120" s="32"/>
      <c r="D120" s="71" t="s">
        <v>194</v>
      </c>
      <c r="E120" s="29"/>
      <c r="F120" s="30"/>
      <c r="G120" s="31"/>
      <c r="H120" s="51"/>
      <c r="I120" s="36"/>
      <c r="J120" s="3">
        <v>1</v>
      </c>
      <c r="K120" s="105" t="s">
        <v>229</v>
      </c>
      <c r="L120" s="3"/>
      <c r="M120" s="25"/>
      <c r="N120" s="3"/>
      <c r="O120" s="3"/>
    </row>
    <row r="121" spans="1:15" ht="20.149999999999999" customHeight="1" outlineLevel="1">
      <c r="A121" s="22"/>
      <c r="B121" s="28"/>
      <c r="C121" s="32"/>
      <c r="D121" s="71" t="s">
        <v>274</v>
      </c>
      <c r="E121" s="29"/>
      <c r="F121" s="30"/>
      <c r="G121" s="31"/>
      <c r="H121" s="51"/>
      <c r="I121" s="36"/>
      <c r="J121" s="3">
        <v>1</v>
      </c>
      <c r="K121" s="105"/>
      <c r="L121" s="3"/>
      <c r="M121" s="25"/>
      <c r="N121" s="3"/>
      <c r="O121" s="3"/>
    </row>
    <row r="122" spans="1:15" ht="20.149999999999999" customHeight="1" outlineLevel="1">
      <c r="A122" s="22"/>
      <c r="B122" s="28"/>
      <c r="C122" s="32"/>
      <c r="D122" s="71" t="s">
        <v>275</v>
      </c>
      <c r="E122" s="29"/>
      <c r="F122" s="30"/>
      <c r="G122" s="31"/>
      <c r="H122" s="51"/>
      <c r="I122" s="36"/>
      <c r="J122" s="3">
        <v>1</v>
      </c>
      <c r="K122" s="105" t="s">
        <v>229</v>
      </c>
      <c r="L122" s="3"/>
      <c r="M122" s="25"/>
      <c r="N122" s="3"/>
      <c r="O122" s="3"/>
    </row>
    <row r="123" spans="1:15" ht="20.149999999999999" customHeight="1" outlineLevel="1">
      <c r="A123" s="22"/>
      <c r="B123" s="28"/>
      <c r="C123" s="32"/>
      <c r="D123" s="71" t="s">
        <v>276</v>
      </c>
      <c r="E123" s="29"/>
      <c r="F123" s="145"/>
      <c r="G123" s="146"/>
      <c r="H123" s="51"/>
      <c r="I123" s="36"/>
      <c r="J123" s="3">
        <v>1</v>
      </c>
      <c r="K123" s="105"/>
      <c r="L123" s="3"/>
      <c r="M123" s="25"/>
      <c r="N123" s="3"/>
      <c r="O123" s="3"/>
    </row>
    <row r="124" spans="1:15" ht="43.5" outlineLevel="1">
      <c r="A124" s="22"/>
      <c r="B124" s="28"/>
      <c r="C124" s="40" t="s">
        <v>131</v>
      </c>
      <c r="D124" s="23"/>
      <c r="E124" s="29"/>
      <c r="F124" s="66" t="s">
        <v>195</v>
      </c>
      <c r="G124" s="67" t="s">
        <v>196</v>
      </c>
      <c r="H124" s="51"/>
      <c r="I124" s="36"/>
      <c r="J124" s="3">
        <v>1</v>
      </c>
      <c r="K124" s="105" t="s">
        <v>229</v>
      </c>
      <c r="L124" s="3"/>
      <c r="M124" s="25"/>
      <c r="N124" s="3"/>
      <c r="O124" s="3"/>
    </row>
    <row r="125" spans="1:15" ht="20.149999999999999" customHeight="1" outlineLevel="1">
      <c r="A125" s="22"/>
      <c r="B125" s="28"/>
      <c r="C125" s="32"/>
      <c r="D125" s="71" t="s">
        <v>197</v>
      </c>
      <c r="E125" s="29"/>
      <c r="F125" s="30"/>
      <c r="G125" s="31"/>
      <c r="H125" s="51"/>
      <c r="I125" s="36"/>
      <c r="J125" s="3">
        <v>1</v>
      </c>
      <c r="K125" s="105" t="s">
        <v>229</v>
      </c>
      <c r="L125" s="3"/>
      <c r="M125" s="25"/>
      <c r="N125" s="3"/>
      <c r="O125" s="3"/>
    </row>
    <row r="126" spans="1:15" ht="20.149999999999999" customHeight="1" outlineLevel="1">
      <c r="A126" s="22"/>
      <c r="B126" s="28"/>
      <c r="C126" s="32"/>
      <c r="D126" s="71" t="s">
        <v>277</v>
      </c>
      <c r="E126" s="29"/>
      <c r="F126" s="30"/>
      <c r="G126" s="31"/>
      <c r="H126" s="51"/>
      <c r="I126" s="36"/>
      <c r="J126" s="3">
        <v>1</v>
      </c>
      <c r="K126" s="105" t="s">
        <v>229</v>
      </c>
      <c r="L126" s="3"/>
      <c r="M126" s="25"/>
      <c r="N126" s="3"/>
      <c r="O126" s="3"/>
    </row>
    <row r="127" spans="1:15" ht="20.149999999999999" customHeight="1" outlineLevel="1">
      <c r="A127" s="22"/>
      <c r="B127" s="28"/>
      <c r="C127" s="32"/>
      <c r="D127" s="71" t="s">
        <v>198</v>
      </c>
      <c r="E127" s="29"/>
      <c r="F127" s="30"/>
      <c r="G127" s="31"/>
      <c r="H127" s="51"/>
      <c r="I127" s="36"/>
      <c r="J127" s="3">
        <v>1</v>
      </c>
      <c r="K127" s="105" t="s">
        <v>229</v>
      </c>
      <c r="L127" s="3"/>
      <c r="M127" s="25"/>
      <c r="N127" s="3"/>
      <c r="O127" s="3"/>
    </row>
    <row r="128" spans="1:15" ht="20.149999999999999" customHeight="1" outlineLevel="1">
      <c r="A128" s="22"/>
      <c r="B128" s="28"/>
      <c r="C128" s="32"/>
      <c r="D128" s="71" t="s">
        <v>248</v>
      </c>
      <c r="E128" s="29"/>
      <c r="F128" s="30"/>
      <c r="G128" s="31"/>
      <c r="H128" s="51"/>
      <c r="I128" s="36"/>
      <c r="J128" s="3">
        <v>1</v>
      </c>
      <c r="K128" s="105" t="s">
        <v>229</v>
      </c>
      <c r="L128" s="3"/>
      <c r="M128" s="25"/>
      <c r="N128" s="3"/>
      <c r="O128" s="3"/>
    </row>
    <row r="129" spans="1:15" ht="20.149999999999999" customHeight="1" outlineLevel="1">
      <c r="A129" s="22"/>
      <c r="B129" s="28"/>
      <c r="C129" s="32"/>
      <c r="D129" s="71" t="s">
        <v>249</v>
      </c>
      <c r="E129" s="29"/>
      <c r="F129" s="30"/>
      <c r="G129" s="31"/>
      <c r="H129" s="51"/>
      <c r="I129" s="36"/>
      <c r="J129" s="3">
        <v>3</v>
      </c>
      <c r="K129" s="105" t="s">
        <v>229</v>
      </c>
      <c r="L129" s="3"/>
      <c r="M129" s="25"/>
      <c r="N129" s="3"/>
      <c r="O129" s="3"/>
    </row>
    <row r="130" spans="1:15" ht="58" outlineLevel="1">
      <c r="A130" s="22"/>
      <c r="B130" s="28"/>
      <c r="C130" s="40" t="s">
        <v>132</v>
      </c>
      <c r="D130" s="23"/>
      <c r="E130" s="29"/>
      <c r="F130" s="66" t="s">
        <v>199</v>
      </c>
      <c r="G130" s="67" t="s">
        <v>200</v>
      </c>
      <c r="H130" s="51"/>
      <c r="I130" s="36"/>
      <c r="J130" s="3">
        <v>1</v>
      </c>
      <c r="K130" s="105" t="s">
        <v>229</v>
      </c>
      <c r="L130" s="3"/>
      <c r="M130" s="25"/>
      <c r="N130" s="3"/>
      <c r="O130" s="3"/>
    </row>
    <row r="131" spans="1:15" ht="20.149999999999999" customHeight="1" outlineLevel="1">
      <c r="A131" s="22"/>
      <c r="B131" s="28"/>
      <c r="C131" s="32"/>
      <c r="D131" s="71" t="s">
        <v>201</v>
      </c>
      <c r="E131" s="29"/>
      <c r="F131" s="30"/>
      <c r="G131" s="31"/>
      <c r="H131" s="51"/>
      <c r="I131" s="36"/>
      <c r="J131" s="3">
        <v>2</v>
      </c>
      <c r="K131" s="105" t="s">
        <v>229</v>
      </c>
      <c r="L131" s="3"/>
      <c r="M131" s="25"/>
      <c r="N131" s="3"/>
      <c r="O131" s="3"/>
    </row>
    <row r="132" spans="1:15" ht="20.149999999999999" customHeight="1" outlineLevel="1">
      <c r="A132" s="22"/>
      <c r="B132" s="28"/>
      <c r="C132" s="32"/>
      <c r="D132" s="71" t="s">
        <v>253</v>
      </c>
      <c r="E132" s="29"/>
      <c r="F132" s="30"/>
      <c r="G132" s="31"/>
      <c r="H132" s="51"/>
      <c r="I132" s="36"/>
      <c r="J132" s="3">
        <v>1</v>
      </c>
      <c r="K132" s="105" t="s">
        <v>229</v>
      </c>
      <c r="L132" s="3"/>
      <c r="M132" s="25"/>
      <c r="N132" s="3"/>
      <c r="O132" s="3"/>
    </row>
    <row r="133" spans="1:15" ht="20.149999999999999" customHeight="1" outlineLevel="1">
      <c r="A133" s="22"/>
      <c r="B133" s="28"/>
      <c r="C133" s="32"/>
      <c r="D133" s="71" t="s">
        <v>250</v>
      </c>
      <c r="E133" s="29"/>
      <c r="F133" s="30"/>
      <c r="G133" s="31"/>
      <c r="H133" s="51"/>
      <c r="I133" s="36"/>
      <c r="J133" s="3">
        <v>1</v>
      </c>
      <c r="K133" s="105" t="s">
        <v>229</v>
      </c>
      <c r="L133" s="3"/>
      <c r="M133" s="25"/>
      <c r="N133" s="3"/>
      <c r="O133" s="3"/>
    </row>
    <row r="134" spans="1:15" ht="20.149999999999999" customHeight="1" outlineLevel="1">
      <c r="A134" s="22"/>
      <c r="B134" s="28"/>
      <c r="C134" s="32"/>
      <c r="D134" s="71" t="s">
        <v>278</v>
      </c>
      <c r="E134" s="29"/>
      <c r="F134" s="30"/>
      <c r="G134" s="31"/>
      <c r="H134" s="51"/>
      <c r="I134" s="36"/>
      <c r="J134" s="3">
        <v>1</v>
      </c>
      <c r="K134" s="105" t="s">
        <v>229</v>
      </c>
      <c r="L134" s="3"/>
      <c r="M134" s="25"/>
      <c r="N134" s="3"/>
      <c r="O134" s="3"/>
    </row>
    <row r="135" spans="1:15" ht="20.149999999999999" customHeight="1" outlineLevel="1">
      <c r="A135" s="22"/>
      <c r="B135" s="28"/>
      <c r="C135" s="32"/>
      <c r="D135" s="71" t="s">
        <v>279</v>
      </c>
      <c r="E135" s="29"/>
      <c r="F135" s="30"/>
      <c r="G135" s="31"/>
      <c r="H135" s="51"/>
      <c r="I135" s="36"/>
      <c r="J135" s="3">
        <v>1</v>
      </c>
      <c r="K135" s="105"/>
      <c r="L135" s="3"/>
      <c r="M135" s="25"/>
      <c r="N135" s="3"/>
      <c r="O135" s="3"/>
    </row>
    <row r="136" spans="1:15" ht="20.149999999999999" customHeight="1" outlineLevel="1">
      <c r="A136" s="22"/>
      <c r="B136" s="28"/>
      <c r="C136" s="32"/>
      <c r="D136" s="71" t="s">
        <v>251</v>
      </c>
      <c r="E136" s="29"/>
      <c r="F136" s="30"/>
      <c r="G136" s="31"/>
      <c r="H136" s="51"/>
      <c r="I136" s="36"/>
      <c r="J136" s="3">
        <v>1</v>
      </c>
      <c r="K136" s="105" t="s">
        <v>229</v>
      </c>
      <c r="L136" s="3"/>
      <c r="M136" s="25"/>
      <c r="N136" s="3"/>
      <c r="O136" s="3"/>
    </row>
    <row r="137" spans="1:15" ht="20.149999999999999" customHeight="1" outlineLevel="1">
      <c r="A137" s="22"/>
      <c r="B137" s="28"/>
      <c r="C137" s="32"/>
      <c r="D137" s="71" t="s">
        <v>252</v>
      </c>
      <c r="E137" s="29"/>
      <c r="F137" s="30"/>
      <c r="G137" s="31"/>
      <c r="H137" s="51"/>
      <c r="I137" s="36"/>
      <c r="J137" s="3">
        <v>1</v>
      </c>
      <c r="K137" s="105" t="s">
        <v>229</v>
      </c>
      <c r="L137" s="3"/>
      <c r="M137" s="25"/>
      <c r="N137" s="3"/>
      <c r="O137" s="3"/>
    </row>
    <row r="138" spans="1:15" ht="43.5" outlineLevel="1">
      <c r="A138" s="22"/>
      <c r="B138" s="28"/>
      <c r="C138" s="40" t="s">
        <v>133</v>
      </c>
      <c r="D138" s="39"/>
      <c r="E138" s="29"/>
      <c r="F138" s="66" t="s">
        <v>202</v>
      </c>
      <c r="G138" s="67" t="s">
        <v>203</v>
      </c>
      <c r="H138" s="51"/>
      <c r="I138" s="36"/>
      <c r="J138" s="3">
        <v>1</v>
      </c>
      <c r="K138" s="105" t="s">
        <v>229</v>
      </c>
      <c r="L138" s="3"/>
      <c r="M138" s="25"/>
      <c r="N138" s="3"/>
      <c r="O138" s="3"/>
    </row>
    <row r="139" spans="1:15" ht="20.149999999999999" customHeight="1" outlineLevel="1">
      <c r="A139" s="22"/>
      <c r="B139" s="28"/>
      <c r="C139" s="29"/>
      <c r="D139" s="37" t="s">
        <v>204</v>
      </c>
      <c r="E139" s="29"/>
      <c r="F139" s="30"/>
      <c r="G139" s="35"/>
      <c r="H139" s="51"/>
      <c r="I139" s="36"/>
      <c r="J139" s="3">
        <v>1</v>
      </c>
      <c r="K139" s="105" t="s">
        <v>229</v>
      </c>
      <c r="L139" s="3"/>
      <c r="M139" s="25"/>
      <c r="N139" s="3"/>
      <c r="O139" s="3"/>
    </row>
    <row r="140" spans="1:15" ht="20.149999999999999" customHeight="1" outlineLevel="1">
      <c r="A140" s="22"/>
      <c r="B140" s="28"/>
      <c r="C140" s="29"/>
      <c r="D140" s="37" t="s">
        <v>205</v>
      </c>
      <c r="E140" s="29"/>
      <c r="F140" s="30"/>
      <c r="G140" s="35"/>
      <c r="H140" s="51"/>
      <c r="I140" s="36"/>
      <c r="J140" s="3">
        <v>2</v>
      </c>
      <c r="K140" s="105" t="s">
        <v>229</v>
      </c>
      <c r="L140" s="3"/>
      <c r="M140" s="25"/>
      <c r="N140" s="3"/>
      <c r="O140" s="3"/>
    </row>
    <row r="141" spans="1:15" ht="20.149999999999999" customHeight="1" outlineLevel="1">
      <c r="A141" s="22"/>
      <c r="B141" s="28"/>
      <c r="C141" s="29"/>
      <c r="D141" s="37" t="s">
        <v>206</v>
      </c>
      <c r="E141" s="29"/>
      <c r="F141" s="30"/>
      <c r="G141" s="35"/>
      <c r="H141" s="51"/>
      <c r="I141" s="36"/>
      <c r="J141" s="3">
        <v>1</v>
      </c>
      <c r="K141" s="105" t="s">
        <v>229</v>
      </c>
      <c r="L141" s="3"/>
      <c r="M141" s="25"/>
      <c r="N141" s="3"/>
      <c r="O141" s="3"/>
    </row>
    <row r="142" spans="1:15" ht="43.5" outlineLevel="1">
      <c r="A142" s="22"/>
      <c r="B142" s="28"/>
      <c r="C142" s="37" t="s">
        <v>134</v>
      </c>
      <c r="D142" s="29"/>
      <c r="E142" s="29"/>
      <c r="F142" s="66" t="s">
        <v>207</v>
      </c>
      <c r="G142" s="67" t="s">
        <v>208</v>
      </c>
      <c r="H142" s="51"/>
      <c r="I142" s="36"/>
      <c r="J142" s="3">
        <v>1</v>
      </c>
      <c r="K142" s="105" t="s">
        <v>229</v>
      </c>
      <c r="L142" s="3"/>
      <c r="M142" s="25"/>
      <c r="N142" s="3"/>
      <c r="O142" s="3"/>
    </row>
    <row r="143" spans="1:15" ht="20.149999999999999" customHeight="1" outlineLevel="1">
      <c r="A143" s="22"/>
      <c r="B143" s="28"/>
      <c r="C143" s="32"/>
      <c r="D143" s="38" t="s">
        <v>209</v>
      </c>
      <c r="E143" s="29"/>
      <c r="F143" s="30"/>
      <c r="G143" s="35"/>
      <c r="H143" s="51"/>
      <c r="I143" s="36"/>
      <c r="J143" s="3">
        <v>1</v>
      </c>
      <c r="K143" s="105" t="s">
        <v>229</v>
      </c>
      <c r="L143" s="3"/>
      <c r="M143" s="25"/>
      <c r="N143" s="3"/>
      <c r="O143" s="3"/>
    </row>
    <row r="144" spans="1:15" ht="20.149999999999999" customHeight="1" outlineLevel="1">
      <c r="A144" s="22"/>
      <c r="B144" s="28"/>
      <c r="C144" s="32"/>
      <c r="D144" s="38" t="s">
        <v>210</v>
      </c>
      <c r="E144" s="29"/>
      <c r="F144" s="30"/>
      <c r="G144" s="35"/>
      <c r="H144" s="51"/>
      <c r="I144" s="36"/>
      <c r="J144" s="3">
        <v>2</v>
      </c>
      <c r="K144" s="105" t="s">
        <v>229</v>
      </c>
      <c r="L144" s="3"/>
      <c r="M144" s="25"/>
      <c r="N144" s="3"/>
      <c r="O144" s="3"/>
    </row>
    <row r="145" spans="1:15" ht="20.149999999999999" customHeight="1" outlineLevel="1">
      <c r="A145" s="22"/>
      <c r="B145" s="28"/>
      <c r="C145" s="32"/>
      <c r="D145" s="38" t="s">
        <v>211</v>
      </c>
      <c r="E145" s="29"/>
      <c r="F145" s="30"/>
      <c r="G145" s="35"/>
      <c r="H145" s="51"/>
      <c r="I145" s="36"/>
      <c r="J145" s="3">
        <v>1</v>
      </c>
      <c r="K145" s="105" t="s">
        <v>229</v>
      </c>
      <c r="L145" s="3"/>
      <c r="M145" s="25"/>
      <c r="N145" s="3"/>
      <c r="O145" s="3"/>
    </row>
    <row r="146" spans="1:15" ht="43.5" outlineLevel="1">
      <c r="A146" s="22"/>
      <c r="B146" s="28"/>
      <c r="C146" s="40" t="s">
        <v>135</v>
      </c>
      <c r="D146" s="29"/>
      <c r="E146" s="29"/>
      <c r="F146" s="66" t="s">
        <v>213</v>
      </c>
      <c r="G146" s="67" t="s">
        <v>214</v>
      </c>
      <c r="H146" s="51"/>
      <c r="I146" s="36"/>
      <c r="J146" s="3">
        <v>1</v>
      </c>
      <c r="K146" s="105" t="s">
        <v>229</v>
      </c>
      <c r="L146" s="3"/>
      <c r="M146" s="25"/>
      <c r="N146" s="3"/>
      <c r="O146" s="3"/>
    </row>
    <row r="147" spans="1:15" ht="20.149999999999999" customHeight="1" outlineLevel="1">
      <c r="A147" s="22"/>
      <c r="B147" s="28"/>
      <c r="C147" s="32"/>
      <c r="D147" s="37" t="s">
        <v>212</v>
      </c>
      <c r="E147" s="29"/>
      <c r="F147" s="30"/>
      <c r="G147" s="31"/>
      <c r="H147" s="51"/>
      <c r="I147" s="36"/>
      <c r="J147" s="3">
        <v>1</v>
      </c>
      <c r="K147" s="105" t="s">
        <v>229</v>
      </c>
      <c r="L147" s="3"/>
      <c r="M147" s="25"/>
      <c r="N147" s="3"/>
      <c r="O147" s="3"/>
    </row>
    <row r="148" spans="1:15" ht="20.149999999999999" customHeight="1" outlineLevel="1">
      <c r="A148" s="22"/>
      <c r="B148" s="28"/>
      <c r="C148" s="32"/>
      <c r="D148" s="37" t="s">
        <v>215</v>
      </c>
      <c r="E148" s="29"/>
      <c r="F148" s="30"/>
      <c r="G148" s="31"/>
      <c r="H148" s="51"/>
      <c r="I148" s="36"/>
      <c r="J148" s="3">
        <v>1</v>
      </c>
      <c r="K148" s="105" t="s">
        <v>229</v>
      </c>
      <c r="L148" s="3"/>
      <c r="M148" s="25"/>
      <c r="N148" s="3"/>
      <c r="O148" s="3"/>
    </row>
    <row r="149" spans="1:15" ht="20.149999999999999" customHeight="1" outlineLevel="1">
      <c r="A149" s="22"/>
      <c r="B149" s="28"/>
      <c r="C149" s="32"/>
      <c r="D149" s="37" t="s">
        <v>216</v>
      </c>
      <c r="E149" s="29"/>
      <c r="F149" s="30"/>
      <c r="G149" s="31"/>
      <c r="H149" s="51"/>
      <c r="I149" s="36"/>
      <c r="J149" s="3">
        <v>1</v>
      </c>
      <c r="K149" s="105" t="s">
        <v>229</v>
      </c>
      <c r="L149" s="3"/>
      <c r="M149" s="25"/>
      <c r="N149" s="3"/>
      <c r="O149" s="3"/>
    </row>
    <row r="150" spans="1:15" ht="20.149999999999999" customHeight="1" outlineLevel="1">
      <c r="A150" s="22"/>
      <c r="B150" s="28"/>
      <c r="C150" s="32"/>
      <c r="D150" s="37" t="s">
        <v>217</v>
      </c>
      <c r="E150" s="29"/>
      <c r="F150" s="30"/>
      <c r="G150" s="31"/>
      <c r="H150" s="51"/>
      <c r="I150" s="36"/>
      <c r="J150" s="3">
        <v>1</v>
      </c>
      <c r="K150" s="105" t="s">
        <v>229</v>
      </c>
      <c r="L150" s="3"/>
      <c r="M150" s="25"/>
      <c r="N150" s="3"/>
      <c r="O150" s="3"/>
    </row>
    <row r="151" spans="1:15" ht="87" outlineLevel="1">
      <c r="A151" s="22"/>
      <c r="B151" s="28"/>
      <c r="C151" s="40" t="s">
        <v>136</v>
      </c>
      <c r="D151" s="29"/>
      <c r="E151" s="29"/>
      <c r="F151" s="66" t="s">
        <v>218</v>
      </c>
      <c r="G151" s="67" t="s">
        <v>219</v>
      </c>
      <c r="H151" s="51"/>
      <c r="I151" s="36"/>
      <c r="J151" s="3">
        <v>1</v>
      </c>
      <c r="K151" s="105" t="s">
        <v>229</v>
      </c>
      <c r="L151" s="3"/>
      <c r="M151" s="25"/>
      <c r="N151" s="3"/>
      <c r="O151" s="3"/>
    </row>
    <row r="152" spans="1:15" ht="20.149999999999999" customHeight="1" outlineLevel="1">
      <c r="A152" s="22"/>
      <c r="B152" s="28"/>
      <c r="C152" s="32"/>
      <c r="D152" s="37" t="s">
        <v>220</v>
      </c>
      <c r="E152" s="29"/>
      <c r="F152" s="30"/>
      <c r="G152" s="35"/>
      <c r="H152" s="51"/>
      <c r="I152" s="36"/>
      <c r="J152" s="3">
        <v>1</v>
      </c>
      <c r="K152" s="105" t="s">
        <v>229</v>
      </c>
      <c r="L152" s="3"/>
      <c r="M152" s="25"/>
      <c r="N152" s="3"/>
      <c r="O152" s="3"/>
    </row>
    <row r="153" spans="1:15" ht="20.149999999999999" customHeight="1" outlineLevel="1">
      <c r="A153" s="22"/>
      <c r="B153" s="28"/>
      <c r="C153" s="72"/>
      <c r="D153" s="37" t="s">
        <v>221</v>
      </c>
      <c r="E153" s="29"/>
      <c r="F153" s="30"/>
      <c r="G153" s="35"/>
      <c r="H153" s="51"/>
      <c r="I153" s="36"/>
      <c r="J153" s="3">
        <v>1</v>
      </c>
      <c r="K153" s="105" t="s">
        <v>229</v>
      </c>
      <c r="L153" s="3"/>
      <c r="M153" s="25"/>
      <c r="N153" s="3"/>
      <c r="O153" s="3"/>
    </row>
    <row r="154" spans="1:15" ht="20.149999999999999" customHeight="1" outlineLevel="1">
      <c r="A154" s="22"/>
      <c r="B154" s="28"/>
      <c r="C154" s="72"/>
      <c r="D154" s="37" t="s">
        <v>222</v>
      </c>
      <c r="E154" s="29"/>
      <c r="F154" s="30"/>
      <c r="G154" s="35"/>
      <c r="H154" s="51"/>
      <c r="I154" s="36"/>
      <c r="J154" s="3">
        <v>1</v>
      </c>
      <c r="K154" s="105" t="s">
        <v>229</v>
      </c>
      <c r="L154" s="3"/>
      <c r="M154" s="25"/>
      <c r="N154" s="3"/>
      <c r="O154" s="3"/>
    </row>
    <row r="155" spans="1:15" ht="20.149999999999999" customHeight="1" outlineLevel="1">
      <c r="A155" s="22"/>
      <c r="B155" s="28"/>
      <c r="C155" s="72"/>
      <c r="D155" s="37" t="s">
        <v>223</v>
      </c>
      <c r="E155" s="29"/>
      <c r="F155" s="30"/>
      <c r="G155" s="35"/>
      <c r="H155" s="51"/>
      <c r="I155" s="36"/>
      <c r="J155" s="3">
        <v>1</v>
      </c>
      <c r="K155" s="105" t="s">
        <v>229</v>
      </c>
      <c r="L155" s="3"/>
      <c r="M155" s="25"/>
      <c r="N155" s="3"/>
      <c r="O155" s="3"/>
    </row>
    <row r="156" spans="1:15" ht="20.149999999999999" customHeight="1" outlineLevel="1">
      <c r="A156" s="22"/>
      <c r="B156" s="28"/>
      <c r="C156" s="72"/>
      <c r="D156" s="37" t="s">
        <v>224</v>
      </c>
      <c r="E156" s="29"/>
      <c r="F156" s="30"/>
      <c r="G156" s="35"/>
      <c r="H156" s="51"/>
      <c r="I156" s="36"/>
      <c r="J156" s="3">
        <v>1</v>
      </c>
      <c r="K156" s="105" t="s">
        <v>229</v>
      </c>
      <c r="L156" s="3"/>
      <c r="M156" s="25"/>
      <c r="N156" s="3"/>
      <c r="O156" s="3"/>
    </row>
    <row r="157" spans="1:15" ht="20.149999999999999" customHeight="1" outlineLevel="1">
      <c r="A157" s="22"/>
      <c r="B157" s="28"/>
      <c r="C157" s="72"/>
      <c r="D157" s="37" t="s">
        <v>225</v>
      </c>
      <c r="E157" s="29"/>
      <c r="F157" s="30"/>
      <c r="G157" s="35"/>
      <c r="H157" s="51"/>
      <c r="I157" s="36"/>
      <c r="J157" s="3">
        <v>1</v>
      </c>
      <c r="K157" s="105" t="s">
        <v>229</v>
      </c>
      <c r="L157" s="3"/>
      <c r="M157" s="25"/>
      <c r="N157" s="3"/>
      <c r="O157" s="3"/>
    </row>
    <row r="158" spans="1:15" ht="20.149999999999999" customHeight="1" outlineLevel="1">
      <c r="A158" s="22"/>
      <c r="B158" s="28" t="s">
        <v>137</v>
      </c>
      <c r="C158" s="42"/>
      <c r="D158" s="29"/>
      <c r="E158" s="29"/>
      <c r="F158" s="30"/>
      <c r="G158" s="31"/>
      <c r="H158" s="51"/>
      <c r="I158" s="36"/>
      <c r="J158" s="3"/>
      <c r="K158" s="105" t="s">
        <v>230</v>
      </c>
      <c r="L158" s="3"/>
      <c r="M158" s="25"/>
      <c r="N158" s="3"/>
      <c r="O158" s="3"/>
    </row>
    <row r="159" spans="1:15" ht="20.149999999999999" customHeight="1" outlineLevel="1">
      <c r="A159" s="22"/>
      <c r="B159" s="28"/>
      <c r="C159" s="40" t="s">
        <v>138</v>
      </c>
      <c r="D159" s="29"/>
      <c r="E159" s="29"/>
      <c r="F159" s="30"/>
      <c r="G159" s="35"/>
      <c r="H159" s="51"/>
      <c r="I159" s="36"/>
      <c r="J159" s="3"/>
      <c r="K159" s="105" t="s">
        <v>230</v>
      </c>
      <c r="L159" s="3"/>
      <c r="M159" s="25"/>
      <c r="N159" s="3"/>
      <c r="O159" s="3"/>
    </row>
    <row r="160" spans="1:15" ht="20.149999999999999" customHeight="1" outlineLevel="1">
      <c r="A160" s="22"/>
      <c r="B160" s="28"/>
      <c r="C160" s="32"/>
      <c r="D160" s="29"/>
      <c r="E160" s="29"/>
      <c r="F160" s="30"/>
      <c r="G160" s="31"/>
      <c r="H160" s="51"/>
      <c r="I160" s="36"/>
      <c r="J160" s="3"/>
      <c r="K160" s="105" t="s">
        <v>230</v>
      </c>
      <c r="L160" s="3"/>
      <c r="M160" s="25"/>
      <c r="N160" s="3"/>
      <c r="O160" s="3"/>
    </row>
    <row r="161" spans="1:15" ht="20.149999999999999" customHeight="1" outlineLevel="1">
      <c r="A161" s="22"/>
      <c r="B161" s="28"/>
      <c r="C161" s="40" t="s">
        <v>139</v>
      </c>
      <c r="D161" s="29"/>
      <c r="E161" s="29"/>
      <c r="F161" s="30"/>
      <c r="G161" s="31"/>
      <c r="H161" s="51"/>
      <c r="I161" s="36"/>
      <c r="J161" s="3"/>
      <c r="K161" s="105" t="s">
        <v>230</v>
      </c>
      <c r="L161" s="3"/>
      <c r="M161" s="25"/>
      <c r="N161" s="3"/>
      <c r="O161" s="3"/>
    </row>
    <row r="162" spans="1:15" ht="20.149999999999999" customHeight="1" outlineLevel="1">
      <c r="A162" s="22"/>
      <c r="B162" s="28"/>
      <c r="C162" s="22"/>
      <c r="D162" s="29"/>
      <c r="E162" s="29"/>
      <c r="F162" s="30"/>
      <c r="G162" s="31"/>
      <c r="H162" s="51"/>
      <c r="I162" s="36"/>
      <c r="J162" s="3"/>
      <c r="K162" s="105" t="s">
        <v>230</v>
      </c>
      <c r="L162" s="3"/>
      <c r="M162" s="25"/>
      <c r="N162" s="3"/>
      <c r="O162" s="3"/>
    </row>
    <row r="163" spans="1:15" ht="20.149999999999999" customHeight="1" outlineLevel="1">
      <c r="A163" s="22"/>
      <c r="B163" s="28"/>
      <c r="C163" s="53" t="s">
        <v>140</v>
      </c>
      <c r="D163" s="29"/>
      <c r="E163" s="29"/>
      <c r="F163" s="30"/>
      <c r="G163" s="31"/>
      <c r="H163" s="51"/>
      <c r="I163" s="36"/>
      <c r="J163" s="41"/>
      <c r="K163" s="105" t="s">
        <v>230</v>
      </c>
      <c r="L163" s="3"/>
      <c r="M163" s="25"/>
      <c r="N163" s="3"/>
      <c r="O163" s="3"/>
    </row>
    <row r="164" spans="1:15" ht="20.149999999999999" customHeight="1" outlineLevel="1">
      <c r="A164" s="22"/>
      <c r="B164" s="28"/>
      <c r="C164" s="22"/>
      <c r="D164" s="29"/>
      <c r="E164" s="29"/>
      <c r="F164" s="30"/>
      <c r="G164" s="31"/>
      <c r="H164" s="51"/>
      <c r="I164" s="36"/>
      <c r="J164" s="41"/>
      <c r="K164" s="105" t="s">
        <v>230</v>
      </c>
      <c r="L164" s="3"/>
      <c r="M164" s="25"/>
      <c r="N164" s="3"/>
      <c r="O164" s="3"/>
    </row>
    <row r="165" spans="1:15" ht="20.149999999999999" customHeight="1" outlineLevel="1">
      <c r="A165" s="22"/>
      <c r="B165" s="28"/>
      <c r="C165" s="53" t="s">
        <v>140</v>
      </c>
      <c r="D165" s="29"/>
      <c r="E165" s="29"/>
      <c r="F165" s="30"/>
      <c r="G165" s="31"/>
      <c r="H165" s="51"/>
      <c r="I165" s="36"/>
      <c r="J165" s="41"/>
      <c r="K165" s="105" t="s">
        <v>230</v>
      </c>
      <c r="L165" s="3"/>
      <c r="M165" s="25"/>
      <c r="N165" s="3"/>
      <c r="O165" s="3"/>
    </row>
    <row r="166" spans="1:15" ht="20.149999999999999" customHeight="1" outlineLevel="1">
      <c r="A166" s="22"/>
      <c r="B166" s="28"/>
      <c r="C166" s="22"/>
      <c r="D166" s="29"/>
      <c r="E166" s="29"/>
      <c r="F166" s="30"/>
      <c r="G166" s="31"/>
      <c r="H166" s="51"/>
      <c r="I166" s="36"/>
      <c r="J166" s="41"/>
      <c r="K166" s="105" t="s">
        <v>230</v>
      </c>
      <c r="L166" s="3"/>
      <c r="M166" s="25"/>
      <c r="N166" s="3"/>
      <c r="O166" s="3"/>
    </row>
    <row r="167" spans="1:15" ht="20.149999999999999" customHeight="1" outlineLevel="1">
      <c r="A167" s="22"/>
      <c r="B167" s="28" t="s">
        <v>141</v>
      </c>
      <c r="C167" s="32"/>
      <c r="D167" s="29"/>
      <c r="E167" s="30"/>
      <c r="F167" s="42"/>
      <c r="G167" s="31"/>
      <c r="H167" s="51"/>
      <c r="I167" s="36"/>
      <c r="J167" s="3"/>
      <c r="K167" s="105" t="s">
        <v>230</v>
      </c>
      <c r="L167" s="3"/>
      <c r="M167" s="25"/>
      <c r="N167" s="3"/>
      <c r="O167" s="3"/>
    </row>
    <row r="168" spans="1:15" ht="20.149999999999999" customHeight="1" outlineLevel="1">
      <c r="A168" s="22"/>
      <c r="B168" s="28"/>
      <c r="C168" s="40" t="s">
        <v>142</v>
      </c>
      <c r="D168" s="32"/>
      <c r="E168" s="29"/>
      <c r="F168" s="30"/>
      <c r="G168" s="31"/>
      <c r="H168" s="51"/>
      <c r="I168" s="36"/>
      <c r="J168" s="3"/>
      <c r="K168" s="105" t="s">
        <v>230</v>
      </c>
      <c r="L168" s="3"/>
      <c r="M168" s="25"/>
      <c r="N168" s="3"/>
      <c r="O168" s="3"/>
    </row>
    <row r="169" spans="1:15" ht="20.149999999999999" customHeight="1" outlineLevel="1">
      <c r="A169" s="22"/>
      <c r="B169" s="28"/>
      <c r="C169" s="32"/>
      <c r="D169" s="23"/>
      <c r="E169" s="23"/>
      <c r="F169" s="30"/>
      <c r="G169" s="31"/>
      <c r="H169" s="51"/>
      <c r="I169" s="36"/>
      <c r="J169" s="3"/>
      <c r="K169" s="105" t="s">
        <v>230</v>
      </c>
      <c r="L169" s="3"/>
      <c r="M169" s="25"/>
      <c r="N169" s="3"/>
      <c r="O169" s="3"/>
    </row>
    <row r="170" spans="1:15" ht="20.149999999999999" customHeight="1" outlineLevel="1">
      <c r="A170" s="22"/>
      <c r="B170" s="28"/>
      <c r="C170" s="40" t="s">
        <v>143</v>
      </c>
      <c r="D170" s="23"/>
      <c r="E170" s="23"/>
      <c r="F170" s="23"/>
      <c r="G170" s="31"/>
      <c r="H170" s="51"/>
      <c r="I170" s="36"/>
      <c r="J170" s="3"/>
      <c r="K170" s="105" t="s">
        <v>230</v>
      </c>
      <c r="L170" s="3"/>
      <c r="M170" s="25"/>
      <c r="N170" s="3"/>
      <c r="O170" s="3"/>
    </row>
    <row r="171" spans="1:15" ht="20.149999999999999" customHeight="1" outlineLevel="1">
      <c r="A171" s="22"/>
      <c r="B171" s="28"/>
      <c r="C171" s="32"/>
      <c r="D171" s="23"/>
      <c r="E171" s="23"/>
      <c r="F171" s="23"/>
      <c r="G171" s="31"/>
      <c r="H171" s="51"/>
      <c r="I171" s="36"/>
      <c r="J171" s="3"/>
      <c r="K171" s="105" t="s">
        <v>230</v>
      </c>
      <c r="L171" s="3"/>
      <c r="M171" s="25"/>
      <c r="N171" s="3"/>
      <c r="O171" s="3"/>
    </row>
    <row r="172" spans="1:15" ht="20.149999999999999" customHeight="1" outlineLevel="1">
      <c r="A172" s="22"/>
      <c r="B172" s="28" t="s">
        <v>144</v>
      </c>
      <c r="C172" s="32"/>
      <c r="D172" s="29"/>
      <c r="E172" s="29"/>
      <c r="F172" s="30"/>
      <c r="G172" s="31"/>
      <c r="H172" s="51"/>
      <c r="I172" s="36"/>
      <c r="J172" s="3"/>
      <c r="K172" s="105" t="s">
        <v>247</v>
      </c>
      <c r="L172" s="105" t="s">
        <v>232</v>
      </c>
      <c r="M172" s="25"/>
      <c r="N172" s="3"/>
      <c r="O172" s="3"/>
    </row>
    <row r="173" spans="1:15" ht="20.149999999999999" customHeight="1" outlineLevel="1">
      <c r="A173" s="22"/>
      <c r="B173" s="28"/>
      <c r="C173" s="40" t="s">
        <v>145</v>
      </c>
      <c r="D173" s="29"/>
      <c r="E173" s="29"/>
      <c r="F173" s="30"/>
      <c r="G173" s="31"/>
      <c r="H173" s="51"/>
      <c r="I173" s="36"/>
      <c r="J173" s="41"/>
      <c r="K173" s="105" t="s">
        <v>231</v>
      </c>
      <c r="L173" s="105" t="s">
        <v>232</v>
      </c>
      <c r="M173" s="25"/>
      <c r="N173" s="3"/>
      <c r="O173" s="3"/>
    </row>
    <row r="174" spans="1:15" ht="20.149999999999999" customHeight="1" outlineLevel="1">
      <c r="A174" s="22"/>
      <c r="B174" s="28"/>
      <c r="C174" s="32"/>
      <c r="D174" s="29"/>
      <c r="E174" s="29"/>
      <c r="F174" s="30"/>
      <c r="G174" s="3"/>
      <c r="H174" s="51"/>
      <c r="I174" s="36"/>
      <c r="J174" s="41"/>
      <c r="K174" s="105" t="s">
        <v>231</v>
      </c>
      <c r="L174" s="105" t="s">
        <v>232</v>
      </c>
      <c r="M174" s="25"/>
      <c r="N174" s="3"/>
      <c r="O174" s="3"/>
    </row>
    <row r="175" spans="1:15" ht="20.149999999999999" customHeight="1" outlineLevel="1">
      <c r="A175" s="22"/>
      <c r="B175" s="28"/>
      <c r="C175" s="40" t="s">
        <v>146</v>
      </c>
      <c r="D175" s="29"/>
      <c r="E175" s="29"/>
      <c r="F175" s="30"/>
      <c r="G175" s="31"/>
      <c r="H175" s="51"/>
      <c r="I175" s="36"/>
      <c r="J175" s="41"/>
      <c r="K175" s="105" t="s">
        <v>231</v>
      </c>
      <c r="L175" s="105" t="s">
        <v>232</v>
      </c>
      <c r="M175" s="25"/>
      <c r="N175" s="3"/>
      <c r="O175" s="3"/>
    </row>
    <row r="176" spans="1:15" ht="20.149999999999999" customHeight="1" outlineLevel="1">
      <c r="A176" s="22"/>
      <c r="B176" s="28"/>
      <c r="C176" s="32"/>
      <c r="D176" s="29"/>
      <c r="E176" s="29"/>
      <c r="F176" s="30"/>
      <c r="G176" s="31"/>
      <c r="H176" s="51"/>
      <c r="I176" s="36"/>
      <c r="J176" s="41"/>
      <c r="K176" s="105" t="s">
        <v>231</v>
      </c>
      <c r="L176" s="105" t="s">
        <v>232</v>
      </c>
      <c r="M176" s="25"/>
      <c r="N176" s="3"/>
      <c r="O176" s="3"/>
    </row>
    <row r="177" spans="1:15" ht="20.149999999999999" customHeight="1" outlineLevel="1">
      <c r="A177" s="22"/>
      <c r="B177" s="28"/>
      <c r="C177" s="40" t="s">
        <v>147</v>
      </c>
      <c r="D177" s="29"/>
      <c r="E177" s="29"/>
      <c r="F177" s="30"/>
      <c r="G177" s="31"/>
      <c r="H177" s="51"/>
      <c r="I177" s="36"/>
      <c r="J177" s="3"/>
      <c r="K177" s="105" t="s">
        <v>231</v>
      </c>
      <c r="L177" s="105" t="s">
        <v>232</v>
      </c>
      <c r="M177" s="25"/>
      <c r="N177" s="3"/>
      <c r="O177" s="3"/>
    </row>
    <row r="178" spans="1:15" ht="20.149999999999999" customHeight="1" outlineLevel="1">
      <c r="A178" s="22"/>
      <c r="B178" s="28"/>
      <c r="C178" s="32"/>
      <c r="D178" s="29"/>
      <c r="E178" s="29"/>
      <c r="F178" s="30"/>
      <c r="G178" s="31"/>
      <c r="H178" s="51"/>
      <c r="I178" s="36"/>
      <c r="J178" s="41"/>
      <c r="K178" s="105" t="s">
        <v>231</v>
      </c>
      <c r="L178" s="105" t="s">
        <v>232</v>
      </c>
      <c r="M178" s="25"/>
      <c r="N178" s="3"/>
      <c r="O178" s="3"/>
    </row>
    <row r="179" spans="1:15" ht="20.149999999999999" customHeight="1" outlineLevel="1">
      <c r="A179" s="22"/>
      <c r="B179" s="28" t="s">
        <v>148</v>
      </c>
      <c r="C179" s="32"/>
      <c r="D179" s="29"/>
      <c r="E179" s="29"/>
      <c r="F179" s="30"/>
      <c r="G179" s="31"/>
      <c r="H179" s="51"/>
      <c r="I179" s="36"/>
      <c r="J179" s="41"/>
      <c r="K179" s="105" t="s">
        <v>231</v>
      </c>
      <c r="L179" s="3"/>
      <c r="M179" s="25"/>
      <c r="N179" s="3"/>
      <c r="O179" s="3"/>
    </row>
    <row r="180" spans="1:15" ht="20.149999999999999" customHeight="1" outlineLevel="1">
      <c r="A180" s="22"/>
      <c r="B180" s="28"/>
      <c r="C180" s="40" t="s">
        <v>149</v>
      </c>
      <c r="D180" s="29"/>
      <c r="E180" s="29"/>
      <c r="F180" s="30"/>
      <c r="G180" s="31"/>
      <c r="H180" s="51"/>
      <c r="I180" s="36"/>
      <c r="J180" s="3"/>
      <c r="K180" s="105" t="s">
        <v>231</v>
      </c>
      <c r="L180" s="3"/>
      <c r="M180" s="25"/>
      <c r="N180" s="3"/>
      <c r="O180" s="3"/>
    </row>
    <row r="181" spans="1:15" ht="20.149999999999999" customHeight="1" outlineLevel="1">
      <c r="A181" s="22"/>
      <c r="B181" s="28"/>
      <c r="C181" s="32"/>
      <c r="D181" s="29"/>
      <c r="E181" s="29"/>
      <c r="F181" s="30"/>
      <c r="G181" s="31"/>
      <c r="H181" s="51"/>
      <c r="I181" s="36"/>
      <c r="J181" s="41"/>
      <c r="K181" s="105" t="s">
        <v>231</v>
      </c>
      <c r="L181" s="3"/>
      <c r="M181" s="25"/>
      <c r="N181" s="3"/>
      <c r="O181" s="3"/>
    </row>
    <row r="182" spans="1:15" ht="20.149999999999999" customHeight="1" outlineLevel="1">
      <c r="A182" s="22"/>
      <c r="B182" s="28"/>
      <c r="C182" s="40" t="s">
        <v>150</v>
      </c>
      <c r="D182" s="29"/>
      <c r="E182" s="29"/>
      <c r="F182" s="30"/>
      <c r="G182" s="31"/>
      <c r="H182" s="51"/>
      <c r="I182" s="36"/>
      <c r="J182" s="41"/>
      <c r="K182" s="105" t="s">
        <v>231</v>
      </c>
      <c r="L182" s="3"/>
      <c r="M182" s="25"/>
      <c r="N182" s="3"/>
      <c r="O182" s="3"/>
    </row>
    <row r="183" spans="1:15" ht="20.149999999999999" customHeight="1" outlineLevel="1">
      <c r="A183" s="22"/>
      <c r="B183" s="28"/>
      <c r="C183" s="32"/>
      <c r="D183" s="29"/>
      <c r="E183" s="29"/>
      <c r="F183" s="30"/>
      <c r="G183" s="31"/>
      <c r="H183" s="51"/>
      <c r="I183" s="36"/>
      <c r="J183" s="41"/>
      <c r="K183" s="105" t="s">
        <v>231</v>
      </c>
      <c r="L183" s="3"/>
      <c r="M183" s="25"/>
      <c r="N183" s="3"/>
      <c r="O183" s="3"/>
    </row>
    <row r="184" spans="1:15" ht="20.149999999999999" customHeight="1" outlineLevel="1">
      <c r="A184" s="22"/>
      <c r="B184" s="28"/>
      <c r="C184" s="40" t="s">
        <v>151</v>
      </c>
      <c r="D184" s="29"/>
      <c r="E184" s="29"/>
      <c r="F184" s="30"/>
      <c r="G184" s="31"/>
      <c r="H184" s="51"/>
      <c r="I184" s="36"/>
      <c r="J184" s="3"/>
      <c r="K184" s="105" t="s">
        <v>231</v>
      </c>
      <c r="L184" s="3"/>
      <c r="M184" s="25"/>
      <c r="N184" s="3"/>
      <c r="O184" s="3"/>
    </row>
    <row r="185" spans="1:15" ht="20.149999999999999" customHeight="1" outlineLevel="1">
      <c r="A185" s="22"/>
      <c r="B185" s="28"/>
      <c r="C185" s="32"/>
      <c r="D185" s="29"/>
      <c r="E185" s="29"/>
      <c r="F185" s="30"/>
      <c r="G185" s="31"/>
      <c r="H185" s="51"/>
      <c r="I185" s="36"/>
      <c r="J185" s="3"/>
      <c r="K185" s="105" t="s">
        <v>231</v>
      </c>
      <c r="L185" s="3"/>
      <c r="M185" s="25"/>
      <c r="N185" s="3"/>
      <c r="O185" s="3"/>
    </row>
    <row r="186" spans="1:15" ht="20.149999999999999" customHeight="1" outlineLevel="1">
      <c r="A186" s="26" t="s">
        <v>152</v>
      </c>
      <c r="B186" s="28"/>
      <c r="C186" s="32"/>
      <c r="D186" s="29"/>
      <c r="E186" s="29"/>
      <c r="F186" s="30"/>
      <c r="G186" s="31"/>
      <c r="H186" s="51"/>
      <c r="I186" s="36"/>
      <c r="J186" s="27">
        <f>SUM(J188:J207)</f>
        <v>0</v>
      </c>
      <c r="K186" s="105" t="s">
        <v>231</v>
      </c>
      <c r="L186" s="3"/>
      <c r="M186" s="25"/>
      <c r="N186" s="3"/>
      <c r="O186" s="3"/>
    </row>
    <row r="187" spans="1:15" ht="20.149999999999999" customHeight="1" outlineLevel="1">
      <c r="A187" s="22"/>
      <c r="B187" s="28" t="s">
        <v>153</v>
      </c>
      <c r="C187" s="32"/>
      <c r="D187" s="29"/>
      <c r="E187" s="29"/>
      <c r="F187" s="30"/>
      <c r="G187" s="31"/>
      <c r="H187" s="51"/>
      <c r="I187" s="36"/>
      <c r="J187" s="3"/>
      <c r="K187" s="105" t="s">
        <v>231</v>
      </c>
      <c r="L187" s="3"/>
      <c r="M187" s="25"/>
      <c r="N187" s="3"/>
      <c r="O187" s="3"/>
    </row>
    <row r="188" spans="1:15" ht="20.149999999999999" customHeight="1" outlineLevel="1">
      <c r="A188" s="22"/>
      <c r="B188" s="28"/>
      <c r="C188" s="40" t="s">
        <v>154</v>
      </c>
      <c r="D188" s="29"/>
      <c r="E188" s="29"/>
      <c r="F188" s="30"/>
      <c r="G188" s="31"/>
      <c r="H188" s="51"/>
      <c r="I188" s="36"/>
      <c r="J188" s="3"/>
      <c r="K188" s="105" t="s">
        <v>231</v>
      </c>
      <c r="L188" s="3"/>
      <c r="M188" s="25"/>
      <c r="N188" s="3"/>
      <c r="O188" s="3"/>
    </row>
    <row r="189" spans="1:15" ht="20.149999999999999" customHeight="1" outlineLevel="1">
      <c r="A189" s="22"/>
      <c r="B189" s="28"/>
      <c r="C189" s="22"/>
      <c r="D189" s="22"/>
      <c r="E189" s="23"/>
      <c r="F189" s="23"/>
      <c r="G189" s="3"/>
      <c r="H189" s="51"/>
      <c r="I189" s="36"/>
      <c r="J189" s="3"/>
      <c r="K189" s="105" t="s">
        <v>231</v>
      </c>
      <c r="L189" s="3"/>
      <c r="M189" s="25"/>
      <c r="N189" s="3"/>
      <c r="O189" s="3"/>
    </row>
    <row r="190" spans="1:15" ht="20.149999999999999" customHeight="1" outlineLevel="1">
      <c r="A190" s="22"/>
      <c r="B190" s="28"/>
      <c r="C190" s="53" t="s">
        <v>155</v>
      </c>
      <c r="D190" s="22"/>
      <c r="E190" s="23"/>
      <c r="F190" s="23"/>
      <c r="G190" s="3"/>
      <c r="H190" s="51"/>
      <c r="I190" s="36"/>
      <c r="J190" s="3"/>
      <c r="K190" s="105" t="s">
        <v>231</v>
      </c>
      <c r="L190" s="3"/>
      <c r="M190" s="25"/>
      <c r="N190" s="3"/>
      <c r="O190" s="3"/>
    </row>
    <row r="191" spans="1:15" ht="20.149999999999999" customHeight="1" outlineLevel="1">
      <c r="A191" s="22"/>
      <c r="B191" s="28"/>
      <c r="C191" s="22"/>
      <c r="D191" s="22"/>
      <c r="E191" s="23"/>
      <c r="F191" s="23"/>
      <c r="G191" s="3"/>
      <c r="H191" s="51"/>
      <c r="I191" s="36"/>
      <c r="J191" s="3"/>
      <c r="K191" s="105" t="s">
        <v>231</v>
      </c>
      <c r="L191" s="3"/>
      <c r="M191" s="25"/>
      <c r="N191" s="3"/>
      <c r="O191" s="3"/>
    </row>
    <row r="192" spans="1:15" ht="20.149999999999999" customHeight="1" outlineLevel="1">
      <c r="A192" s="22"/>
      <c r="B192" s="28"/>
      <c r="C192" s="53" t="s">
        <v>156</v>
      </c>
      <c r="D192" s="22"/>
      <c r="E192" s="23"/>
      <c r="F192" s="23"/>
      <c r="G192" s="3"/>
      <c r="H192" s="51"/>
      <c r="I192" s="36"/>
      <c r="J192" s="3"/>
      <c r="K192" s="105" t="s">
        <v>231</v>
      </c>
      <c r="L192" s="3"/>
      <c r="M192" s="25"/>
      <c r="N192" s="3"/>
      <c r="O192" s="3"/>
    </row>
    <row r="193" spans="1:15" ht="20.149999999999999" customHeight="1" outlineLevel="1">
      <c r="A193" s="22"/>
      <c r="B193" s="28"/>
      <c r="C193" s="22"/>
      <c r="D193" s="22"/>
      <c r="E193" s="23"/>
      <c r="F193" s="23"/>
      <c r="G193" s="3"/>
      <c r="H193" s="51"/>
      <c r="I193" s="36"/>
      <c r="J193" s="3"/>
      <c r="K193" s="105" t="s">
        <v>231</v>
      </c>
      <c r="L193" s="3"/>
      <c r="M193" s="25"/>
      <c r="N193" s="3"/>
      <c r="O193" s="3"/>
    </row>
    <row r="194" spans="1:15" ht="20.149999999999999" customHeight="1" outlineLevel="1">
      <c r="A194" s="22"/>
      <c r="B194" s="28"/>
      <c r="C194" s="53" t="s">
        <v>157</v>
      </c>
      <c r="D194" s="22"/>
      <c r="E194" s="23"/>
      <c r="F194" s="42"/>
      <c r="G194" s="3"/>
      <c r="H194" s="51"/>
      <c r="I194" s="36"/>
      <c r="J194" s="3"/>
      <c r="K194" s="105" t="s">
        <v>231</v>
      </c>
      <c r="L194" s="3"/>
      <c r="M194" s="25"/>
      <c r="N194" s="3"/>
      <c r="O194" s="3"/>
    </row>
    <row r="195" spans="1:15" ht="20.149999999999999" customHeight="1" outlineLevel="1">
      <c r="A195" s="22"/>
      <c r="B195" s="28"/>
      <c r="C195" s="22"/>
      <c r="D195" s="22"/>
      <c r="E195" s="23"/>
      <c r="F195" s="23"/>
      <c r="G195" s="3"/>
      <c r="H195" s="51"/>
      <c r="I195" s="36"/>
      <c r="J195" s="3"/>
      <c r="K195" s="105" t="s">
        <v>231</v>
      </c>
      <c r="L195" s="3"/>
      <c r="M195" s="25"/>
      <c r="N195" s="3"/>
      <c r="O195" s="3"/>
    </row>
    <row r="196" spans="1:15" ht="20.149999999999999" customHeight="1" outlineLevel="1">
      <c r="A196" s="22"/>
      <c r="B196" s="28" t="s">
        <v>158</v>
      </c>
      <c r="C196" s="32"/>
      <c r="D196" s="29"/>
      <c r="E196" s="29"/>
      <c r="F196" s="30"/>
      <c r="G196" s="39"/>
      <c r="H196" s="51"/>
      <c r="I196" s="36"/>
      <c r="J196" s="3"/>
      <c r="K196" s="105" t="s">
        <v>227</v>
      </c>
      <c r="L196" s="105" t="s">
        <v>232</v>
      </c>
      <c r="M196" s="25"/>
      <c r="N196" s="3"/>
      <c r="O196" s="22"/>
    </row>
    <row r="197" spans="1:15" ht="20.149999999999999" customHeight="1" outlineLevel="1">
      <c r="A197" s="22"/>
      <c r="B197" s="28"/>
      <c r="C197" s="37" t="s">
        <v>159</v>
      </c>
      <c r="D197" s="29"/>
      <c r="E197" s="29"/>
      <c r="F197" s="30"/>
      <c r="G197" s="39"/>
      <c r="H197" s="51"/>
      <c r="I197" s="36"/>
      <c r="J197" s="3"/>
      <c r="K197" s="105" t="s">
        <v>227</v>
      </c>
      <c r="L197" s="105" t="s">
        <v>232</v>
      </c>
      <c r="M197" s="25"/>
      <c r="N197" s="3"/>
      <c r="O197" s="3"/>
    </row>
    <row r="198" spans="1:15" ht="20.149999999999999" customHeight="1" outlineLevel="1">
      <c r="A198" s="22"/>
      <c r="B198" s="28"/>
      <c r="C198" s="29"/>
      <c r="D198" s="29"/>
      <c r="E198" s="29"/>
      <c r="F198" s="30"/>
      <c r="G198" s="39"/>
      <c r="H198" s="51"/>
      <c r="I198" s="36"/>
      <c r="J198" s="3"/>
      <c r="K198" s="105" t="s">
        <v>227</v>
      </c>
      <c r="L198" s="105" t="s">
        <v>232</v>
      </c>
      <c r="M198" s="25"/>
      <c r="N198" s="3"/>
      <c r="O198" s="3"/>
    </row>
    <row r="199" spans="1:15" s="144" customFormat="1" ht="20.149999999999999" customHeight="1" outlineLevel="1">
      <c r="A199" s="133"/>
      <c r="B199" s="134"/>
      <c r="C199" s="135" t="s">
        <v>160</v>
      </c>
      <c r="D199" s="136"/>
      <c r="E199" s="136"/>
      <c r="F199" s="137"/>
      <c r="G199" s="138"/>
      <c r="H199" s="139"/>
      <c r="I199" s="140"/>
      <c r="J199" s="141"/>
      <c r="K199" s="142" t="s">
        <v>234</v>
      </c>
      <c r="L199" s="141"/>
      <c r="M199" s="143"/>
      <c r="N199" s="141"/>
      <c r="O199" s="141"/>
    </row>
    <row r="200" spans="1:15" ht="20.149999999999999" customHeight="1" outlineLevel="1">
      <c r="A200" s="22"/>
      <c r="B200" s="28"/>
      <c r="C200" s="29"/>
      <c r="D200" s="29"/>
      <c r="E200" s="29"/>
      <c r="F200" s="30"/>
      <c r="G200" s="39"/>
      <c r="H200" s="51"/>
      <c r="I200" s="36"/>
      <c r="J200" s="3"/>
      <c r="K200" s="105" t="s">
        <v>234</v>
      </c>
      <c r="L200" s="3"/>
      <c r="M200" s="25"/>
      <c r="N200" s="3"/>
      <c r="O200" s="3"/>
    </row>
    <row r="201" spans="1:15" ht="20.149999999999999" customHeight="1" outlineLevel="1">
      <c r="A201" s="22"/>
      <c r="B201" s="28" t="s">
        <v>161</v>
      </c>
      <c r="C201" s="32"/>
      <c r="D201" s="29"/>
      <c r="E201" s="29"/>
      <c r="F201" s="30"/>
      <c r="G201" s="39"/>
      <c r="H201" s="51"/>
      <c r="I201" s="36"/>
      <c r="J201" s="3"/>
      <c r="K201" s="105" t="s">
        <v>232</v>
      </c>
      <c r="L201" s="3"/>
      <c r="M201" s="25"/>
      <c r="N201" s="3"/>
      <c r="O201" s="3"/>
    </row>
    <row r="202" spans="1:15" ht="20.149999999999999" customHeight="1" outlineLevel="1">
      <c r="A202" s="22"/>
      <c r="B202" s="28"/>
      <c r="C202" s="40" t="s">
        <v>162</v>
      </c>
      <c r="D202" s="29"/>
      <c r="E202" s="29"/>
      <c r="F202" s="30"/>
      <c r="G202" s="39"/>
      <c r="H202" s="51"/>
      <c r="I202" s="36"/>
      <c r="J202" s="3"/>
      <c r="K202" s="105" t="s">
        <v>232</v>
      </c>
      <c r="L202" s="3"/>
      <c r="M202" s="25"/>
      <c r="N202" s="3"/>
      <c r="O202" s="3"/>
    </row>
    <row r="203" spans="1:15" ht="20.149999999999999" customHeight="1" outlineLevel="1">
      <c r="A203" s="22"/>
      <c r="B203" s="28"/>
      <c r="C203" s="32"/>
      <c r="D203" s="29"/>
      <c r="E203" s="29"/>
      <c r="F203" s="30"/>
      <c r="G203" s="39"/>
      <c r="H203" s="51"/>
      <c r="I203" s="36"/>
      <c r="J203" s="3"/>
      <c r="K203" s="105" t="s">
        <v>232</v>
      </c>
      <c r="L203" s="3"/>
      <c r="M203" s="25"/>
      <c r="N203" s="3"/>
      <c r="O203" s="3"/>
    </row>
    <row r="204" spans="1:15" ht="20.149999999999999" customHeight="1" outlineLevel="1">
      <c r="A204" s="22"/>
      <c r="B204" s="28"/>
      <c r="C204" s="40" t="s">
        <v>163</v>
      </c>
      <c r="D204" s="29"/>
      <c r="E204" s="29"/>
      <c r="F204" s="30"/>
      <c r="G204" s="39"/>
      <c r="H204" s="51"/>
      <c r="I204" s="36"/>
      <c r="J204" s="3"/>
      <c r="K204" s="105" t="s">
        <v>232</v>
      </c>
      <c r="L204" s="3"/>
      <c r="M204" s="25"/>
      <c r="N204" s="3"/>
      <c r="O204" s="3"/>
    </row>
    <row r="205" spans="1:15" ht="20.149999999999999" customHeight="1" outlineLevel="1">
      <c r="A205" s="22"/>
      <c r="B205" s="28"/>
      <c r="C205" s="32"/>
      <c r="D205" s="29"/>
      <c r="E205" s="29"/>
      <c r="F205" s="30"/>
      <c r="G205" s="39"/>
      <c r="H205" s="51"/>
      <c r="I205" s="36"/>
      <c r="J205" s="3"/>
      <c r="K205" s="105" t="s">
        <v>232</v>
      </c>
      <c r="L205" s="3"/>
      <c r="M205" s="25"/>
      <c r="N205" s="3"/>
      <c r="O205" s="3"/>
    </row>
    <row r="206" spans="1:15" ht="20.149999999999999" customHeight="1" outlineLevel="1">
      <c r="A206" s="22"/>
      <c r="B206" s="28"/>
      <c r="C206" s="40" t="s">
        <v>164</v>
      </c>
      <c r="D206" s="29"/>
      <c r="E206" s="29"/>
      <c r="F206" s="30"/>
      <c r="G206" s="39"/>
      <c r="H206" s="51"/>
      <c r="I206" s="36"/>
      <c r="J206" s="3"/>
      <c r="K206" s="105" t="s">
        <v>232</v>
      </c>
      <c r="L206" s="3"/>
      <c r="M206" s="25"/>
      <c r="N206" s="3"/>
      <c r="O206" s="3"/>
    </row>
    <row r="207" spans="1:15" ht="20.149999999999999" customHeight="1" outlineLevel="1">
      <c r="A207" s="22"/>
      <c r="B207" s="28"/>
      <c r="C207" s="32"/>
      <c r="D207" s="29"/>
      <c r="E207" s="29"/>
      <c r="F207" s="30"/>
      <c r="G207" s="39"/>
      <c r="H207" s="51"/>
      <c r="I207" s="36"/>
      <c r="J207" s="3"/>
      <c r="K207" s="105" t="s">
        <v>232</v>
      </c>
      <c r="L207" s="3"/>
      <c r="M207" s="25"/>
      <c r="N207" s="3"/>
      <c r="O207" s="3"/>
    </row>
    <row r="208" spans="1:15" ht="20.149999999999999" customHeight="1" outlineLevel="1">
      <c r="A208" s="26" t="s">
        <v>165</v>
      </c>
      <c r="B208" s="28"/>
      <c r="C208" s="32"/>
      <c r="D208" s="29"/>
      <c r="E208" s="29"/>
      <c r="F208" s="30"/>
      <c r="G208" s="39"/>
      <c r="H208" s="51"/>
      <c r="I208" s="36"/>
      <c r="J208" s="27">
        <f>SUM(J209:J223)</f>
        <v>0</v>
      </c>
      <c r="K208" s="105" t="s">
        <v>227</v>
      </c>
      <c r="L208" s="3"/>
      <c r="M208" s="25"/>
      <c r="N208" s="3"/>
      <c r="O208" s="3"/>
    </row>
    <row r="209" spans="1:15" ht="20.149999999999999" customHeight="1" outlineLevel="1">
      <c r="A209" s="22"/>
      <c r="B209" s="28" t="s">
        <v>166</v>
      </c>
      <c r="C209" s="32"/>
      <c r="D209" s="29"/>
      <c r="E209" s="29"/>
      <c r="F209" s="30"/>
      <c r="G209" s="39"/>
      <c r="H209" s="51"/>
      <c r="I209" s="36"/>
      <c r="J209" s="3"/>
      <c r="K209" s="105" t="s">
        <v>230</v>
      </c>
      <c r="L209" s="3"/>
      <c r="M209" s="25"/>
      <c r="N209" s="3"/>
      <c r="O209" s="3"/>
    </row>
    <row r="210" spans="1:15" ht="20.149999999999999" customHeight="1" outlineLevel="1">
      <c r="A210" s="22"/>
      <c r="B210" s="28"/>
      <c r="C210" s="40" t="s">
        <v>167</v>
      </c>
      <c r="D210" s="29"/>
      <c r="E210" s="29"/>
      <c r="F210" s="30"/>
      <c r="G210" s="39"/>
      <c r="H210" s="51"/>
      <c r="I210" s="36"/>
      <c r="J210" s="3"/>
      <c r="K210" s="105" t="s">
        <v>230</v>
      </c>
      <c r="L210" s="3"/>
      <c r="M210" s="25"/>
      <c r="N210" s="3"/>
      <c r="O210" s="3"/>
    </row>
    <row r="211" spans="1:15" ht="20.149999999999999" customHeight="1" outlineLevel="1">
      <c r="A211" s="22"/>
      <c r="B211" s="28"/>
      <c r="C211" s="32"/>
      <c r="D211" s="29"/>
      <c r="E211" s="29"/>
      <c r="F211" s="30"/>
      <c r="G211" s="39"/>
      <c r="H211" s="51"/>
      <c r="I211" s="36"/>
      <c r="J211" s="3"/>
      <c r="K211" s="105" t="s">
        <v>230</v>
      </c>
      <c r="L211" s="3"/>
      <c r="M211" s="25"/>
      <c r="N211" s="3"/>
      <c r="O211" s="3"/>
    </row>
    <row r="212" spans="1:15" ht="20.149999999999999" customHeight="1" outlineLevel="1">
      <c r="A212" s="22"/>
      <c r="B212" s="28"/>
      <c r="C212" s="40" t="s">
        <v>168</v>
      </c>
      <c r="D212" s="29"/>
      <c r="E212" s="29"/>
      <c r="F212" s="30"/>
      <c r="G212" s="39"/>
      <c r="H212" s="51"/>
      <c r="I212" s="36"/>
      <c r="J212" s="3"/>
      <c r="K212" s="105" t="s">
        <v>230</v>
      </c>
      <c r="L212" s="3"/>
      <c r="M212" s="25"/>
      <c r="N212" s="3"/>
      <c r="O212" s="3"/>
    </row>
    <row r="213" spans="1:15" ht="20.149999999999999" customHeight="1" outlineLevel="1">
      <c r="A213" s="22"/>
      <c r="B213" s="28"/>
      <c r="C213" s="32"/>
      <c r="D213" s="29"/>
      <c r="E213" s="29"/>
      <c r="F213" s="30"/>
      <c r="G213" s="39"/>
      <c r="H213" s="51"/>
      <c r="I213" s="36"/>
      <c r="J213" s="3"/>
      <c r="K213" s="105" t="s">
        <v>230</v>
      </c>
      <c r="L213" s="3"/>
      <c r="M213" s="25"/>
      <c r="N213" s="3"/>
      <c r="O213" s="3"/>
    </row>
    <row r="214" spans="1:15" ht="20.149999999999999" customHeight="1" outlineLevel="1">
      <c r="A214" s="22"/>
      <c r="B214" s="28" t="s">
        <v>169</v>
      </c>
      <c r="C214" s="32"/>
      <c r="D214" s="29"/>
      <c r="E214" s="29"/>
      <c r="F214" s="30"/>
      <c r="G214" s="39"/>
      <c r="H214" s="51"/>
      <c r="I214" s="36"/>
      <c r="J214" s="3"/>
      <c r="K214" s="105" t="s">
        <v>230</v>
      </c>
      <c r="L214" s="3"/>
      <c r="M214" s="25"/>
      <c r="N214" s="3"/>
      <c r="O214" s="3"/>
    </row>
    <row r="215" spans="1:15" ht="20.149999999999999" customHeight="1" outlineLevel="1">
      <c r="A215" s="22"/>
      <c r="B215" s="28"/>
      <c r="C215" s="40" t="s">
        <v>170</v>
      </c>
      <c r="D215" s="29"/>
      <c r="E215" s="29"/>
      <c r="F215" s="30"/>
      <c r="G215" s="39"/>
      <c r="H215" s="51"/>
      <c r="I215" s="36"/>
      <c r="J215" s="3"/>
      <c r="K215" s="105" t="s">
        <v>230</v>
      </c>
      <c r="L215" s="3"/>
      <c r="M215" s="25"/>
      <c r="N215" s="3"/>
      <c r="O215" s="3"/>
    </row>
    <row r="216" spans="1:15" ht="20.149999999999999" customHeight="1" outlineLevel="1">
      <c r="A216" s="22"/>
      <c r="B216" s="28"/>
      <c r="C216" s="40"/>
      <c r="D216" s="29"/>
      <c r="E216" s="29"/>
      <c r="F216" s="30"/>
      <c r="G216" s="39"/>
      <c r="H216" s="51"/>
      <c r="I216" s="36"/>
      <c r="J216" s="3"/>
      <c r="K216" s="105" t="s">
        <v>230</v>
      </c>
      <c r="L216" s="3"/>
      <c r="M216" s="25"/>
      <c r="N216" s="3"/>
      <c r="O216" s="3"/>
    </row>
    <row r="217" spans="1:15" ht="20.149999999999999" customHeight="1" outlineLevel="1">
      <c r="A217" s="22"/>
      <c r="B217" s="28"/>
      <c r="C217" s="40" t="s">
        <v>171</v>
      </c>
      <c r="D217" s="29"/>
      <c r="E217" s="29"/>
      <c r="F217" s="30"/>
      <c r="G217" s="39"/>
      <c r="H217" s="51"/>
      <c r="I217" s="36"/>
      <c r="J217" s="3"/>
      <c r="K217" s="105" t="s">
        <v>230</v>
      </c>
      <c r="L217" s="3"/>
      <c r="M217" s="25"/>
      <c r="N217" s="3"/>
      <c r="O217" s="3"/>
    </row>
    <row r="218" spans="1:15" ht="20.149999999999999" customHeight="1" outlineLevel="1">
      <c r="A218" s="22"/>
      <c r="B218" s="28"/>
      <c r="C218" s="32"/>
      <c r="D218" s="29"/>
      <c r="E218" s="29"/>
      <c r="F218" s="30"/>
      <c r="G218" s="39"/>
      <c r="H218" s="33"/>
      <c r="I218" s="27"/>
      <c r="J218" s="3"/>
      <c r="K218" s="105" t="s">
        <v>230</v>
      </c>
      <c r="L218" s="3"/>
      <c r="M218" s="25"/>
      <c r="N218" s="3"/>
      <c r="O218" s="3"/>
    </row>
    <row r="219" spans="1:15" ht="20.149999999999999" customHeight="1" outlineLevel="1">
      <c r="A219" s="50"/>
      <c r="B219" s="34" t="s">
        <v>172</v>
      </c>
      <c r="C219" s="39"/>
      <c r="D219" s="39"/>
      <c r="E219" s="39"/>
      <c r="F219" s="39"/>
      <c r="G219" s="39"/>
      <c r="H219" s="73"/>
      <c r="I219" s="36"/>
      <c r="J219" s="35"/>
      <c r="K219" s="105" t="s">
        <v>227</v>
      </c>
      <c r="L219" s="3"/>
      <c r="M219" s="25"/>
      <c r="N219" s="35"/>
      <c r="O219" s="50"/>
    </row>
    <row r="220" spans="1:15" ht="20.149999999999999" customHeight="1" outlineLevel="1">
      <c r="A220" s="22"/>
      <c r="B220" s="28"/>
      <c r="C220" s="53" t="s">
        <v>173</v>
      </c>
      <c r="D220" s="22"/>
      <c r="E220" s="23"/>
      <c r="F220" s="23"/>
      <c r="G220" s="39"/>
      <c r="H220" s="73"/>
      <c r="I220" s="36"/>
      <c r="J220" s="3"/>
      <c r="K220" s="105" t="s">
        <v>227</v>
      </c>
      <c r="L220" s="3"/>
      <c r="M220" s="25"/>
      <c r="N220" s="3"/>
      <c r="O220" s="3"/>
    </row>
    <row r="221" spans="1:15" ht="20.149999999999999" customHeight="1" outlineLevel="1">
      <c r="A221" s="22"/>
      <c r="B221" s="28"/>
      <c r="C221" s="22"/>
      <c r="D221" s="22"/>
      <c r="E221" s="23"/>
      <c r="F221" s="23"/>
      <c r="G221" s="39"/>
      <c r="H221" s="73"/>
      <c r="I221" s="36"/>
      <c r="J221" s="3"/>
      <c r="K221" s="105" t="s">
        <v>227</v>
      </c>
      <c r="L221" s="3"/>
      <c r="M221" s="25"/>
      <c r="N221" s="3"/>
      <c r="O221" s="3"/>
    </row>
    <row r="222" spans="1:15" ht="20.149999999999999" customHeight="1" outlineLevel="1">
      <c r="A222" s="22"/>
      <c r="B222" s="28"/>
      <c r="C222" s="53" t="s">
        <v>174</v>
      </c>
      <c r="D222" s="22"/>
      <c r="E222" s="23"/>
      <c r="F222" s="23"/>
      <c r="G222" s="39"/>
      <c r="H222" s="73"/>
      <c r="I222" s="36"/>
      <c r="J222" s="3"/>
      <c r="K222" s="105" t="s">
        <v>227</v>
      </c>
      <c r="L222" s="3"/>
      <c r="M222" s="25"/>
      <c r="N222" s="3"/>
      <c r="O222" s="3"/>
    </row>
    <row r="223" spans="1:15" ht="20.149999999999999" customHeight="1" outlineLevel="1">
      <c r="A223" s="22"/>
      <c r="B223" s="28"/>
      <c r="C223" s="22"/>
      <c r="D223" s="22"/>
      <c r="E223" s="23"/>
      <c r="F223" s="23"/>
      <c r="G223" s="39"/>
      <c r="H223" s="73"/>
      <c r="I223" s="36"/>
      <c r="J223" s="3"/>
      <c r="K223" s="105" t="s">
        <v>227</v>
      </c>
      <c r="L223" s="3"/>
      <c r="M223" s="25"/>
      <c r="N223" s="3"/>
      <c r="O223" s="3"/>
    </row>
  </sheetData>
  <mergeCells count="25">
    <mergeCell ref="B1:O1"/>
    <mergeCell ref="B7:N7"/>
    <mergeCell ref="F10:H10"/>
    <mergeCell ref="H11:H19"/>
    <mergeCell ref="I11:I19"/>
    <mergeCell ref="K12:K19"/>
    <mergeCell ref="L12:L19"/>
    <mergeCell ref="B6:N6"/>
    <mergeCell ref="B2:N2"/>
    <mergeCell ref="B3:N3"/>
    <mergeCell ref="B4:N4"/>
    <mergeCell ref="B5:N5"/>
    <mergeCell ref="G44:G49"/>
    <mergeCell ref="A51:F51"/>
    <mergeCell ref="O12:O25"/>
    <mergeCell ref="H26:H33"/>
    <mergeCell ref="I26:I33"/>
    <mergeCell ref="H34:H38"/>
    <mergeCell ref="I34:I38"/>
    <mergeCell ref="H39:H50"/>
    <mergeCell ref="I39:I50"/>
    <mergeCell ref="K40:K50"/>
    <mergeCell ref="L40:L50"/>
    <mergeCell ref="H20:H25"/>
    <mergeCell ref="I20:I25"/>
  </mergeCells>
  <phoneticPr fontId="23" type="noConversion"/>
  <dataValidations disablePrompts="1" count="1">
    <dataValidation type="textLength" imeMode="halfHangul" showErrorMessage="1" sqref="M53" xr:uid="{00000000-0002-0000-0100-000000000000}">
      <formula1>Q51</formula1>
      <formula2>#REF!</formula2>
    </dataValidation>
  </dataValidations>
  <pageMargins left="0.25" right="0.25" top="0.75" bottom="0.75" header="0.30000001192092896" footer="0.30000001192092896"/>
  <pageSetup paperSize="9" scale="3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3F9F-5611-43BD-86EB-C3E9EAC99F65}">
  <dimension ref="A1:R39"/>
  <sheetViews>
    <sheetView workbookViewId="0">
      <pane ySplit="3" topLeftCell="A19" activePane="bottomLeft" state="frozen"/>
      <selection pane="bottomLeft" activeCell="F8" sqref="F8"/>
    </sheetView>
  </sheetViews>
  <sheetFormatPr defaultRowHeight="17"/>
  <cols>
    <col min="1" max="4" width="4" style="156" customWidth="1"/>
    <col min="5" max="5" width="30" style="156" customWidth="1"/>
    <col min="6" max="6" width="35" style="156" customWidth="1"/>
    <col min="7" max="7" width="22" style="156" customWidth="1"/>
    <col min="8" max="8" width="7" style="156" customWidth="1"/>
    <col min="9" max="10" width="22" style="156" customWidth="1"/>
    <col min="11" max="11" width="7" style="156" customWidth="1"/>
    <col min="12" max="12" width="12" style="156" customWidth="1"/>
    <col min="13" max="13" width="10" style="156" customWidth="1"/>
    <col min="14" max="17" width="8" style="156" customWidth="1"/>
    <col min="18" max="18" width="20" style="156" customWidth="1"/>
    <col min="19" max="16384" width="8.6640625" style="156"/>
  </cols>
  <sheetData>
    <row r="1" spans="1:18">
      <c r="A1" s="201" t="s">
        <v>564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spans="1:18">
      <c r="A2" s="202" t="s">
        <v>565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</row>
    <row r="3" spans="1:18" ht="44" thickBot="1">
      <c r="A3" s="157" t="s">
        <v>566</v>
      </c>
      <c r="B3" s="157" t="s">
        <v>567</v>
      </c>
      <c r="C3" s="157" t="s">
        <v>568</v>
      </c>
      <c r="D3" s="157" t="s">
        <v>569</v>
      </c>
      <c r="E3" s="157" t="s">
        <v>570</v>
      </c>
      <c r="F3" s="157" t="s">
        <v>571</v>
      </c>
      <c r="G3" s="157" t="s">
        <v>572</v>
      </c>
      <c r="H3" s="170" t="s">
        <v>42</v>
      </c>
      <c r="I3" s="157" t="s">
        <v>573</v>
      </c>
      <c r="J3" s="157" t="s">
        <v>574</v>
      </c>
      <c r="K3" s="157" t="s">
        <v>575</v>
      </c>
      <c r="L3" s="157" t="s">
        <v>576</v>
      </c>
      <c r="M3" s="157" t="s">
        <v>58</v>
      </c>
      <c r="N3" s="157" t="s">
        <v>577</v>
      </c>
      <c r="O3" s="157" t="s">
        <v>578</v>
      </c>
      <c r="P3" s="157" t="s">
        <v>579</v>
      </c>
      <c r="Q3" s="157" t="s">
        <v>580</v>
      </c>
      <c r="R3" s="157" t="s">
        <v>332</v>
      </c>
    </row>
    <row r="4" spans="1:18" ht="17.5" thickBot="1">
      <c r="A4" s="203" t="s">
        <v>581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</row>
    <row r="5" spans="1:18" ht="43.5">
      <c r="A5" s="171" t="s">
        <v>582</v>
      </c>
      <c r="B5" s="171" t="s">
        <v>583</v>
      </c>
      <c r="C5" s="171"/>
      <c r="D5" s="171"/>
      <c r="E5" s="172" t="s">
        <v>584</v>
      </c>
      <c r="F5" s="173" t="s">
        <v>585</v>
      </c>
      <c r="G5" s="174" t="s">
        <v>520</v>
      </c>
      <c r="H5" s="175" t="s">
        <v>586</v>
      </c>
      <c r="I5" s="176" t="s">
        <v>587</v>
      </c>
      <c r="J5" s="173" t="s">
        <v>588</v>
      </c>
      <c r="K5" s="171" t="s">
        <v>589</v>
      </c>
      <c r="L5" s="173"/>
      <c r="M5" s="173"/>
      <c r="N5" s="171" t="s">
        <v>590</v>
      </c>
      <c r="O5" s="177" t="s">
        <v>591</v>
      </c>
      <c r="P5" s="178" t="s">
        <v>592</v>
      </c>
      <c r="Q5" s="173" t="s">
        <v>593</v>
      </c>
      <c r="R5" s="173" t="s">
        <v>594</v>
      </c>
    </row>
    <row r="6" spans="1:18">
      <c r="A6" s="179" t="s">
        <v>582</v>
      </c>
      <c r="B6" s="179" t="s">
        <v>595</v>
      </c>
      <c r="C6" s="179"/>
      <c r="D6" s="179"/>
      <c r="E6" s="180" t="s">
        <v>596</v>
      </c>
      <c r="F6" s="181" t="s">
        <v>597</v>
      </c>
      <c r="G6" s="174" t="s">
        <v>520</v>
      </c>
      <c r="H6" s="175" t="s">
        <v>586</v>
      </c>
      <c r="I6" s="176" t="s">
        <v>598</v>
      </c>
      <c r="J6" s="181" t="s">
        <v>599</v>
      </c>
      <c r="K6" s="179" t="s">
        <v>589</v>
      </c>
      <c r="L6" s="181"/>
      <c r="M6" s="181"/>
      <c r="N6" s="179" t="s">
        <v>590</v>
      </c>
      <c r="O6" s="177" t="s">
        <v>591</v>
      </c>
      <c r="P6" s="178" t="s">
        <v>592</v>
      </c>
      <c r="Q6" s="181" t="s">
        <v>600</v>
      </c>
      <c r="R6" s="181" t="s">
        <v>594</v>
      </c>
    </row>
    <row r="7" spans="1:18" ht="43.5">
      <c r="A7" s="171" t="s">
        <v>582</v>
      </c>
      <c r="B7" s="171" t="s">
        <v>601</v>
      </c>
      <c r="C7" s="171"/>
      <c r="D7" s="171"/>
      <c r="E7" s="182" t="s">
        <v>602</v>
      </c>
      <c r="F7" s="173" t="s">
        <v>603</v>
      </c>
      <c r="G7" s="174" t="s">
        <v>520</v>
      </c>
      <c r="H7" s="175" t="s">
        <v>586</v>
      </c>
      <c r="I7" s="176" t="s">
        <v>604</v>
      </c>
      <c r="J7" s="173" t="s">
        <v>605</v>
      </c>
      <c r="K7" s="171" t="s">
        <v>606</v>
      </c>
      <c r="L7" s="173"/>
      <c r="M7" s="173"/>
      <c r="N7" s="171" t="s">
        <v>590</v>
      </c>
      <c r="O7" s="177" t="s">
        <v>591</v>
      </c>
      <c r="P7" s="183" t="s">
        <v>607</v>
      </c>
      <c r="Q7" s="173" t="s">
        <v>608</v>
      </c>
      <c r="R7" s="173" t="s">
        <v>609</v>
      </c>
    </row>
    <row r="8" spans="1:18" ht="87">
      <c r="A8" s="179" t="s">
        <v>582</v>
      </c>
      <c r="B8" s="179" t="s">
        <v>610</v>
      </c>
      <c r="C8" s="179"/>
      <c r="D8" s="179"/>
      <c r="E8" s="184" t="s">
        <v>611</v>
      </c>
      <c r="F8" s="181" t="s">
        <v>612</v>
      </c>
      <c r="G8" s="174" t="s">
        <v>613</v>
      </c>
      <c r="H8" s="175" t="s">
        <v>586</v>
      </c>
      <c r="I8" s="176" t="s">
        <v>614</v>
      </c>
      <c r="J8" s="181" t="s">
        <v>615</v>
      </c>
      <c r="K8" s="179" t="s">
        <v>616</v>
      </c>
      <c r="L8" s="181"/>
      <c r="M8" s="181"/>
      <c r="N8" s="179" t="s">
        <v>590</v>
      </c>
      <c r="O8" s="177" t="s">
        <v>591</v>
      </c>
      <c r="P8" s="185" t="s">
        <v>458</v>
      </c>
      <c r="Q8" s="181" t="s">
        <v>617</v>
      </c>
      <c r="R8" s="181" t="s">
        <v>618</v>
      </c>
    </row>
    <row r="9" spans="1:18" ht="87.5" thickBot="1">
      <c r="A9" s="171" t="s">
        <v>582</v>
      </c>
      <c r="B9" s="171" t="s">
        <v>619</v>
      </c>
      <c r="C9" s="171"/>
      <c r="D9" s="171"/>
      <c r="E9" s="186" t="s">
        <v>620</v>
      </c>
      <c r="F9" s="173" t="s">
        <v>621</v>
      </c>
      <c r="G9" s="174" t="s">
        <v>528</v>
      </c>
      <c r="H9" s="160" t="s">
        <v>622</v>
      </c>
      <c r="I9" s="176" t="s">
        <v>623</v>
      </c>
      <c r="J9" s="173" t="s">
        <v>624</v>
      </c>
      <c r="K9" s="171" t="s">
        <v>616</v>
      </c>
      <c r="L9" s="173"/>
      <c r="M9" s="173"/>
      <c r="N9" s="171" t="s">
        <v>590</v>
      </c>
      <c r="O9" s="177" t="s">
        <v>591</v>
      </c>
      <c r="P9" s="185" t="s">
        <v>458</v>
      </c>
      <c r="Q9" s="173" t="s">
        <v>625</v>
      </c>
      <c r="R9" s="173" t="s">
        <v>626</v>
      </c>
    </row>
    <row r="10" spans="1:18" ht="17.5" thickBot="1">
      <c r="A10" s="204" t="s">
        <v>627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</row>
    <row r="11" spans="1:18" ht="145">
      <c r="A11" s="179" t="s">
        <v>628</v>
      </c>
      <c r="B11" s="179" t="s">
        <v>583</v>
      </c>
      <c r="C11" s="179"/>
      <c r="D11" s="179"/>
      <c r="E11" s="184" t="s">
        <v>629</v>
      </c>
      <c r="F11" s="181" t="s">
        <v>630</v>
      </c>
      <c r="G11" s="174" t="s">
        <v>631</v>
      </c>
      <c r="H11" s="160" t="s">
        <v>632</v>
      </c>
      <c r="I11" s="176" t="s">
        <v>633</v>
      </c>
      <c r="J11" s="181" t="s">
        <v>634</v>
      </c>
      <c r="K11" s="179" t="s">
        <v>635</v>
      </c>
      <c r="L11" s="181"/>
      <c r="M11" s="181"/>
      <c r="N11" s="179" t="s">
        <v>590</v>
      </c>
      <c r="O11" s="177" t="s">
        <v>591</v>
      </c>
      <c r="P11" s="185" t="s">
        <v>458</v>
      </c>
      <c r="Q11" s="181" t="s">
        <v>636</v>
      </c>
      <c r="R11" s="181" t="s">
        <v>637</v>
      </c>
    </row>
    <row r="12" spans="1:18" ht="174">
      <c r="A12" s="171" t="s">
        <v>628</v>
      </c>
      <c r="B12" s="171" t="s">
        <v>595</v>
      </c>
      <c r="C12" s="171"/>
      <c r="D12" s="171"/>
      <c r="E12" s="186" t="s">
        <v>345</v>
      </c>
      <c r="F12" s="173" t="s">
        <v>638</v>
      </c>
      <c r="G12" s="174" t="s">
        <v>639</v>
      </c>
      <c r="H12" s="160" t="s">
        <v>640</v>
      </c>
      <c r="I12" s="176" t="s">
        <v>641</v>
      </c>
      <c r="J12" s="173" t="s">
        <v>642</v>
      </c>
      <c r="K12" s="171" t="s">
        <v>643</v>
      </c>
      <c r="L12" s="173"/>
      <c r="M12" s="173"/>
      <c r="N12" s="171" t="s">
        <v>590</v>
      </c>
      <c r="O12" s="177" t="s">
        <v>591</v>
      </c>
      <c r="P12" s="185" t="s">
        <v>458</v>
      </c>
      <c r="Q12" s="173" t="s">
        <v>644</v>
      </c>
      <c r="R12" s="173" t="s">
        <v>645</v>
      </c>
    </row>
    <row r="13" spans="1:18" ht="160" thickBot="1">
      <c r="A13" s="179" t="s">
        <v>628</v>
      </c>
      <c r="B13" s="179" t="s">
        <v>601</v>
      </c>
      <c r="C13" s="179"/>
      <c r="D13" s="179"/>
      <c r="E13" s="187" t="s">
        <v>646</v>
      </c>
      <c r="F13" s="181" t="s">
        <v>647</v>
      </c>
      <c r="G13" s="174" t="s">
        <v>648</v>
      </c>
      <c r="H13" s="160" t="s">
        <v>632</v>
      </c>
      <c r="I13" s="176" t="s">
        <v>649</v>
      </c>
      <c r="J13" s="181" t="s">
        <v>650</v>
      </c>
      <c r="K13" s="179" t="s">
        <v>635</v>
      </c>
      <c r="L13" s="181"/>
      <c r="M13" s="181"/>
      <c r="N13" s="179" t="s">
        <v>590</v>
      </c>
      <c r="O13" s="177" t="s">
        <v>591</v>
      </c>
      <c r="P13" s="183" t="s">
        <v>607</v>
      </c>
      <c r="Q13" s="181" t="s">
        <v>651</v>
      </c>
      <c r="R13" s="181" t="s">
        <v>652</v>
      </c>
    </row>
    <row r="14" spans="1:18" ht="17.5" thickBot="1">
      <c r="A14" s="205" t="s">
        <v>653</v>
      </c>
      <c r="B14" s="198"/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</row>
    <row r="15" spans="1:18" ht="72.5">
      <c r="A15" s="171" t="s">
        <v>654</v>
      </c>
      <c r="B15" s="171" t="s">
        <v>583</v>
      </c>
      <c r="C15" s="171"/>
      <c r="D15" s="171"/>
      <c r="E15" s="186" t="s">
        <v>655</v>
      </c>
      <c r="F15" s="173" t="s">
        <v>656</v>
      </c>
      <c r="G15" s="174" t="s">
        <v>657</v>
      </c>
      <c r="H15" s="160" t="s">
        <v>658</v>
      </c>
      <c r="I15" s="176" t="s">
        <v>659</v>
      </c>
      <c r="J15" s="173" t="s">
        <v>660</v>
      </c>
      <c r="K15" s="171" t="s">
        <v>661</v>
      </c>
      <c r="L15" s="173"/>
      <c r="M15" s="173"/>
      <c r="N15" s="171" t="s">
        <v>590</v>
      </c>
      <c r="O15" s="177" t="s">
        <v>591</v>
      </c>
      <c r="P15" s="185" t="s">
        <v>458</v>
      </c>
      <c r="Q15" s="173" t="s">
        <v>662</v>
      </c>
      <c r="R15" s="173" t="s">
        <v>663</v>
      </c>
    </row>
    <row r="16" spans="1:18" ht="29">
      <c r="A16" s="188"/>
      <c r="B16" s="188"/>
      <c r="C16" s="188" t="s">
        <v>583</v>
      </c>
      <c r="D16" s="188"/>
      <c r="E16" s="189" t="s">
        <v>664</v>
      </c>
      <c r="F16" s="190" t="s">
        <v>665</v>
      </c>
      <c r="G16" s="174" t="s">
        <v>666</v>
      </c>
      <c r="H16" s="175"/>
      <c r="I16" s="176" t="s">
        <v>667</v>
      </c>
      <c r="J16" s="190" t="s">
        <v>668</v>
      </c>
      <c r="K16" s="188" t="s">
        <v>606</v>
      </c>
      <c r="L16" s="190"/>
      <c r="M16" s="190"/>
      <c r="N16" s="188" t="s">
        <v>590</v>
      </c>
      <c r="O16" s="177" t="s">
        <v>591</v>
      </c>
      <c r="P16" s="183" t="s">
        <v>607</v>
      </c>
      <c r="Q16" s="190" t="s">
        <v>669</v>
      </c>
      <c r="R16" s="190"/>
    </row>
    <row r="17" spans="1:18" ht="46">
      <c r="A17" s="191"/>
      <c r="B17" s="191"/>
      <c r="C17" s="191" t="s">
        <v>595</v>
      </c>
      <c r="D17" s="191"/>
      <c r="E17" s="189" t="s">
        <v>670</v>
      </c>
      <c r="F17" s="192" t="s">
        <v>671</v>
      </c>
      <c r="G17" s="174" t="s">
        <v>672</v>
      </c>
      <c r="H17" s="175"/>
      <c r="I17" s="176" t="s">
        <v>673</v>
      </c>
      <c r="J17" s="192" t="s">
        <v>674</v>
      </c>
      <c r="K17" s="191" t="s">
        <v>616</v>
      </c>
      <c r="L17" s="192"/>
      <c r="M17" s="192"/>
      <c r="N17" s="191" t="s">
        <v>590</v>
      </c>
      <c r="O17" s="177" t="s">
        <v>591</v>
      </c>
      <c r="P17" s="183" t="s">
        <v>607</v>
      </c>
      <c r="Q17" s="192" t="s">
        <v>675</v>
      </c>
      <c r="R17" s="192"/>
    </row>
    <row r="18" spans="1:18" ht="130.5">
      <c r="A18" s="188"/>
      <c r="B18" s="188"/>
      <c r="C18" s="188" t="s">
        <v>601</v>
      </c>
      <c r="D18" s="188"/>
      <c r="E18" s="193" t="s">
        <v>676</v>
      </c>
      <c r="F18" s="190" t="s">
        <v>677</v>
      </c>
      <c r="G18" s="174" t="s">
        <v>678</v>
      </c>
      <c r="H18" s="175"/>
      <c r="I18" s="176" t="s">
        <v>679</v>
      </c>
      <c r="J18" s="190" t="s">
        <v>680</v>
      </c>
      <c r="K18" s="188" t="s">
        <v>616</v>
      </c>
      <c r="L18" s="190"/>
      <c r="M18" s="190"/>
      <c r="N18" s="188" t="s">
        <v>590</v>
      </c>
      <c r="O18" s="177" t="s">
        <v>591</v>
      </c>
      <c r="P18" s="185" t="s">
        <v>458</v>
      </c>
      <c r="Q18" s="190" t="s">
        <v>681</v>
      </c>
      <c r="R18" s="190" t="s">
        <v>682</v>
      </c>
    </row>
    <row r="19" spans="1:18" ht="43.5">
      <c r="A19" s="191"/>
      <c r="B19" s="191"/>
      <c r="C19" s="191" t="s">
        <v>610</v>
      </c>
      <c r="D19" s="191"/>
      <c r="E19" s="194" t="s">
        <v>683</v>
      </c>
      <c r="F19" s="192" t="s">
        <v>684</v>
      </c>
      <c r="G19" s="174" t="s">
        <v>431</v>
      </c>
      <c r="H19" s="175"/>
      <c r="I19" s="176" t="s">
        <v>685</v>
      </c>
      <c r="J19" s="192" t="s">
        <v>686</v>
      </c>
      <c r="K19" s="191" t="s">
        <v>606</v>
      </c>
      <c r="L19" s="192"/>
      <c r="M19" s="192"/>
      <c r="N19" s="191" t="s">
        <v>590</v>
      </c>
      <c r="O19" s="177" t="s">
        <v>591</v>
      </c>
      <c r="P19" s="178" t="s">
        <v>592</v>
      </c>
      <c r="Q19" s="192" t="s">
        <v>687</v>
      </c>
      <c r="R19" s="192"/>
    </row>
    <row r="20" spans="1:18" ht="58">
      <c r="A20" s="188"/>
      <c r="B20" s="188"/>
      <c r="C20" s="188" t="s">
        <v>619</v>
      </c>
      <c r="D20" s="188"/>
      <c r="E20" s="189" t="s">
        <v>688</v>
      </c>
      <c r="F20" s="190" t="s">
        <v>689</v>
      </c>
      <c r="G20" s="174" t="s">
        <v>690</v>
      </c>
      <c r="H20" s="175"/>
      <c r="I20" s="176" t="s">
        <v>691</v>
      </c>
      <c r="J20" s="190" t="s">
        <v>692</v>
      </c>
      <c r="K20" s="188" t="s">
        <v>606</v>
      </c>
      <c r="L20" s="190"/>
      <c r="M20" s="190"/>
      <c r="N20" s="188" t="s">
        <v>590</v>
      </c>
      <c r="O20" s="177" t="s">
        <v>591</v>
      </c>
      <c r="P20" s="183" t="s">
        <v>607</v>
      </c>
      <c r="Q20" s="190" t="s">
        <v>693</v>
      </c>
      <c r="R20" s="190"/>
    </row>
    <row r="21" spans="1:18" ht="43.5">
      <c r="A21" s="191"/>
      <c r="B21" s="191"/>
      <c r="C21" s="191" t="s">
        <v>694</v>
      </c>
      <c r="D21" s="191"/>
      <c r="E21" s="194" t="s">
        <v>695</v>
      </c>
      <c r="F21" s="192" t="s">
        <v>696</v>
      </c>
      <c r="G21" s="174" t="s">
        <v>439</v>
      </c>
      <c r="H21" s="175"/>
      <c r="I21" s="176" t="s">
        <v>697</v>
      </c>
      <c r="J21" s="192" t="s">
        <v>698</v>
      </c>
      <c r="K21" s="191" t="s">
        <v>606</v>
      </c>
      <c r="L21" s="192"/>
      <c r="M21" s="192"/>
      <c r="N21" s="191" t="s">
        <v>590</v>
      </c>
      <c r="O21" s="177" t="s">
        <v>591</v>
      </c>
      <c r="P21" s="178" t="s">
        <v>592</v>
      </c>
      <c r="Q21" s="192" t="s">
        <v>693</v>
      </c>
      <c r="R21" s="192"/>
    </row>
    <row r="22" spans="1:18" ht="43.5">
      <c r="A22" s="188"/>
      <c r="B22" s="188"/>
      <c r="C22" s="188" t="s">
        <v>699</v>
      </c>
      <c r="D22" s="188"/>
      <c r="E22" s="194" t="s">
        <v>700</v>
      </c>
      <c r="F22" s="190" t="s">
        <v>701</v>
      </c>
      <c r="G22" s="174" t="s">
        <v>446</v>
      </c>
      <c r="H22" s="175"/>
      <c r="I22" s="176" t="s">
        <v>702</v>
      </c>
      <c r="J22" s="190" t="s">
        <v>703</v>
      </c>
      <c r="K22" s="188" t="s">
        <v>589</v>
      </c>
      <c r="L22" s="190"/>
      <c r="M22" s="190"/>
      <c r="N22" s="188" t="s">
        <v>590</v>
      </c>
      <c r="O22" s="177" t="s">
        <v>591</v>
      </c>
      <c r="P22" s="178" t="s">
        <v>592</v>
      </c>
      <c r="Q22" s="190" t="s">
        <v>704</v>
      </c>
      <c r="R22" s="190"/>
    </row>
    <row r="23" spans="1:18" ht="43.5">
      <c r="A23" s="191"/>
      <c r="B23" s="191"/>
      <c r="C23" s="191" t="s">
        <v>705</v>
      </c>
      <c r="D23" s="191"/>
      <c r="E23" s="189" t="s">
        <v>706</v>
      </c>
      <c r="F23" s="192" t="s">
        <v>707</v>
      </c>
      <c r="G23" s="174" t="s">
        <v>450</v>
      </c>
      <c r="H23" s="175"/>
      <c r="I23" s="176" t="s">
        <v>708</v>
      </c>
      <c r="J23" s="192" t="s">
        <v>709</v>
      </c>
      <c r="K23" s="191" t="s">
        <v>606</v>
      </c>
      <c r="L23" s="192"/>
      <c r="M23" s="192"/>
      <c r="N23" s="191" t="s">
        <v>590</v>
      </c>
      <c r="O23" s="177" t="s">
        <v>591</v>
      </c>
      <c r="P23" s="183" t="s">
        <v>607</v>
      </c>
      <c r="Q23" s="192" t="s">
        <v>710</v>
      </c>
      <c r="R23" s="192"/>
    </row>
    <row r="24" spans="1:18" ht="58">
      <c r="A24" s="188"/>
      <c r="B24" s="188"/>
      <c r="C24" s="188" t="s">
        <v>711</v>
      </c>
      <c r="D24" s="188"/>
      <c r="E24" s="193" t="s">
        <v>712</v>
      </c>
      <c r="F24" s="190" t="s">
        <v>713</v>
      </c>
      <c r="G24" s="174" t="s">
        <v>714</v>
      </c>
      <c r="H24" s="175"/>
      <c r="I24" s="176" t="s">
        <v>715</v>
      </c>
      <c r="J24" s="190" t="s">
        <v>716</v>
      </c>
      <c r="K24" s="188" t="s">
        <v>616</v>
      </c>
      <c r="L24" s="190"/>
      <c r="M24" s="190"/>
      <c r="N24" s="188" t="s">
        <v>590</v>
      </c>
      <c r="O24" s="177" t="s">
        <v>591</v>
      </c>
      <c r="P24" s="185" t="s">
        <v>458</v>
      </c>
      <c r="Q24" s="190" t="s">
        <v>710</v>
      </c>
      <c r="R24" s="190" t="s">
        <v>717</v>
      </c>
    </row>
    <row r="25" spans="1:18" ht="130.5">
      <c r="A25" s="171" t="s">
        <v>654</v>
      </c>
      <c r="B25" s="171" t="s">
        <v>595</v>
      </c>
      <c r="C25" s="171"/>
      <c r="D25" s="171"/>
      <c r="E25" s="172" t="s">
        <v>718</v>
      </c>
      <c r="F25" s="173" t="s">
        <v>719</v>
      </c>
      <c r="G25" s="174" t="s">
        <v>720</v>
      </c>
      <c r="H25" s="160" t="s">
        <v>632</v>
      </c>
      <c r="I25" s="176" t="s">
        <v>721</v>
      </c>
      <c r="J25" s="173" t="s">
        <v>722</v>
      </c>
      <c r="K25" s="171" t="s">
        <v>616</v>
      </c>
      <c r="L25" s="173"/>
      <c r="M25" s="173"/>
      <c r="N25" s="171" t="s">
        <v>590</v>
      </c>
      <c r="O25" s="177" t="s">
        <v>591</v>
      </c>
      <c r="P25" s="178" t="s">
        <v>592</v>
      </c>
      <c r="Q25" s="173" t="s">
        <v>723</v>
      </c>
      <c r="R25" s="173" t="s">
        <v>724</v>
      </c>
    </row>
    <row r="26" spans="1:18" ht="72.5">
      <c r="A26" s="179" t="s">
        <v>654</v>
      </c>
      <c r="B26" s="179" t="s">
        <v>601</v>
      </c>
      <c r="C26" s="179"/>
      <c r="D26" s="179"/>
      <c r="E26" s="180" t="s">
        <v>361</v>
      </c>
      <c r="F26" s="181" t="s">
        <v>725</v>
      </c>
      <c r="G26" s="174" t="s">
        <v>726</v>
      </c>
      <c r="H26" s="160" t="s">
        <v>727</v>
      </c>
      <c r="I26" s="176" t="s">
        <v>728</v>
      </c>
      <c r="J26" s="181" t="s">
        <v>729</v>
      </c>
      <c r="K26" s="179" t="s">
        <v>606</v>
      </c>
      <c r="L26" s="181"/>
      <c r="M26" s="181"/>
      <c r="N26" s="179" t="s">
        <v>590</v>
      </c>
      <c r="O26" s="177" t="s">
        <v>591</v>
      </c>
      <c r="P26" s="178" t="s">
        <v>592</v>
      </c>
      <c r="Q26" s="181" t="s">
        <v>730</v>
      </c>
      <c r="R26" s="181"/>
    </row>
    <row r="27" spans="1:18" ht="145">
      <c r="A27" s="171" t="s">
        <v>654</v>
      </c>
      <c r="B27" s="171" t="s">
        <v>610</v>
      </c>
      <c r="C27" s="171"/>
      <c r="D27" s="171"/>
      <c r="E27" s="186" t="s">
        <v>731</v>
      </c>
      <c r="F27" s="173" t="s">
        <v>732</v>
      </c>
      <c r="G27" s="174" t="s">
        <v>733</v>
      </c>
      <c r="H27" s="160" t="s">
        <v>734</v>
      </c>
      <c r="I27" s="176" t="s">
        <v>735</v>
      </c>
      <c r="J27" s="173" t="s">
        <v>736</v>
      </c>
      <c r="K27" s="171" t="s">
        <v>737</v>
      </c>
      <c r="L27" s="173"/>
      <c r="M27" s="173"/>
      <c r="N27" s="171" t="s">
        <v>590</v>
      </c>
      <c r="O27" s="177" t="s">
        <v>591</v>
      </c>
      <c r="P27" s="185" t="s">
        <v>458</v>
      </c>
      <c r="Q27" s="173" t="s">
        <v>738</v>
      </c>
      <c r="R27" s="173" t="s">
        <v>739</v>
      </c>
    </row>
    <row r="28" spans="1:18" ht="116.5" thickBot="1">
      <c r="A28" s="179" t="s">
        <v>654</v>
      </c>
      <c r="B28" s="179" t="s">
        <v>619</v>
      </c>
      <c r="C28" s="179"/>
      <c r="D28" s="179"/>
      <c r="E28" s="180" t="s">
        <v>740</v>
      </c>
      <c r="F28" s="181" t="s">
        <v>741</v>
      </c>
      <c r="G28" s="174" t="s">
        <v>742</v>
      </c>
      <c r="H28" s="160" t="s">
        <v>632</v>
      </c>
      <c r="I28" s="176" t="s">
        <v>743</v>
      </c>
      <c r="J28" s="181" t="s">
        <v>744</v>
      </c>
      <c r="K28" s="179" t="s">
        <v>616</v>
      </c>
      <c r="L28" s="181"/>
      <c r="M28" s="181"/>
      <c r="N28" s="179" t="s">
        <v>590</v>
      </c>
      <c r="O28" s="177" t="s">
        <v>591</v>
      </c>
      <c r="P28" s="178" t="s">
        <v>592</v>
      </c>
      <c r="Q28" s="181" t="s">
        <v>745</v>
      </c>
      <c r="R28" s="181"/>
    </row>
    <row r="29" spans="1:18" ht="17.5" thickBot="1">
      <c r="A29" s="206" t="s">
        <v>746</v>
      </c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</row>
    <row r="30" spans="1:18" ht="188.5">
      <c r="A30" s="171" t="s">
        <v>747</v>
      </c>
      <c r="B30" s="171" t="s">
        <v>583</v>
      </c>
      <c r="C30" s="171"/>
      <c r="D30" s="171"/>
      <c r="E30" s="172" t="s">
        <v>367</v>
      </c>
      <c r="F30" s="173" t="s">
        <v>748</v>
      </c>
      <c r="G30" s="174" t="s">
        <v>749</v>
      </c>
      <c r="H30" s="160" t="s">
        <v>632</v>
      </c>
      <c r="I30" s="176" t="s">
        <v>750</v>
      </c>
      <c r="J30" s="173" t="s">
        <v>751</v>
      </c>
      <c r="K30" s="171" t="s">
        <v>752</v>
      </c>
      <c r="L30" s="173"/>
      <c r="M30" s="173"/>
      <c r="N30" s="171" t="s">
        <v>590</v>
      </c>
      <c r="O30" s="177" t="s">
        <v>591</v>
      </c>
      <c r="P30" s="178" t="s">
        <v>592</v>
      </c>
      <c r="Q30" s="173" t="s">
        <v>753</v>
      </c>
      <c r="R30" s="173" t="s">
        <v>754</v>
      </c>
    </row>
    <row r="31" spans="1:18" ht="72.5">
      <c r="A31" s="179" t="s">
        <v>747</v>
      </c>
      <c r="B31" s="179" t="s">
        <v>595</v>
      </c>
      <c r="C31" s="179"/>
      <c r="D31" s="179"/>
      <c r="E31" s="187" t="s">
        <v>755</v>
      </c>
      <c r="F31" s="181" t="s">
        <v>756</v>
      </c>
      <c r="G31" s="174" t="s">
        <v>757</v>
      </c>
      <c r="H31" s="160" t="s">
        <v>632</v>
      </c>
      <c r="I31" s="176" t="s">
        <v>758</v>
      </c>
      <c r="J31" s="181" t="s">
        <v>759</v>
      </c>
      <c r="K31" s="179" t="s">
        <v>616</v>
      </c>
      <c r="L31" s="181"/>
      <c r="M31" s="181"/>
      <c r="N31" s="179" t="s">
        <v>590</v>
      </c>
      <c r="O31" s="177" t="s">
        <v>591</v>
      </c>
      <c r="P31" s="183" t="s">
        <v>607</v>
      </c>
      <c r="Q31" s="181" t="s">
        <v>760</v>
      </c>
      <c r="R31" s="181" t="s">
        <v>761</v>
      </c>
    </row>
    <row r="32" spans="1:18" ht="102" thickBot="1">
      <c r="A32" s="171" t="s">
        <v>747</v>
      </c>
      <c r="B32" s="171" t="s">
        <v>601</v>
      </c>
      <c r="C32" s="171"/>
      <c r="D32" s="171"/>
      <c r="E32" s="186" t="s">
        <v>369</v>
      </c>
      <c r="F32" s="173" t="s">
        <v>762</v>
      </c>
      <c r="G32" s="174" t="s">
        <v>763</v>
      </c>
      <c r="H32" s="160" t="s">
        <v>640</v>
      </c>
      <c r="I32" s="176" t="s">
        <v>764</v>
      </c>
      <c r="J32" s="173" t="s">
        <v>765</v>
      </c>
      <c r="K32" s="171" t="s">
        <v>616</v>
      </c>
      <c r="L32" s="173"/>
      <c r="M32" s="173"/>
      <c r="N32" s="171" t="s">
        <v>590</v>
      </c>
      <c r="O32" s="177" t="s">
        <v>591</v>
      </c>
      <c r="P32" s="185" t="s">
        <v>458</v>
      </c>
      <c r="Q32" s="173" t="s">
        <v>766</v>
      </c>
      <c r="R32" s="173" t="s">
        <v>767</v>
      </c>
    </row>
    <row r="33" spans="1:18" ht="17.5" thickBot="1">
      <c r="A33" s="197" t="s">
        <v>768</v>
      </c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</row>
    <row r="34" spans="1:18" ht="43.5">
      <c r="A34" s="179" t="s">
        <v>769</v>
      </c>
      <c r="B34" s="179" t="s">
        <v>583</v>
      </c>
      <c r="C34" s="179"/>
      <c r="D34" s="179"/>
      <c r="E34" s="180" t="s">
        <v>375</v>
      </c>
      <c r="F34" s="181" t="s">
        <v>770</v>
      </c>
      <c r="G34" s="174" t="s">
        <v>556</v>
      </c>
      <c r="H34" s="160" t="s">
        <v>632</v>
      </c>
      <c r="I34" s="176" t="s">
        <v>771</v>
      </c>
      <c r="J34" s="181" t="s">
        <v>772</v>
      </c>
      <c r="K34" s="179" t="s">
        <v>606</v>
      </c>
      <c r="L34" s="181"/>
      <c r="M34" s="181"/>
      <c r="N34" s="179" t="s">
        <v>590</v>
      </c>
      <c r="O34" s="177" t="s">
        <v>591</v>
      </c>
      <c r="P34" s="178" t="s">
        <v>592</v>
      </c>
      <c r="Q34" s="181" t="s">
        <v>730</v>
      </c>
      <c r="R34" s="181" t="s">
        <v>773</v>
      </c>
    </row>
    <row r="35" spans="1:18" ht="87">
      <c r="A35" s="171" t="s">
        <v>769</v>
      </c>
      <c r="B35" s="171" t="s">
        <v>595</v>
      </c>
      <c r="C35" s="171"/>
      <c r="D35" s="171"/>
      <c r="E35" s="172" t="s">
        <v>774</v>
      </c>
      <c r="F35" s="173" t="s">
        <v>775</v>
      </c>
      <c r="G35" s="174" t="s">
        <v>560</v>
      </c>
      <c r="H35" s="160" t="s">
        <v>776</v>
      </c>
      <c r="I35" s="176" t="s">
        <v>777</v>
      </c>
      <c r="J35" s="173" t="s">
        <v>778</v>
      </c>
      <c r="K35" s="171" t="s">
        <v>606</v>
      </c>
      <c r="L35" s="173"/>
      <c r="M35" s="173"/>
      <c r="N35" s="171" t="s">
        <v>590</v>
      </c>
      <c r="O35" s="177" t="s">
        <v>591</v>
      </c>
      <c r="P35" s="178" t="s">
        <v>592</v>
      </c>
      <c r="Q35" s="173" t="s">
        <v>779</v>
      </c>
      <c r="R35" s="173"/>
    </row>
    <row r="36" spans="1:18" ht="44" thickBot="1">
      <c r="A36" s="179" t="s">
        <v>769</v>
      </c>
      <c r="B36" s="179" t="s">
        <v>601</v>
      </c>
      <c r="C36" s="179"/>
      <c r="D36" s="179"/>
      <c r="E36" s="180" t="s">
        <v>380</v>
      </c>
      <c r="F36" s="181" t="s">
        <v>780</v>
      </c>
      <c r="G36" s="174" t="s">
        <v>556</v>
      </c>
      <c r="H36" s="160" t="s">
        <v>727</v>
      </c>
      <c r="I36" s="176" t="s">
        <v>781</v>
      </c>
      <c r="J36" s="181" t="s">
        <v>782</v>
      </c>
      <c r="K36" s="179" t="s">
        <v>589</v>
      </c>
      <c r="L36" s="181"/>
      <c r="M36" s="181"/>
      <c r="N36" s="179" t="s">
        <v>590</v>
      </c>
      <c r="O36" s="177" t="s">
        <v>591</v>
      </c>
      <c r="P36" s="178" t="s">
        <v>592</v>
      </c>
      <c r="Q36" s="181" t="s">
        <v>710</v>
      </c>
      <c r="R36" s="181"/>
    </row>
    <row r="37" spans="1:18" ht="17.5" thickBot="1">
      <c r="A37" s="199" t="s">
        <v>783</v>
      </c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</row>
    <row r="38" spans="1:18" ht="116">
      <c r="A38" s="171" t="s">
        <v>784</v>
      </c>
      <c r="B38" s="171"/>
      <c r="C38" s="171"/>
      <c r="D38" s="171"/>
      <c r="E38" s="172" t="s">
        <v>785</v>
      </c>
      <c r="F38" s="173" t="s">
        <v>786</v>
      </c>
      <c r="G38" s="174" t="s">
        <v>586</v>
      </c>
      <c r="H38" s="175" t="s">
        <v>586</v>
      </c>
      <c r="I38" s="176" t="s">
        <v>787</v>
      </c>
      <c r="J38" s="173" t="s">
        <v>788</v>
      </c>
      <c r="K38" s="171" t="s">
        <v>606</v>
      </c>
      <c r="L38" s="173"/>
      <c r="M38" s="173"/>
      <c r="N38" s="171" t="s">
        <v>590</v>
      </c>
      <c r="O38" s="177" t="s">
        <v>591</v>
      </c>
      <c r="P38" s="178" t="s">
        <v>592</v>
      </c>
      <c r="Q38" s="173" t="s">
        <v>789</v>
      </c>
      <c r="R38" s="173"/>
    </row>
    <row r="39" spans="1:18" ht="17.5">
      <c r="A39" s="200" t="s">
        <v>790</v>
      </c>
      <c r="B39" s="198"/>
      <c r="C39" s="198"/>
      <c r="D39" s="198"/>
      <c r="E39" s="198"/>
      <c r="F39" s="198"/>
      <c r="G39" s="198"/>
      <c r="H39" s="195" t="s">
        <v>383</v>
      </c>
      <c r="I39" s="196"/>
      <c r="J39" s="196"/>
      <c r="K39" s="196"/>
      <c r="L39" s="196"/>
      <c r="M39" s="196"/>
      <c r="N39" s="196"/>
      <c r="O39" s="196"/>
      <c r="P39" s="196"/>
      <c r="Q39" s="196"/>
      <c r="R39" s="196"/>
    </row>
  </sheetData>
  <mergeCells count="9">
    <mergeCell ref="A33:R33"/>
    <mergeCell ref="A37:R37"/>
    <mergeCell ref="A39:G39"/>
    <mergeCell ref="A1:R1"/>
    <mergeCell ref="A2:R2"/>
    <mergeCell ref="A4:R4"/>
    <mergeCell ref="A10:R10"/>
    <mergeCell ref="A14:R14"/>
    <mergeCell ref="A29:R29"/>
  </mergeCells>
  <phoneticPr fontId="2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F566-A383-460E-BC9F-500CA91F7E9D}">
  <sheetPr>
    <tabColor theme="9"/>
  </sheetPr>
  <dimension ref="A1:D36"/>
  <sheetViews>
    <sheetView topLeftCell="A3" workbookViewId="0">
      <selection activeCell="F17" sqref="F17"/>
    </sheetView>
  </sheetViews>
  <sheetFormatPr defaultRowHeight="17"/>
  <cols>
    <col min="2" max="2" width="41" customWidth="1"/>
    <col min="3" max="3" width="25.25" customWidth="1"/>
    <col min="4" max="4" width="22" customWidth="1"/>
  </cols>
  <sheetData>
    <row r="1" spans="1:4" ht="21">
      <c r="A1" s="153" t="s">
        <v>280</v>
      </c>
      <c r="B1" s="154"/>
      <c r="C1" s="154"/>
      <c r="D1" s="154"/>
    </row>
    <row r="3" spans="1:4" ht="25.5">
      <c r="A3" s="152" t="s">
        <v>281</v>
      </c>
    </row>
    <row r="5" spans="1:4">
      <c r="A5" s="147" t="s">
        <v>316</v>
      </c>
      <c r="B5" s="148"/>
      <c r="C5" s="148"/>
      <c r="D5" s="148"/>
    </row>
    <row r="6" spans="1:4">
      <c r="A6" s="155" t="s">
        <v>282</v>
      </c>
      <c r="B6" s="155" t="s">
        <v>283</v>
      </c>
      <c r="C6" s="155" t="s">
        <v>284</v>
      </c>
      <c r="D6" s="155" t="s">
        <v>304</v>
      </c>
    </row>
    <row r="7" spans="1:4">
      <c r="A7" s="149"/>
      <c r="B7" s="149" t="s">
        <v>285</v>
      </c>
      <c r="C7" s="149" t="s">
        <v>286</v>
      </c>
      <c r="D7" s="150" t="s">
        <v>305</v>
      </c>
    </row>
    <row r="8" spans="1:4">
      <c r="A8" s="149">
        <v>2</v>
      </c>
      <c r="B8" s="149" t="s">
        <v>310</v>
      </c>
      <c r="C8" s="149" t="s">
        <v>287</v>
      </c>
      <c r="D8" s="150" t="s">
        <v>229</v>
      </c>
    </row>
    <row r="9" spans="1:4">
      <c r="A9" s="149">
        <v>3</v>
      </c>
      <c r="B9" s="149" t="s">
        <v>311</v>
      </c>
      <c r="C9" s="149" t="s">
        <v>288</v>
      </c>
      <c r="D9" s="150" t="s">
        <v>229</v>
      </c>
    </row>
    <row r="10" spans="1:4">
      <c r="A10" s="149">
        <v>4</v>
      </c>
      <c r="B10" s="149" t="s">
        <v>312</v>
      </c>
      <c r="C10" s="149" t="s">
        <v>289</v>
      </c>
      <c r="D10" s="150" t="s">
        <v>229</v>
      </c>
    </row>
    <row r="11" spans="1:4">
      <c r="A11" s="147" t="s">
        <v>317</v>
      </c>
      <c r="B11" s="148"/>
      <c r="C11" s="148"/>
      <c r="D11" s="151"/>
    </row>
    <row r="12" spans="1:4">
      <c r="A12" s="155" t="s">
        <v>282</v>
      </c>
      <c r="B12" s="155" t="s">
        <v>283</v>
      </c>
      <c r="C12" s="155" t="s">
        <v>284</v>
      </c>
      <c r="D12" s="155"/>
    </row>
    <row r="13" spans="1:4">
      <c r="A13" s="149">
        <v>5</v>
      </c>
      <c r="B13" s="149" t="s">
        <v>318</v>
      </c>
      <c r="C13" s="149" t="s">
        <v>290</v>
      </c>
      <c r="D13" s="150" t="s">
        <v>229</v>
      </c>
    </row>
    <row r="14" spans="1:4">
      <c r="A14" s="149">
        <v>6</v>
      </c>
      <c r="B14" s="149" t="s">
        <v>319</v>
      </c>
      <c r="C14" s="149" t="s">
        <v>291</v>
      </c>
      <c r="D14" s="150" t="s">
        <v>229</v>
      </c>
    </row>
    <row r="15" spans="1:4">
      <c r="A15" s="149">
        <v>7</v>
      </c>
      <c r="B15" s="149" t="s">
        <v>313</v>
      </c>
      <c r="C15" s="149" t="s">
        <v>286</v>
      </c>
      <c r="D15" s="150" t="s">
        <v>232</v>
      </c>
    </row>
    <row r="16" spans="1:4">
      <c r="A16" s="149">
        <v>8</v>
      </c>
      <c r="B16" s="149" t="s">
        <v>314</v>
      </c>
      <c r="C16" s="149" t="s">
        <v>286</v>
      </c>
      <c r="D16" s="150" t="s">
        <v>232</v>
      </c>
    </row>
    <row r="17" spans="1:4">
      <c r="A17" s="149">
        <v>9</v>
      </c>
      <c r="B17" s="149" t="s">
        <v>315</v>
      </c>
      <c r="C17" s="149" t="s">
        <v>286</v>
      </c>
      <c r="D17" s="150" t="s">
        <v>232</v>
      </c>
    </row>
    <row r="18" spans="1:4">
      <c r="A18" s="149">
        <v>10</v>
      </c>
      <c r="B18" s="149" t="s">
        <v>320</v>
      </c>
      <c r="C18" s="149" t="s">
        <v>292</v>
      </c>
      <c r="D18" s="150" t="s">
        <v>229</v>
      </c>
    </row>
    <row r="19" spans="1:4">
      <c r="A19" s="147" t="s">
        <v>309</v>
      </c>
      <c r="B19" s="148"/>
      <c r="C19" s="148"/>
      <c r="D19" s="151"/>
    </row>
    <row r="20" spans="1:4">
      <c r="A20" s="155" t="s">
        <v>282</v>
      </c>
      <c r="B20" s="155" t="s">
        <v>283</v>
      </c>
      <c r="C20" s="155" t="s">
        <v>284</v>
      </c>
      <c r="D20" s="155"/>
    </row>
    <row r="21" spans="1:4">
      <c r="A21" s="149">
        <v>11</v>
      </c>
      <c r="B21" s="149" t="s">
        <v>321</v>
      </c>
      <c r="C21" s="149" t="s">
        <v>286</v>
      </c>
      <c r="D21" s="150" t="s">
        <v>229</v>
      </c>
    </row>
    <row r="22" spans="1:4">
      <c r="A22" s="149">
        <v>12</v>
      </c>
      <c r="B22" s="149" t="s">
        <v>323</v>
      </c>
      <c r="C22" s="149" t="s">
        <v>293</v>
      </c>
      <c r="D22" s="150" t="s">
        <v>229</v>
      </c>
    </row>
    <row r="23" spans="1:4">
      <c r="A23" s="149">
        <v>13</v>
      </c>
      <c r="B23" s="149" t="s">
        <v>324</v>
      </c>
      <c r="C23" s="149" t="s">
        <v>294</v>
      </c>
      <c r="D23" s="150" t="s">
        <v>229</v>
      </c>
    </row>
    <row r="24" spans="1:4">
      <c r="A24" s="149">
        <v>14</v>
      </c>
      <c r="B24" s="149" t="s">
        <v>325</v>
      </c>
      <c r="C24" s="149" t="s">
        <v>295</v>
      </c>
      <c r="D24" s="150" t="s">
        <v>229</v>
      </c>
    </row>
    <row r="25" spans="1:4">
      <c r="A25" s="149">
        <v>15</v>
      </c>
      <c r="B25" s="149" t="s">
        <v>326</v>
      </c>
      <c r="C25" s="149" t="s">
        <v>286</v>
      </c>
      <c r="D25" s="150" t="s">
        <v>227</v>
      </c>
    </row>
    <row r="26" spans="1:4">
      <c r="A26" s="149">
        <v>16</v>
      </c>
      <c r="B26" s="149" t="s">
        <v>327</v>
      </c>
      <c r="C26" s="149" t="s">
        <v>296</v>
      </c>
      <c r="D26" s="150" t="s">
        <v>229</v>
      </c>
    </row>
    <row r="27" spans="1:4">
      <c r="A27" s="147" t="s">
        <v>308</v>
      </c>
      <c r="B27" s="148"/>
      <c r="C27" s="148"/>
      <c r="D27" s="151"/>
    </row>
    <row r="28" spans="1:4">
      <c r="A28" s="155" t="s">
        <v>282</v>
      </c>
      <c r="B28" s="155" t="s">
        <v>283</v>
      </c>
      <c r="C28" s="155" t="s">
        <v>284</v>
      </c>
      <c r="D28" s="155"/>
    </row>
    <row r="29" spans="1:4">
      <c r="A29" s="149">
        <v>17</v>
      </c>
      <c r="B29" s="149" t="s">
        <v>297</v>
      </c>
      <c r="C29" s="149" t="s">
        <v>298</v>
      </c>
      <c r="D29" s="150" t="s">
        <v>227</v>
      </c>
    </row>
    <row r="30" spans="1:4">
      <c r="A30" s="149">
        <v>18</v>
      </c>
      <c r="B30" s="149" t="s">
        <v>299</v>
      </c>
      <c r="C30" s="149" t="s">
        <v>298</v>
      </c>
      <c r="D30" s="150" t="s">
        <v>227</v>
      </c>
    </row>
    <row r="31" spans="1:4">
      <c r="A31" s="149">
        <v>19</v>
      </c>
      <c r="B31" s="149" t="s">
        <v>300</v>
      </c>
      <c r="C31" s="149" t="s">
        <v>298</v>
      </c>
      <c r="D31" s="150" t="s">
        <v>227</v>
      </c>
    </row>
    <row r="32" spans="1:4">
      <c r="A32" s="147" t="s">
        <v>322</v>
      </c>
      <c r="B32" s="148"/>
      <c r="C32" s="148"/>
      <c r="D32" s="151"/>
    </row>
    <row r="33" spans="1:4">
      <c r="A33" s="155" t="s">
        <v>282</v>
      </c>
      <c r="B33" s="155" t="s">
        <v>283</v>
      </c>
      <c r="C33" s="155" t="s">
        <v>284</v>
      </c>
      <c r="D33" s="155"/>
    </row>
    <row r="34" spans="1:4">
      <c r="A34" s="149">
        <v>20</v>
      </c>
      <c r="B34" s="149" t="s">
        <v>301</v>
      </c>
      <c r="C34" s="149" t="s">
        <v>286</v>
      </c>
      <c r="D34" s="150" t="s">
        <v>232</v>
      </c>
    </row>
    <row r="35" spans="1:4">
      <c r="A35" s="149">
        <v>21</v>
      </c>
      <c r="B35" s="149" t="s">
        <v>302</v>
      </c>
      <c r="C35" s="149" t="s">
        <v>303</v>
      </c>
      <c r="D35" s="150" t="s">
        <v>227</v>
      </c>
    </row>
    <row r="36" spans="1:4">
      <c r="A36" s="149">
        <v>22</v>
      </c>
      <c r="B36" s="149" t="s">
        <v>306</v>
      </c>
      <c r="C36" s="149" t="s">
        <v>286</v>
      </c>
      <c r="D36" s="150" t="s">
        <v>307</v>
      </c>
    </row>
  </sheetData>
  <phoneticPr fontId="2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41AE-F5F7-46E8-9C61-68442E483765}">
  <sheetPr>
    <tabColor theme="0" tint="-0.249977111117893"/>
  </sheetPr>
  <dimension ref="A1:E19"/>
  <sheetViews>
    <sheetView topLeftCell="A4" workbookViewId="0">
      <selection activeCell="F7" sqref="F7"/>
    </sheetView>
  </sheetViews>
  <sheetFormatPr defaultRowHeight="17"/>
  <cols>
    <col min="1" max="1" width="16.9140625" style="156" customWidth="1"/>
    <col min="2" max="2" width="18" style="156" customWidth="1"/>
    <col min="3" max="3" width="55" style="156" customWidth="1"/>
    <col min="4" max="5" width="8" style="156" customWidth="1"/>
    <col min="6" max="16384" width="8.6640625" style="156"/>
  </cols>
  <sheetData>
    <row r="1" spans="1:5">
      <c r="A1" s="224" t="s">
        <v>328</v>
      </c>
      <c r="B1" s="198"/>
      <c r="C1" s="198"/>
      <c r="D1" s="198"/>
      <c r="E1" s="198"/>
    </row>
    <row r="2" spans="1:5">
      <c r="A2" s="157" t="s">
        <v>329</v>
      </c>
      <c r="B2" s="157" t="s">
        <v>330</v>
      </c>
      <c r="C2" s="157" t="s">
        <v>331</v>
      </c>
      <c r="D2" s="157" t="s">
        <v>42</v>
      </c>
      <c r="E2" s="157" t="s">
        <v>332</v>
      </c>
    </row>
    <row r="3" spans="1:5" ht="43.5">
      <c r="A3" s="158" t="s">
        <v>333</v>
      </c>
      <c r="B3" s="158" t="s">
        <v>334</v>
      </c>
      <c r="C3" s="159" t="s">
        <v>335</v>
      </c>
      <c r="D3" s="160" t="s">
        <v>336</v>
      </c>
      <c r="E3" s="161" t="s">
        <v>337</v>
      </c>
    </row>
    <row r="4" spans="1:5" ht="43.5">
      <c r="A4" s="158" t="s">
        <v>333</v>
      </c>
      <c r="B4" s="158" t="s">
        <v>338</v>
      </c>
      <c r="C4" s="159" t="s">
        <v>339</v>
      </c>
      <c r="D4" s="160" t="s">
        <v>336</v>
      </c>
      <c r="E4" s="161" t="s">
        <v>340</v>
      </c>
    </row>
    <row r="5" spans="1:5" ht="43.5">
      <c r="A5" s="158" t="s">
        <v>341</v>
      </c>
      <c r="B5" s="158" t="s">
        <v>342</v>
      </c>
      <c r="C5" s="159" t="s">
        <v>343</v>
      </c>
      <c r="D5" s="160" t="s">
        <v>336</v>
      </c>
      <c r="E5" s="162" t="s">
        <v>344</v>
      </c>
    </row>
    <row r="6" spans="1:5" ht="43.5">
      <c r="A6" s="158" t="s">
        <v>341</v>
      </c>
      <c r="B6" s="158" t="s">
        <v>345</v>
      </c>
      <c r="C6" s="159" t="s">
        <v>346</v>
      </c>
      <c r="D6" s="160" t="s">
        <v>347</v>
      </c>
      <c r="E6" s="162" t="s">
        <v>348</v>
      </c>
    </row>
    <row r="7" spans="1:5" ht="43.5">
      <c r="A7" s="158" t="s">
        <v>341</v>
      </c>
      <c r="B7" s="158" t="s">
        <v>349</v>
      </c>
      <c r="C7" s="159" t="s">
        <v>350</v>
      </c>
      <c r="D7" s="160" t="s">
        <v>336</v>
      </c>
      <c r="E7" s="161"/>
    </row>
    <row r="8" spans="1:5" ht="29">
      <c r="A8" s="158" t="s">
        <v>351</v>
      </c>
      <c r="B8" s="158" t="s">
        <v>352</v>
      </c>
      <c r="C8" s="159" t="s">
        <v>353</v>
      </c>
      <c r="D8" s="160" t="s">
        <v>354</v>
      </c>
      <c r="E8" s="162" t="s">
        <v>355</v>
      </c>
    </row>
    <row r="9" spans="1:5" ht="29">
      <c r="A9" s="158" t="s">
        <v>351</v>
      </c>
      <c r="B9" s="158" t="s">
        <v>356</v>
      </c>
      <c r="C9" s="159" t="s">
        <v>357</v>
      </c>
      <c r="D9" s="160" t="s">
        <v>336</v>
      </c>
      <c r="E9" s="161"/>
    </row>
    <row r="10" spans="1:5" ht="29">
      <c r="A10" s="158" t="s">
        <v>351</v>
      </c>
      <c r="B10" s="158" t="s">
        <v>358</v>
      </c>
      <c r="C10" s="159" t="s">
        <v>359</v>
      </c>
      <c r="D10" s="160" t="s">
        <v>360</v>
      </c>
      <c r="E10" s="161"/>
    </row>
    <row r="11" spans="1:5" ht="29">
      <c r="A11" s="158" t="s">
        <v>351</v>
      </c>
      <c r="B11" s="158" t="s">
        <v>361</v>
      </c>
      <c r="C11" s="159" t="s">
        <v>362</v>
      </c>
      <c r="D11" s="160" t="s">
        <v>363</v>
      </c>
      <c r="E11" s="161"/>
    </row>
    <row r="12" spans="1:5" ht="29">
      <c r="A12" s="158" t="s">
        <v>351</v>
      </c>
      <c r="B12" s="158" t="s">
        <v>364</v>
      </c>
      <c r="C12" s="159" t="s">
        <v>365</v>
      </c>
      <c r="D12" s="160" t="s">
        <v>336</v>
      </c>
      <c r="E12" s="161"/>
    </row>
    <row r="13" spans="1:5" ht="29">
      <c r="A13" s="158" t="s">
        <v>366</v>
      </c>
      <c r="B13" s="158" t="s">
        <v>367</v>
      </c>
      <c r="C13" s="159" t="s">
        <v>368</v>
      </c>
      <c r="D13" s="160" t="s">
        <v>336</v>
      </c>
      <c r="E13" s="161"/>
    </row>
    <row r="14" spans="1:5" ht="29">
      <c r="A14" s="158" t="s">
        <v>366</v>
      </c>
      <c r="B14" s="158" t="s">
        <v>369</v>
      </c>
      <c r="C14" s="159" t="s">
        <v>370</v>
      </c>
      <c r="D14" s="160" t="s">
        <v>347</v>
      </c>
      <c r="E14" s="162" t="s">
        <v>371</v>
      </c>
    </row>
    <row r="15" spans="1:5" ht="29">
      <c r="A15" s="158" t="s">
        <v>366</v>
      </c>
      <c r="B15" s="158" t="s">
        <v>372</v>
      </c>
      <c r="C15" s="159" t="s">
        <v>373</v>
      </c>
      <c r="D15" s="160" t="s">
        <v>336</v>
      </c>
      <c r="E15" s="161"/>
    </row>
    <row r="16" spans="1:5" ht="29">
      <c r="A16" s="158" t="s">
        <v>374</v>
      </c>
      <c r="B16" s="158" t="s">
        <v>375</v>
      </c>
      <c r="C16" s="159" t="s">
        <v>376</v>
      </c>
      <c r="D16" s="160" t="s">
        <v>336</v>
      </c>
      <c r="E16" s="161"/>
    </row>
    <row r="17" spans="1:5" ht="29">
      <c r="A17" s="158" t="s">
        <v>374</v>
      </c>
      <c r="B17" s="158" t="s">
        <v>377</v>
      </c>
      <c r="C17" s="159" t="s">
        <v>378</v>
      </c>
      <c r="D17" s="160" t="s">
        <v>379</v>
      </c>
      <c r="E17" s="161"/>
    </row>
    <row r="18" spans="1:5" ht="29">
      <c r="A18" s="158" t="s">
        <v>374</v>
      </c>
      <c r="B18" s="158" t="s">
        <v>380</v>
      </c>
      <c r="C18" s="159" t="s">
        <v>381</v>
      </c>
      <c r="D18" s="160" t="s">
        <v>363</v>
      </c>
      <c r="E18" s="161"/>
    </row>
    <row r="19" spans="1:5">
      <c r="A19" s="225" t="s">
        <v>382</v>
      </c>
      <c r="B19" s="198"/>
      <c r="C19" s="198"/>
      <c r="D19" s="163" t="s">
        <v>383</v>
      </c>
    </row>
  </sheetData>
  <mergeCells count="2">
    <mergeCell ref="A1:E1"/>
    <mergeCell ref="A19:C19"/>
  </mergeCells>
  <phoneticPr fontId="2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DD34-8722-4F82-A1E3-69EC0C4EB1D8}">
  <sheetPr>
    <tabColor theme="8" tint="-0.249977111117893"/>
  </sheetPr>
  <dimension ref="A1:E50"/>
  <sheetViews>
    <sheetView workbookViewId="0">
      <pane ySplit="2" topLeftCell="A39" activePane="bottomLeft" state="frozen"/>
      <selection pane="bottomLeft" activeCell="G5" sqref="G5"/>
    </sheetView>
  </sheetViews>
  <sheetFormatPr defaultRowHeight="17"/>
  <cols>
    <col min="1" max="1" width="10" style="156" customWidth="1"/>
    <col min="2" max="2" width="20" style="156" customWidth="1"/>
    <col min="3" max="3" width="35" style="156" customWidth="1"/>
    <col min="4" max="4" width="30" style="156" customWidth="1"/>
    <col min="5" max="5" width="6" style="156" bestFit="1" customWidth="1"/>
    <col min="6" max="16384" width="8.6640625" style="156"/>
  </cols>
  <sheetData>
    <row r="1" spans="1:5">
      <c r="A1" s="224" t="s">
        <v>384</v>
      </c>
      <c r="B1" s="198"/>
      <c r="C1" s="198"/>
      <c r="D1" s="198"/>
      <c r="E1" s="198"/>
    </row>
    <row r="2" spans="1:5">
      <c r="A2" s="157" t="s">
        <v>385</v>
      </c>
      <c r="B2" s="157" t="s">
        <v>386</v>
      </c>
      <c r="C2" s="157" t="s">
        <v>387</v>
      </c>
      <c r="D2" s="157" t="s">
        <v>388</v>
      </c>
      <c r="E2" s="157" t="s">
        <v>389</v>
      </c>
    </row>
    <row r="3" spans="1:5" ht="30" customHeight="1">
      <c r="A3" s="164" t="s">
        <v>390</v>
      </c>
      <c r="B3" s="159" t="s">
        <v>391</v>
      </c>
      <c r="C3" s="159" t="s">
        <v>392</v>
      </c>
      <c r="D3" s="159" t="s">
        <v>393</v>
      </c>
      <c r="E3" s="165" t="s">
        <v>394</v>
      </c>
    </row>
    <row r="4" spans="1:5" ht="30" customHeight="1">
      <c r="A4" s="166" t="s">
        <v>395</v>
      </c>
      <c r="B4" s="167" t="s">
        <v>396</v>
      </c>
      <c r="C4" s="167" t="s">
        <v>397</v>
      </c>
      <c r="D4" s="167" t="s">
        <v>398</v>
      </c>
      <c r="E4" s="165" t="s">
        <v>394</v>
      </c>
    </row>
    <row r="5" spans="1:5" ht="30" customHeight="1">
      <c r="A5" s="164" t="s">
        <v>399</v>
      </c>
      <c r="B5" s="159" t="s">
        <v>400</v>
      </c>
      <c r="C5" s="159" t="s">
        <v>401</v>
      </c>
      <c r="D5" s="159" t="s">
        <v>402</v>
      </c>
      <c r="E5" s="165" t="s">
        <v>394</v>
      </c>
    </row>
    <row r="6" spans="1:5" ht="30" customHeight="1">
      <c r="A6" s="166" t="s">
        <v>403</v>
      </c>
      <c r="B6" s="167" t="s">
        <v>404</v>
      </c>
      <c r="C6" s="167" t="s">
        <v>405</v>
      </c>
      <c r="D6" s="167" t="s">
        <v>406</v>
      </c>
      <c r="E6" s="165" t="s">
        <v>394</v>
      </c>
    </row>
    <row r="7" spans="1:5" ht="30" customHeight="1">
      <c r="A7" s="164" t="s">
        <v>407</v>
      </c>
      <c r="B7" s="159" t="s">
        <v>408</v>
      </c>
      <c r="C7" s="159" t="s">
        <v>409</v>
      </c>
      <c r="D7" s="159" t="s">
        <v>402</v>
      </c>
      <c r="E7" s="165" t="s">
        <v>394</v>
      </c>
    </row>
    <row r="8" spans="1:5" ht="30" customHeight="1">
      <c r="A8" s="166" t="s">
        <v>410</v>
      </c>
      <c r="B8" s="167" t="s">
        <v>411</v>
      </c>
      <c r="C8" s="167" t="s">
        <v>412</v>
      </c>
      <c r="D8" s="167" t="s">
        <v>413</v>
      </c>
      <c r="E8" s="165" t="s">
        <v>394</v>
      </c>
    </row>
    <row r="9" spans="1:5" ht="30" customHeight="1">
      <c r="A9" s="164" t="s">
        <v>414</v>
      </c>
      <c r="B9" s="159" t="s">
        <v>415</v>
      </c>
      <c r="C9" s="159" t="s">
        <v>416</v>
      </c>
      <c r="D9" s="159" t="s">
        <v>417</v>
      </c>
      <c r="E9" s="165" t="s">
        <v>394</v>
      </c>
    </row>
    <row r="10" spans="1:5" ht="30" customHeight="1">
      <c r="A10" s="166" t="s">
        <v>418</v>
      </c>
      <c r="B10" s="167" t="s">
        <v>419</v>
      </c>
      <c r="C10" s="167" t="s">
        <v>420</v>
      </c>
      <c r="D10" s="167" t="s">
        <v>421</v>
      </c>
      <c r="E10" s="168" t="s">
        <v>422</v>
      </c>
    </row>
    <row r="11" spans="1:5" ht="30" customHeight="1">
      <c r="A11" s="164" t="s">
        <v>423</v>
      </c>
      <c r="B11" s="159" t="s">
        <v>424</v>
      </c>
      <c r="C11" s="159" t="s">
        <v>425</v>
      </c>
      <c r="D11" s="159" t="s">
        <v>426</v>
      </c>
      <c r="E11" s="165" t="s">
        <v>394</v>
      </c>
    </row>
    <row r="12" spans="1:5" ht="30" customHeight="1">
      <c r="A12" s="166" t="s">
        <v>427</v>
      </c>
      <c r="B12" s="167" t="s">
        <v>428</v>
      </c>
      <c r="C12" s="167" t="s">
        <v>429</v>
      </c>
      <c r="D12" s="167" t="s">
        <v>430</v>
      </c>
      <c r="E12" s="165" t="s">
        <v>394</v>
      </c>
    </row>
    <row r="13" spans="1:5" ht="30" customHeight="1">
      <c r="A13" s="164" t="s">
        <v>431</v>
      </c>
      <c r="B13" s="159" t="s">
        <v>432</v>
      </c>
      <c r="C13" s="159" t="s">
        <v>433</v>
      </c>
      <c r="D13" s="159" t="s">
        <v>434</v>
      </c>
      <c r="E13" s="168" t="s">
        <v>422</v>
      </c>
    </row>
    <row r="14" spans="1:5" ht="30" customHeight="1">
      <c r="A14" s="166" t="s">
        <v>435</v>
      </c>
      <c r="B14" s="167" t="s">
        <v>436</v>
      </c>
      <c r="C14" s="167" t="s">
        <v>437</v>
      </c>
      <c r="D14" s="167" t="s">
        <v>438</v>
      </c>
      <c r="E14" s="168" t="s">
        <v>422</v>
      </c>
    </row>
    <row r="15" spans="1:5" ht="30" customHeight="1">
      <c r="A15" s="164" t="s">
        <v>439</v>
      </c>
      <c r="B15" s="159" t="s">
        <v>440</v>
      </c>
      <c r="C15" s="159" t="s">
        <v>441</v>
      </c>
      <c r="D15" s="159" t="s">
        <v>442</v>
      </c>
      <c r="E15" s="168" t="s">
        <v>422</v>
      </c>
    </row>
    <row r="16" spans="1:5" ht="30" customHeight="1">
      <c r="A16" s="166" t="s">
        <v>443</v>
      </c>
      <c r="B16" s="167" t="s">
        <v>444</v>
      </c>
      <c r="C16" s="167" t="s">
        <v>445</v>
      </c>
      <c r="D16" s="167" t="s">
        <v>426</v>
      </c>
      <c r="E16" s="165" t="s">
        <v>394</v>
      </c>
    </row>
    <row r="17" spans="1:5" ht="30" customHeight="1">
      <c r="A17" s="164" t="s">
        <v>446</v>
      </c>
      <c r="B17" s="159" t="s">
        <v>447</v>
      </c>
      <c r="C17" s="159" t="s">
        <v>448</v>
      </c>
      <c r="D17" s="159" t="s">
        <v>449</v>
      </c>
      <c r="E17" s="168" t="s">
        <v>422</v>
      </c>
    </row>
    <row r="18" spans="1:5" ht="30" customHeight="1">
      <c r="A18" s="166" t="s">
        <v>450</v>
      </c>
      <c r="B18" s="167" t="s">
        <v>451</v>
      </c>
      <c r="C18" s="167" t="s">
        <v>452</v>
      </c>
      <c r="D18" s="167" t="s">
        <v>453</v>
      </c>
      <c r="E18" s="168" t="s">
        <v>422</v>
      </c>
    </row>
    <row r="19" spans="1:5" ht="30" customHeight="1">
      <c r="A19" s="164" t="s">
        <v>454</v>
      </c>
      <c r="B19" s="159" t="s">
        <v>455</v>
      </c>
      <c r="C19" s="159" t="s">
        <v>456</v>
      </c>
      <c r="D19" s="159" t="s">
        <v>457</v>
      </c>
      <c r="E19" s="169" t="s">
        <v>458</v>
      </c>
    </row>
    <row r="20" spans="1:5" ht="30" customHeight="1">
      <c r="A20" s="166" t="s">
        <v>459</v>
      </c>
      <c r="B20" s="167" t="s">
        <v>460</v>
      </c>
      <c r="C20" s="167" t="s">
        <v>461</v>
      </c>
      <c r="D20" s="167" t="s">
        <v>462</v>
      </c>
      <c r="E20" s="165" t="s">
        <v>394</v>
      </c>
    </row>
    <row r="21" spans="1:5" ht="30" customHeight="1">
      <c r="A21" s="164" t="s">
        <v>463</v>
      </c>
      <c r="B21" s="159" t="s">
        <v>464</v>
      </c>
      <c r="C21" s="159" t="s">
        <v>465</v>
      </c>
      <c r="D21" s="159" t="s">
        <v>462</v>
      </c>
      <c r="E21" s="165" t="s">
        <v>394</v>
      </c>
    </row>
    <row r="22" spans="1:5" ht="30" customHeight="1">
      <c r="A22" s="166" t="s">
        <v>466</v>
      </c>
      <c r="B22" s="167" t="s">
        <v>467</v>
      </c>
      <c r="C22" s="167" t="s">
        <v>468</v>
      </c>
      <c r="D22" s="167" t="s">
        <v>469</v>
      </c>
      <c r="E22" s="165" t="s">
        <v>394</v>
      </c>
    </row>
    <row r="23" spans="1:5" ht="30" customHeight="1">
      <c r="A23" s="164" t="s">
        <v>470</v>
      </c>
      <c r="B23" s="159" t="s">
        <v>471</v>
      </c>
      <c r="C23" s="159" t="s">
        <v>472</v>
      </c>
      <c r="D23" s="159" t="s">
        <v>469</v>
      </c>
      <c r="E23" s="165" t="s">
        <v>394</v>
      </c>
    </row>
    <row r="24" spans="1:5" ht="30" customHeight="1">
      <c r="A24" s="166" t="s">
        <v>473</v>
      </c>
      <c r="B24" s="167" t="s">
        <v>474</v>
      </c>
      <c r="C24" s="167" t="s">
        <v>475</v>
      </c>
      <c r="D24" s="167" t="s">
        <v>469</v>
      </c>
      <c r="E24" s="165" t="s">
        <v>394</v>
      </c>
    </row>
    <row r="25" spans="1:5" ht="30" customHeight="1">
      <c r="A25" s="164" t="s">
        <v>476</v>
      </c>
      <c r="B25" s="159" t="s">
        <v>477</v>
      </c>
      <c r="C25" s="159" t="s">
        <v>478</v>
      </c>
      <c r="D25" s="159" t="s">
        <v>469</v>
      </c>
      <c r="E25" s="165" t="s">
        <v>394</v>
      </c>
    </row>
    <row r="26" spans="1:5" ht="30" customHeight="1">
      <c r="A26" s="166" t="s">
        <v>479</v>
      </c>
      <c r="B26" s="167" t="s">
        <v>480</v>
      </c>
      <c r="C26" s="167" t="s">
        <v>481</v>
      </c>
      <c r="D26" s="167" t="s">
        <v>482</v>
      </c>
      <c r="E26" s="165" t="s">
        <v>394</v>
      </c>
    </row>
    <row r="27" spans="1:5" ht="30" customHeight="1">
      <c r="A27" s="164" t="s">
        <v>483</v>
      </c>
      <c r="B27" s="159" t="s">
        <v>484</v>
      </c>
      <c r="C27" s="159" t="s">
        <v>485</v>
      </c>
      <c r="D27" s="159" t="s">
        <v>486</v>
      </c>
      <c r="E27" s="165" t="s">
        <v>394</v>
      </c>
    </row>
    <row r="28" spans="1:5" ht="30" customHeight="1">
      <c r="A28" s="166" t="s">
        <v>487</v>
      </c>
      <c r="B28" s="167" t="s">
        <v>488</v>
      </c>
      <c r="C28" s="167" t="s">
        <v>489</v>
      </c>
      <c r="D28" s="167" t="s">
        <v>486</v>
      </c>
      <c r="E28" s="165" t="s">
        <v>394</v>
      </c>
    </row>
    <row r="29" spans="1:5" ht="30" customHeight="1">
      <c r="A29" s="164" t="s">
        <v>490</v>
      </c>
      <c r="B29" s="159" t="s">
        <v>491</v>
      </c>
      <c r="C29" s="159" t="s">
        <v>492</v>
      </c>
      <c r="D29" s="159" t="s">
        <v>486</v>
      </c>
      <c r="E29" s="165" t="s">
        <v>394</v>
      </c>
    </row>
    <row r="30" spans="1:5" ht="30" customHeight="1">
      <c r="A30" s="166" t="s">
        <v>493</v>
      </c>
      <c r="B30" s="167" t="s">
        <v>494</v>
      </c>
      <c r="C30" s="167" t="s">
        <v>495</v>
      </c>
      <c r="D30" s="167" t="s">
        <v>486</v>
      </c>
      <c r="E30" s="165" t="s">
        <v>394</v>
      </c>
    </row>
    <row r="31" spans="1:5" ht="30" customHeight="1">
      <c r="A31" s="164" t="s">
        <v>496</v>
      </c>
      <c r="B31" s="159" t="s">
        <v>497</v>
      </c>
      <c r="C31" s="159" t="s">
        <v>498</v>
      </c>
      <c r="D31" s="159" t="s">
        <v>486</v>
      </c>
      <c r="E31" s="165" t="s">
        <v>394</v>
      </c>
    </row>
    <row r="32" spans="1:5" ht="30" customHeight="1">
      <c r="A32" s="166" t="s">
        <v>499</v>
      </c>
      <c r="B32" s="167" t="s">
        <v>500</v>
      </c>
      <c r="C32" s="167" t="s">
        <v>501</v>
      </c>
      <c r="D32" s="167" t="s">
        <v>486</v>
      </c>
      <c r="E32" s="165" t="s">
        <v>394</v>
      </c>
    </row>
    <row r="33" spans="1:5" ht="30" customHeight="1">
      <c r="A33" s="164" t="s">
        <v>502</v>
      </c>
      <c r="B33" s="159" t="s">
        <v>503</v>
      </c>
      <c r="C33" s="159" t="s">
        <v>504</v>
      </c>
      <c r="D33" s="159" t="s">
        <v>505</v>
      </c>
      <c r="E33" s="168" t="s">
        <v>422</v>
      </c>
    </row>
    <row r="34" spans="1:5" ht="30" customHeight="1">
      <c r="A34" s="166" t="s">
        <v>506</v>
      </c>
      <c r="B34" s="167" t="s">
        <v>507</v>
      </c>
      <c r="C34" s="167" t="s">
        <v>508</v>
      </c>
      <c r="D34" s="167" t="s">
        <v>509</v>
      </c>
      <c r="E34" s="168" t="s">
        <v>422</v>
      </c>
    </row>
    <row r="35" spans="1:5" ht="30" customHeight="1">
      <c r="A35" s="164" t="s">
        <v>510</v>
      </c>
      <c r="B35" s="159" t="s">
        <v>511</v>
      </c>
      <c r="C35" s="159" t="s">
        <v>512</v>
      </c>
      <c r="D35" s="159" t="s">
        <v>509</v>
      </c>
      <c r="E35" s="168" t="s">
        <v>422</v>
      </c>
    </row>
    <row r="36" spans="1:5" ht="30" customHeight="1">
      <c r="A36" s="166" t="s">
        <v>513</v>
      </c>
      <c r="B36" s="167" t="s">
        <v>514</v>
      </c>
      <c r="C36" s="167" t="s">
        <v>515</v>
      </c>
      <c r="D36" s="167" t="s">
        <v>516</v>
      </c>
      <c r="E36" s="168" t="s">
        <v>422</v>
      </c>
    </row>
    <row r="37" spans="1:5" ht="30" customHeight="1">
      <c r="A37" s="164" t="s">
        <v>517</v>
      </c>
      <c r="B37" s="159" t="s">
        <v>518</v>
      </c>
      <c r="C37" s="159" t="s">
        <v>519</v>
      </c>
      <c r="D37" s="159" t="s">
        <v>516</v>
      </c>
      <c r="E37" s="168" t="s">
        <v>422</v>
      </c>
    </row>
    <row r="38" spans="1:5" ht="30" customHeight="1">
      <c r="A38" s="166" t="s">
        <v>520</v>
      </c>
      <c r="B38" s="167" t="s">
        <v>521</v>
      </c>
      <c r="C38" s="167" t="s">
        <v>522</v>
      </c>
      <c r="D38" s="167" t="s">
        <v>523</v>
      </c>
      <c r="E38" s="165" t="s">
        <v>394</v>
      </c>
    </row>
    <row r="39" spans="1:5" ht="30" customHeight="1">
      <c r="A39" s="164" t="s">
        <v>524</v>
      </c>
      <c r="B39" s="159" t="s">
        <v>525</v>
      </c>
      <c r="C39" s="159" t="s">
        <v>526</v>
      </c>
      <c r="D39" s="159" t="s">
        <v>527</v>
      </c>
      <c r="E39" s="165" t="s">
        <v>394</v>
      </c>
    </row>
    <row r="40" spans="1:5" ht="30" customHeight="1">
      <c r="A40" s="166" t="s">
        <v>528</v>
      </c>
      <c r="B40" s="167" t="s">
        <v>529</v>
      </c>
      <c r="C40" s="167" t="s">
        <v>530</v>
      </c>
      <c r="D40" s="167" t="s">
        <v>531</v>
      </c>
      <c r="E40" s="165" t="s">
        <v>394</v>
      </c>
    </row>
    <row r="41" spans="1:5" ht="30" customHeight="1">
      <c r="A41" s="164" t="s">
        <v>532</v>
      </c>
      <c r="B41" s="159" t="s">
        <v>533</v>
      </c>
      <c r="C41" s="159" t="s">
        <v>534</v>
      </c>
      <c r="D41" s="159" t="s">
        <v>527</v>
      </c>
      <c r="E41" s="168" t="s">
        <v>422</v>
      </c>
    </row>
    <row r="42" spans="1:5" ht="30" customHeight="1">
      <c r="A42" s="166" t="s">
        <v>535</v>
      </c>
      <c r="B42" s="167" t="s">
        <v>536</v>
      </c>
      <c r="C42" s="167" t="s">
        <v>537</v>
      </c>
      <c r="D42" s="167" t="s">
        <v>538</v>
      </c>
      <c r="E42" s="165" t="s">
        <v>394</v>
      </c>
    </row>
    <row r="43" spans="1:5" ht="30" customHeight="1">
      <c r="A43" s="164" t="s">
        <v>539</v>
      </c>
      <c r="B43" s="159" t="s">
        <v>540</v>
      </c>
      <c r="C43" s="159" t="s">
        <v>541</v>
      </c>
      <c r="D43" s="159" t="s">
        <v>527</v>
      </c>
      <c r="E43" s="165" t="s">
        <v>394</v>
      </c>
    </row>
    <row r="44" spans="1:5" ht="30" customHeight="1">
      <c r="A44" s="166" t="s">
        <v>542</v>
      </c>
      <c r="B44" s="167" t="s">
        <v>543</v>
      </c>
      <c r="C44" s="167" t="s">
        <v>544</v>
      </c>
      <c r="D44" s="167" t="s">
        <v>527</v>
      </c>
      <c r="E44" s="165" t="s">
        <v>394</v>
      </c>
    </row>
    <row r="45" spans="1:5" ht="30" customHeight="1">
      <c r="A45" s="164" t="s">
        <v>545</v>
      </c>
      <c r="B45" s="159" t="s">
        <v>546</v>
      </c>
      <c r="C45" s="159" t="s">
        <v>547</v>
      </c>
      <c r="D45" s="159" t="s">
        <v>527</v>
      </c>
      <c r="E45" s="168" t="s">
        <v>422</v>
      </c>
    </row>
    <row r="46" spans="1:5" ht="30" customHeight="1">
      <c r="A46" s="166" t="s">
        <v>548</v>
      </c>
      <c r="B46" s="167" t="s">
        <v>549</v>
      </c>
      <c r="C46" s="167" t="s">
        <v>550</v>
      </c>
      <c r="D46" s="167" t="s">
        <v>527</v>
      </c>
      <c r="E46" s="168" t="s">
        <v>422</v>
      </c>
    </row>
    <row r="47" spans="1:5" ht="30" customHeight="1">
      <c r="A47" s="164" t="s">
        <v>97</v>
      </c>
      <c r="B47" s="159" t="s">
        <v>551</v>
      </c>
      <c r="C47" s="159" t="s">
        <v>552</v>
      </c>
      <c r="D47" s="159" t="s">
        <v>486</v>
      </c>
      <c r="E47" s="165" t="s">
        <v>394</v>
      </c>
    </row>
    <row r="48" spans="1:5" ht="30" customHeight="1">
      <c r="A48" s="166" t="s">
        <v>553</v>
      </c>
      <c r="B48" s="167" t="s">
        <v>554</v>
      </c>
      <c r="C48" s="167" t="s">
        <v>555</v>
      </c>
      <c r="D48" s="167" t="s">
        <v>486</v>
      </c>
      <c r="E48" s="165" t="s">
        <v>394</v>
      </c>
    </row>
    <row r="49" spans="1:5" ht="30" customHeight="1">
      <c r="A49" s="164" t="s">
        <v>556</v>
      </c>
      <c r="B49" s="159" t="s">
        <v>557</v>
      </c>
      <c r="C49" s="159" t="s">
        <v>558</v>
      </c>
      <c r="D49" s="159" t="s">
        <v>559</v>
      </c>
      <c r="E49" s="168" t="s">
        <v>422</v>
      </c>
    </row>
    <row r="50" spans="1:5" ht="30" customHeight="1">
      <c r="A50" s="166" t="s">
        <v>560</v>
      </c>
      <c r="B50" s="167" t="s">
        <v>561</v>
      </c>
      <c r="C50" s="167" t="s">
        <v>562</v>
      </c>
      <c r="D50" s="167" t="s">
        <v>563</v>
      </c>
      <c r="E50" s="168" t="s">
        <v>422</v>
      </c>
    </row>
  </sheetData>
  <mergeCells count="1">
    <mergeCell ref="A1:E1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제안일정</vt:lpstr>
      <vt:lpstr>제안서목차</vt:lpstr>
      <vt:lpstr>제안서작성관리</vt:lpstr>
      <vt:lpstr>설명회 목차</vt:lpstr>
      <vt:lpstr>평가기준요약</vt:lpstr>
      <vt:lpstr>요구사항매핑</vt:lpstr>
      <vt:lpstr>제안서목차!Print_Area</vt:lpstr>
      <vt:lpstr>제안일정!Print_Area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스토리보드</dc:title>
  <dc:creator>Vincent Lee</dc:creator>
  <cp:lastModifiedBy>준한 이</cp:lastModifiedBy>
  <cp:revision>1</cp:revision>
  <cp:lastPrinted>2016-12-21T21:40:42Z</cp:lastPrinted>
  <dcterms:created xsi:type="dcterms:W3CDTF">2006-09-16T00:00:00Z</dcterms:created>
  <dcterms:modified xsi:type="dcterms:W3CDTF">2026-06-10T23:37:21Z</dcterms:modified>
  <cp:version>0906.0200.01</cp:version>
</cp:coreProperties>
</file>